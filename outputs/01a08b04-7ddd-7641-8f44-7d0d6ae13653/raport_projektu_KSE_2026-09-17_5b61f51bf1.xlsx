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dfdc32be9b34b96" /></Relationships>
</file>

<file path=xl/workbook.xml><?xml version="1.0" encoding="utf-8"?>
<x:workbook xmlns:x="http://schemas.openxmlformats.org/spreadsheetml/2006/main">
  <x:sheets>
    <x:sheet xmlns:r="http://schemas.openxmlformats.org/officeDocument/2006/relationships" name="Project Plan" sheetId="1" r:id="Rd85ba4b1e01849a6"/>
    <x:sheet xmlns:r="http://schemas.openxmlformats.org/officeDocument/2006/relationships" name="Podsumowanie" sheetId="2" r:id="R39f790fa2ce0466f"/>
    <x:sheet xmlns:r="http://schemas.openxmlformats.org/officeDocument/2006/relationships" name="Potrzebne informacje" sheetId="3" r:id="R5bc20cdb0526475e"/>
    <x:sheet xmlns:r="http://schemas.openxmlformats.org/officeDocument/2006/relationships" name="TODO" sheetId="4" r:id="R34f4e7dadedd4da4"/>
    <x:sheet xmlns:r="http://schemas.openxmlformats.org/officeDocument/2006/relationships" name="Wykonalność" sheetId="5" r:id="R622c9d6dc06d41ff"/>
    <x:sheet xmlns:r="http://schemas.openxmlformats.org/officeDocument/2006/relationships" name="Źródła" sheetId="6" r:id="R55f70a970e3b4505"/>
    <x:sheet xmlns:r="http://schemas.openxmlformats.org/officeDocument/2006/relationships" name="Źródła szczegóły" sheetId="7" r:id="R7d55e11a4bcd4817"/>
    <x:sheet xmlns:r="http://schemas.openxmlformats.org/officeDocument/2006/relationships" name="Ryzyka" sheetId="8" r:id="R69ab27ce24d040d8"/>
    <x:sheet xmlns:r="http://schemas.openxmlformats.org/officeDocument/2006/relationships" name="Dokumentacja" sheetId="9" r:id="R9223d9c9d15b4cba"/>
    <x:sheet xmlns:r="http://schemas.openxmlformats.org/officeDocument/2006/relationships" name="Audyt" sheetId="10" r:id="R698c81face744ba0"/>
    <x:sheet xmlns:r="http://schemas.openxmlformats.org/officeDocument/2006/relationships" name="Odtwarzanie" sheetId="11" r:id="R9cb668605b9546f9"/>
  </x:sheets>
</x:workbook>
</file>

<file path=xl/sharedStrings.xml><?xml version="1.0" encoding="utf-8"?>
<x:sst xmlns:x="http://schemas.openxmlformats.org/spreadsheetml/2006/main">
  <x:si>
    <x:t xml:space="preserve">Project Tracker and Weekly Gantt Plan</x:t>
  </x:si>
  <x:si>
    <x:t xml:space="preserve">Project Plan</x:t>
  </x:si>
  <x:si>
    <x:t xml:space="preserve">PROJECT PROFILE</x:t>
  </x:si>
  <x:si>
    <x:t xml:space="preserve">LAUNCH PULSE</x:t>
  </x:si>
  <x:si>
    <x:t xml:space="preserve">Aurora Launch</x:t>
  </x:si>
  <x:si>
    <x:t xml:space="preserve">Jordan Lee</x:t>
  </x:si>
  <x:si>
    <x:t xml:space="preserve">TOTAL TASKS</x:t>
  </x:si>
  <x:si>
    <x:t xml:space="preserve">COMPLETE</x:t>
  </x:si>
  <x:si>
    <x:t xml:space="preserve">IN PROGRESS</x:t>
  </x:si>
  <x:si>
    <x:t xml:space="preserve">AT RISK</x:t>
  </x:si>
  <x:si>
    <x:t xml:space="preserve">P0 TASKS</x:t>
  </x:si>
  <x:si>
    <x:t xml:space="preserve">Northstar Labs</x:t>
  </x:si>
  <x:si>
    <x:t xml:space="preserve">WORKSTREAM PLAN</x:t>
  </x:si>
  <x:si>
    <x:t xml:space="preserve">GANTT — 20-WEEK VIEW</x:t>
  </x:si>
  <x:si>
    <x:t xml:space="preserve">Tip: edit yellow profile fields or the task table. Start Date, End Date, Status, and Priority drive duration, launch pulse, and weekly Gantt. Blank or invalid date rows stay unformatted. Synthetic illustrative data for template use.</x:t>
  </x:si>
</x:sst>
</file>

<file path=xl/styles.xml><?xml version="1.0" encoding="utf-8"?>
<x:styleSheet xmlns:x="http://schemas.openxmlformats.org/spreadsheetml/2006/main">
  <x:numFmts count="7">
    <x:numFmt numFmtId="164" formatCode="mmm\ d\,\ yyyy"/>
    <x:numFmt numFmtId="165" formatCode="#,##0;[Red]\(#,##0\);\-"/>
    <x:numFmt numFmtId="166" formatCode="mmm\ d"/>
    <x:numFmt numFmtId="167" formatCode=";;;"/>
    <x:numFmt numFmtId="200" formatCode="yyyy-mm-dd"/>
    <x:numFmt numFmtId="201" formatCode="dd mmm yy"/>
    <x:numFmt numFmtId="202" formatCode="yyyy-mm-dd hh:mm:ss &quot;UTC&quot;"/>
  </x:numFmts>
  <x:fonts count="19">
    <x:font>
      <x:sz val="11"/>
      <x:name val="Arial"/>
    </x:font>
    <x:font>
      <x:b/>
      <x:sz val="14"/>
      <x:color rgb="FFFFFFFF"/>
      <x:name val="Arial"/>
    </x:font>
    <x:font>
      <x:b/>
      <x:sz val="10"/>
      <x:color rgb="FFD9E2EA"/>
      <x:name val="Arial"/>
    </x:font>
    <x:font>
      <x:b/>
      <x:sz val="10"/>
      <x:color rgb="FF3F3296"/>
      <x:name val="Arial"/>
    </x:font>
    <x:font>
      <x:b/>
      <x:sz val="9"/>
      <x:color rgb="FF3F3296"/>
      <x:name val="Arial"/>
    </x:font>
    <x:font>
      <x:b/>
      <x:sz val="8"/>
      <x:color rgb="FFFFFFFF"/>
      <x:name val="Arial"/>
    </x:font>
    <x:font>
      <x:b/>
      <x:sz val="18"/>
      <x:color rgb="FF3F3296"/>
      <x:name val="Arial"/>
    </x:font>
    <x:font>
      <x:b/>
      <x:sz val="18"/>
      <x:color rgb="FF087E5D"/>
      <x:name val="Arial"/>
    </x:font>
    <x:font>
      <x:b/>
      <x:sz val="18"/>
      <x:color rgb="FF3258CD"/>
      <x:name val="Arial"/>
    </x:font>
    <x:font>
      <x:b/>
      <x:sz val="18"/>
      <x:color rgb="FFC23647"/>
      <x:name val="Arial"/>
    </x:font>
    <x:font>
      <x:b/>
      <x:sz val="9"/>
      <x:color rgb="FFFFFFFF"/>
      <x:name val="Arial"/>
    </x:font>
    <x:font>
      <x:sz val="9"/>
      <x:color rgb="FF17212B"/>
      <x:name val="Arial"/>
    </x:font>
    <x:font>
      <x:i/>
      <x:sz val="9"/>
      <x:color rgb="FF3F3296"/>
      <x:name val="Arial"/>
    </x:font>
    <x:font>
      <x:sz val="11"/>
      <x:name val="Arial"/>
    </x:font>
    <x:font>
      <x:sz val="9"/>
      <x:color rgb="FF0432FF"/>
      <x:name val="Arial"/>
    </x:font>
    <x:font>
      <x:sz val="10"/>
      <x:color rgb="FF222238"/>
      <x:name val="Arial"/>
    </x:font>
    <x:font>
      <x:b/>
      <x:sz val="16"/>
      <x:color rgb="FF3D308C"/>
      <x:name val="Arial"/>
    </x:font>
    <x:font>
      <x:i/>
      <x:sz val="10"/>
      <x:color rgb="FF535269"/>
      <x:name val="Arial"/>
    </x:font>
    <x:font>
      <x:b/>
      <x:sz val="10"/>
      <x:color rgb="FFFFFFFF"/>
      <x:name val="Arial"/>
    </x:font>
  </x:fonts>
  <x:fills count="10">
    <x:fill>
      <x:patternFill patternType="none"/>
    </x:fill>
    <x:fill>
      <x:patternFill patternType="gray125"/>
    </x:fill>
    <x:fill>
      <x:patternFill patternType="solid">
        <x:fgColor rgb="FF3F3296"/>
      </x:patternFill>
    </x:fill>
    <x:fill>
      <x:patternFill patternType="solid">
        <x:fgColor rgb="FFF2EDFF"/>
      </x:patternFill>
    </x:fill>
    <x:fill>
      <x:patternFill patternType="solid">
        <x:fgColor rgb="FFFFFFFF"/>
      </x:patternFill>
    </x:fill>
    <x:fill>
      <x:patternFill patternType="solid">
        <x:fgColor rgb="FFFFF2CC"/>
      </x:patternFill>
    </x:fill>
    <x:fill>
      <x:patternFill patternType="solid">
        <x:fgColor rgb="FF5E4CC7"/>
      </x:patternFill>
    </x:fill>
    <x:fill>
      <x:patternFill patternType="solid">
        <x:fgColor rgb="FFFAF8FF"/>
      </x:patternFill>
    </x:fill>
    <x:fill>
      <x:patternFill patternType="solid">
        <x:fgColor rgb="FFFFF2CC"/>
      </x:patternFill>
    </x:fill>
    <x:fill>
      <x:patternFill patternType="solid">
        <x:fgColor rgb="FF44338F"/>
      </x:patternFill>
    </x:fill>
  </x:fills>
  <x:borders count="15">
    <x:border/>
    <x:border>
      <x:left style="thin">
        <x:color rgb="FFD9E0E6"/>
      </x:left>
      <x:right style="thin">
        <x:color rgb="FFD9E0E6"/>
      </x:right>
      <x:top style="thin">
        <x:color rgb="FFD9E0E6"/>
      </x:top>
      <x:bottom style="thin">
        <x:color rgb="FFD9E0E6"/>
      </x:bottom>
    </x:border>
    <x:border>
      <x:left style="thin">
        <x:color rgb="FFD6C26E"/>
      </x:left>
      <x:right style="thin">
        <x:color rgb="FFD6C26E"/>
      </x:right>
      <x:top style="thin">
        <x:color rgb="FFD6C26E"/>
      </x:top>
      <x:bottom style="thin">
        <x:color rgb="FFD6C26E"/>
      </x:bottom>
    </x:border>
    <x:border>
      <x:left style="thin">
        <x:color rgb="FFECE8FA"/>
      </x:left>
      <x:top style="thin">
        <x:color rgb="FFECE8FA"/>
      </x:top>
      <x:bottom style="thin">
        <x:color rgb="FFECE8FA"/>
      </x:bottom>
    </x:border>
    <x:border>
      <x:top style="thin">
        <x:color rgb="FFECE8FA"/>
      </x:top>
      <x:bottom style="thin">
        <x:color rgb="FFECE8FA"/>
      </x:bottom>
    </x:border>
    <x:border>
      <x:right style="thin">
        <x:color rgb="FFECE8FA"/>
      </x:right>
      <x:top style="thin">
        <x:color rgb="FFECE8FA"/>
      </x:top>
      <x:bottom style="thin">
        <x:color rgb="FFECE8FA"/>
      </x:bottom>
    </x:border>
    <x:border>
      <x:left style="thin">
        <x:color rgb="FFECE8FA"/>
      </x:left>
      <x:top style="thin">
        <x:color rgb="FFECE8FA"/>
      </x:top>
    </x:border>
    <x:border>
      <x:top style="thin">
        <x:color rgb="FFECE8FA"/>
      </x:top>
    </x:border>
    <x:border>
      <x:right style="thin">
        <x:color rgb="FFECE8FA"/>
      </x:right>
      <x:top style="thin">
        <x:color rgb="FFECE8FA"/>
      </x:top>
    </x:border>
    <x:border>
      <x:left style="thin">
        <x:color rgb="FFECE8FA"/>
      </x:left>
      <x:bottom style="thin">
        <x:color rgb="FFECE8FA"/>
      </x:bottom>
    </x:border>
    <x:border>
      <x:bottom style="thin">
        <x:color rgb="FFECE8FA"/>
      </x:bottom>
    </x:border>
    <x:border>
      <x:right style="thin">
        <x:color rgb="FFECE8FA"/>
      </x:right>
      <x:bottom style="thin">
        <x:color rgb="FFECE8FA"/>
      </x:bottom>
    </x:border>
    <x:border>
      <x:left style="thin">
        <x:color rgb="FFD6C26E"/>
      </x:left>
      <x:top style="thin">
        <x:color rgb="FFD9E0E6"/>
      </x:top>
      <x:bottom style="thin">
        <x:color rgb="FFD9E0E6"/>
      </x:bottom>
    </x:border>
    <x:border>
      <x:right style="thin">
        <x:color rgb="FFD6C26E"/>
      </x:right>
      <x:top style="thin">
        <x:color rgb="FFD9E0E6"/>
      </x:top>
      <x:bottom style="thin">
        <x:color rgb="FFD9E0E6"/>
      </x:bottom>
    </x:border>
    <x:border>
      <x:bottom style="thin">
        <x:color rgb="FF7765C8"/>
      </x:bottom>
    </x:border>
  </x:borders>
  <x:cellStyleXfs count="1">
    <x:xf numFmtId="0" fontId="0" fillId="0" borderId="0"/>
  </x:cellStyleXfs>
  <x:cellXfs count="83">
    <x:xf numFmtId="0" fontId="0" fillId="0" borderId="0" xfId="0"/>
    <x:xf numFmtId="0" fontId="10" fillId="6" borderId="1" xfId="0" applyFont="1" applyFill="1" applyBorder="1" applyAlignment="1">
      <x:alignment horizontal="center" vertical="center" wrapText="1"/>
    </x:xf>
    <x:xf numFmtId="166" fontId="10" fillId="6" borderId="1" xfId="0" applyNumberFormat="1" applyFont="1" applyFill="1" applyBorder="1" applyAlignment="1">
      <x:alignment horizontal="center" vertical="center" wrapText="1"/>
    </x:xf>
    <x:xf numFmtId="0" fontId="11" fillId="4" borderId="1" xfId="0" applyFont="1" applyFill="1" applyBorder="1" applyAlignment="1">
      <x:alignment horizontal="left" vertical="center"/>
    </x:xf>
    <x:xf numFmtId="0" fontId="11" fillId="7" borderId="1" xfId="0" applyFont="1" applyFill="1" applyBorder="1" applyAlignment="1">
      <x:alignment horizontal="left" vertical="center"/>
    </x:xf>
    <x:xf numFmtId="0" fontId="4" fillId="7" borderId="1" xfId="0" applyFont="1" applyFill="1" applyBorder="1" applyAlignment="1">
      <x:alignment horizontal="left" vertical="center"/>
    </x:xf>
    <x:xf numFmtId="0" fontId="4" fillId="4" borderId="1" xfId="0" applyFont="1" applyFill="1" applyBorder="1" applyAlignment="1">
      <x:alignment horizontal="left" vertical="center"/>
    </x:xf>
    <x:xf numFmtId="0" fontId="11" fillId="7" borderId="1" xfId="0" applyFont="1" applyFill="1" applyBorder="1" applyAlignment="1">
      <x:alignment horizontal="center" vertical="center"/>
    </x:xf>
    <x:xf numFmtId="0" fontId="11" fillId="4" borderId="1" xfId="0" applyFont="1" applyFill="1" applyBorder="1" applyAlignment="1">
      <x:alignment horizontal="center" vertical="center"/>
    </x:xf>
    <x:xf numFmtId="166" fontId="11" fillId="7" borderId="1" xfId="0" applyNumberFormat="1" applyFont="1" applyFill="1" applyBorder="1" applyAlignment="1">
      <x:alignment horizontal="center" vertical="center"/>
    </x:xf>
    <x:xf numFmtId="166" fontId="11" fillId="4" borderId="1" xfId="0" applyNumberFormat="1" applyFont="1" applyFill="1" applyBorder="1" applyAlignment="1">
      <x:alignment horizontal="center" vertical="center"/>
    </x:xf>
    <x:xf numFmtId="165" fontId="11" fillId="3" borderId="1" xfId="0" applyNumberFormat="1" applyFont="1" applyFill="1" applyBorder="1" applyAlignment="1">
      <x:alignment horizontal="center" vertical="center"/>
    </x:xf>
    <x:xf numFmtId="167" fontId="11" fillId="4" borderId="1" xfId="0" applyNumberFormat="1" applyFont="1" applyFill="1" applyBorder="1" applyAlignment="1">
      <x:alignment horizontal="left" vertical="center"/>
    </x:xf>
    <x:xf numFmtId="167" fontId="11" fillId="7" borderId="1" xfId="0" applyNumberFormat="1" applyFont="1" applyFill="1" applyBorder="1" applyAlignment="1">
      <x:alignment horizontal="left" vertical="center"/>
    </x:xf>
    <x:xf numFmtId="0" fontId="0" fillId="0" borderId="0" xfId="0" applyAlignment="1">
      <x:alignment vertical="center"/>
    </x:xf>
    <x:xf numFmtId="0" fontId="13" fillId="0" borderId="0" xfId="0" applyFont="1" applyAlignment="1">
      <x:alignment vertical="center"/>
    </x:xf>
    <x:xf numFmtId="166" fontId="14" fillId="7" borderId="1" xfId="0" applyNumberFormat="1" applyFont="1" applyFill="1" applyBorder="1" applyAlignment="1">
      <x:alignment horizontal="center" vertical="center"/>
    </x:xf>
    <x:xf numFmtId="166" fontId="14" fillId="4" borderId="1" xfId="0" applyNumberFormat="1" applyFont="1" applyFill="1" applyBorder="1" applyAlignment="1">
      <x:alignment horizontal="center" vertical="center"/>
    </x:xf>
    <x:xf numFmtId="0" fontId="4" fillId="4" borderId="1" xfId="0" applyFont="1" applyFill="1" applyBorder="1" applyAlignment="1">
      <x:alignment horizontal="center" vertical="center" wrapText="1"/>
    </x:xf>
    <x:xf numFmtId="0" fontId="1" fillId="2" borderId="0" xfId="0" applyFont="1" applyFill="1" applyAlignment="1">
      <x:alignment horizontal="left" vertical="center"/>
    </x:xf>
    <x:xf numFmtId="0" fontId="2" fillId="2" borderId="0" xfId="0" applyFont="1" applyFill="1" applyAlignment="1">
      <x:alignment horizontal="left" vertical="center"/>
    </x:xf>
    <x:xf numFmtId="0" fontId="3" fillId="3" borderId="0" xfId="0" applyFont="1" applyFill="1" applyAlignment="1">
      <x:alignment horizontal="left" vertical="center"/>
    </x:xf>
    <x:xf numFmtId="0" fontId="14" fillId="8" borderId="2" xfId="0" applyFont="1" applyFill="1" applyBorder="1" applyAlignment="1">
      <x:alignment horizontal="left" vertical="center"/>
    </x:xf>
    <x:xf numFmtId="0" fontId="14" fillId="5" borderId="2" xfId="0" applyFont="1" applyFill="1" applyBorder="1" applyAlignment="1">
      <x:alignment horizontal="left" vertical="center"/>
    </x:xf>
    <x:xf numFmtId="0" fontId="5" fillId="2" borderId="3" xfId="0" applyFont="1" applyFill="1" applyBorder="1" applyAlignment="1">
      <x:alignment horizontal="center" vertical="center"/>
    </x:xf>
    <x:xf numFmtId="0" fontId="5" fillId="2" borderId="4" xfId="0" applyFont="1" applyFill="1" applyBorder="1" applyAlignment="1">
      <x:alignment horizontal="center" vertical="center"/>
    </x:xf>
    <x:xf numFmtId="0" fontId="5" fillId="2" borderId="5" xfId="0" applyFont="1" applyFill="1" applyBorder="1" applyAlignment="1">
      <x:alignment horizontal="center" vertical="center"/>
    </x:xf>
    <x:xf numFmtId="0" fontId="4" fillId="4" borderId="12" xfId="0" applyFont="1" applyFill="1" applyBorder="1" applyAlignment="1">
      <x:alignment horizontal="center" vertical="center" wrapText="1"/>
    </x:xf>
    <x:xf numFmtId="0" fontId="4" fillId="4" borderId="13" xfId="0" applyFont="1" applyFill="1" applyBorder="1" applyAlignment="1">
      <x:alignment horizontal="center" vertical="center" wrapText="1"/>
    </x:xf>
    <x:xf numFmtId="0" fontId="12" fillId="3" borderId="6" xfId="0" applyFont="1" applyFill="1" applyBorder="1" applyAlignment="1">
      <x:alignment horizontal="left" vertical="center" wrapText="1"/>
    </x:xf>
    <x:xf numFmtId="0" fontId="12" fillId="3" borderId="7" xfId="0" applyFont="1" applyFill="1" applyBorder="1" applyAlignment="1">
      <x:alignment horizontal="left" vertical="center" wrapText="1"/>
    </x:xf>
    <x:xf numFmtId="0" fontId="12" fillId="3" borderId="8" xfId="0" applyFont="1" applyFill="1" applyBorder="1" applyAlignment="1">
      <x:alignment horizontal="left" vertical="center" wrapText="1"/>
    </x:xf>
    <x:xf numFmtId="0" fontId="12" fillId="3" borderId="9" xfId="0" applyFont="1" applyFill="1" applyBorder="1" applyAlignment="1">
      <x:alignment horizontal="left" vertical="center" wrapText="1"/>
    </x:xf>
    <x:xf numFmtId="0" fontId="12" fillId="3" borderId="10" xfId="0" applyFont="1" applyFill="1" applyBorder="1" applyAlignment="1">
      <x:alignment horizontal="left" vertical="center" wrapText="1"/>
    </x:xf>
    <x:xf numFmtId="0" fontId="12" fillId="3" borderId="11" xfId="0" applyFont="1" applyFill="1" applyBorder="1" applyAlignment="1">
      <x:alignment horizontal="left" vertical="center" wrapText="1"/>
    </x:xf>
    <x:xf numFmtId="165" fontId="8" fillId="3" borderId="3" xfId="0" applyNumberFormat="1" applyFont="1" applyFill="1" applyBorder="1" applyAlignment="1">
      <x:alignment horizontal="center" vertical="center"/>
    </x:xf>
    <x:xf numFmtId="165" fontId="8" fillId="3" borderId="4" xfId="0" applyNumberFormat="1" applyFont="1" applyFill="1" applyBorder="1" applyAlignment="1">
      <x:alignment horizontal="center" vertical="center"/>
    </x:xf>
    <x:xf numFmtId="165" fontId="8" fillId="3" borderId="5" xfId="0" applyNumberFormat="1" applyFont="1" applyFill="1" applyBorder="1" applyAlignment="1">
      <x:alignment horizontal="center" vertical="center"/>
    </x:xf>
    <x:xf numFmtId="165" fontId="9" fillId="3" borderId="3" xfId="0" applyNumberFormat="1" applyFont="1" applyFill="1" applyBorder="1" applyAlignment="1">
      <x:alignment horizontal="center" vertical="center"/>
    </x:xf>
    <x:xf numFmtId="165" fontId="9" fillId="3" borderId="4" xfId="0" applyNumberFormat="1" applyFont="1" applyFill="1" applyBorder="1" applyAlignment="1">
      <x:alignment horizontal="center" vertical="center"/>
    </x:xf>
    <x:xf numFmtId="165" fontId="9" fillId="3" borderId="5" xfId="0" applyNumberFormat="1" applyFont="1" applyFill="1" applyBorder="1" applyAlignment="1">
      <x:alignment horizontal="center" vertical="center"/>
    </x:xf>
    <x:xf numFmtId="164" fontId="14" fillId="5" borderId="2" xfId="0" applyNumberFormat="1" applyFont="1" applyFill="1" applyBorder="1" applyAlignment="1">
      <x:alignment horizontal="left" vertical="center"/>
    </x:xf>
    <x:xf numFmtId="165" fontId="6" fillId="3" borderId="3" xfId="0" applyNumberFormat="1" applyFont="1" applyFill="1" applyBorder="1" applyAlignment="1">
      <x:alignment horizontal="center" vertical="center"/>
    </x:xf>
    <x:xf numFmtId="165" fontId="6" fillId="3" borderId="4" xfId="0" applyNumberFormat="1" applyFont="1" applyFill="1" applyBorder="1" applyAlignment="1">
      <x:alignment horizontal="center" vertical="center"/>
    </x:xf>
    <x:xf numFmtId="165" fontId="6" fillId="3" borderId="5" xfId="0" applyNumberFormat="1" applyFont="1" applyFill="1" applyBorder="1" applyAlignment="1">
      <x:alignment horizontal="center" vertical="center"/>
    </x:xf>
    <x:xf numFmtId="165" fontId="7" fillId="3" borderId="3" xfId="0" applyNumberFormat="1" applyFont="1" applyFill="1" applyBorder="1" applyAlignment="1">
      <x:alignment horizontal="center" vertical="center"/>
    </x:xf>
    <x:xf numFmtId="165" fontId="7" fillId="3" borderId="4" xfId="0" applyNumberFormat="1" applyFont="1" applyFill="1" applyBorder="1" applyAlignment="1">
      <x:alignment horizontal="center" vertical="center"/>
    </x:xf>
    <x:xf numFmtId="165" fontId="7" fillId="3" borderId="5" xfId="0" applyNumberFormat="1" applyFont="1" applyFill="1" applyBorder="1" applyAlignment="1">
      <x:alignment horizontal="center" vertical="center"/>
    </x:xf>
    <x:xf numFmtId="0" fontId="15" fillId="0" borderId="0" xfId="0" applyNumberFormat="1" applyFont="1" applyFill="1" applyBorder="1"/>
    <x:xf numFmtId="0" fontId="15" fillId="0" borderId="0" xfId="0" applyNumberFormat="1" applyFont="1" applyFill="1" applyBorder="1" applyAlignment="1">
      <x:alignment vertical="top"/>
    </x:xf>
    <x:xf numFmtId="0" fontId="16" fillId="0" borderId="0" xfId="0" applyNumberFormat="1" applyFont="1" applyFill="1" applyBorder="1" applyAlignment="1">
      <x:alignment vertical="top"/>
    </x:xf>
    <x:xf numFmtId="0" fontId="15" fillId="0" borderId="14" xfId="0" applyNumberFormat="1" applyFont="1" applyFill="1" applyBorder="1" applyAlignment="1">
      <x:alignment vertical="top"/>
    </x:xf>
    <x:xf numFmtId="0" fontId="17" fillId="0" borderId="0" xfId="0" applyNumberFormat="1" applyFont="1" applyFill="1" applyBorder="1" applyAlignment="1">
      <x:alignment vertical="top"/>
    </x:xf>
    <x:xf numFmtId="200" fontId="15" fillId="0" borderId="0" xfId="0" applyNumberFormat="1" applyFont="1" applyFill="1" applyBorder="1" applyAlignment="1">
      <x:alignment vertical="top"/>
    </x:xf>
    <x:xf numFmtId="0" fontId="15" fillId="9" borderId="0" xfId="0" applyNumberFormat="1" applyFont="1" applyFill="1" applyBorder="1" applyAlignment="1">
      <x:alignment vertical="top"/>
    </x:xf>
    <x:xf numFmtId="0" fontId="18" fillId="9" borderId="0" xfId="0" applyNumberFormat="1" applyFont="1" applyFill="1" applyBorder="1" applyAlignment="1">
      <x:alignment vertical="top"/>
    </x:xf>
    <x:xf numFmtId="0" fontId="18" fillId="9" borderId="0" xfId="0" applyNumberFormat="1" applyFont="1" applyFill="1" applyBorder="1" applyAlignment="1">
      <x:alignment vertical="top" wrapText="1"/>
    </x:xf>
    <x:xf numFmtId="0" fontId="18" fillId="9" borderId="0" xfId="0" applyNumberFormat="1" applyFont="1" applyFill="1" applyBorder="1" applyAlignment="1">
      <x:alignment horizontal="center" vertical="top" wrapText="1"/>
    </x:xf>
    <x:xf numFmtId="0" fontId="18" fillId="9" borderId="0" xfId="0" applyNumberFormat="1" applyFont="1" applyFill="1" applyBorder="1" applyAlignment="1">
      <x:alignment horizontal="center" vertical="center" wrapText="1"/>
    </x:xf>
    <x:xf numFmtId="0" fontId="15" fillId="0" borderId="0" xfId="0" applyNumberFormat="1" applyFont="1" applyFill="1" applyBorder="1" applyAlignment="1">
      <x:alignment vertical="top" wrapText="1"/>
    </x:xf>
    <x:xf numFmtId="200" fontId="15" fillId="0" borderId="0" xfId="0" applyNumberFormat="1" applyFont="1" applyFill="1" applyBorder="1" applyAlignment="1">
      <x:alignment vertical="top" wrapText="1"/>
    </x:xf>
    <x:xf numFmtId="201" fontId="14" fillId="7" borderId="1" xfId="0" applyNumberFormat="1" applyFont="1" applyFill="1" applyBorder="1" applyAlignment="1">
      <x:alignment horizontal="center" vertical="center"/>
    </x:xf>
    <x:xf numFmtId="201" fontId="14" fillId="4" borderId="1" xfId="0" applyNumberFormat="1" applyFont="1" applyFill="1" applyBorder="1" applyAlignment="1">
      <x:alignment horizontal="center" vertical="center"/>
    </x:xf>
    <x:xf numFmtId="201" fontId="11" fillId="4" borderId="1" xfId="0" applyNumberFormat="1" applyFont="1" applyFill="1" applyBorder="1" applyAlignment="1">
      <x:alignment horizontal="center" vertical="center"/>
    </x:xf>
    <x:xf numFmtId="201" fontId="11" fillId="7" borderId="1" xfId="0" applyNumberFormat="1" applyFont="1" applyFill="1" applyBorder="1" applyAlignment="1">
      <x:alignment horizontal="center" vertical="center"/>
    </x:xf>
    <x:xf numFmtId="0" fontId="4" fillId="7" borderId="1" xfId="0" applyNumberFormat="1" applyFont="1" applyFill="1" applyBorder="1" applyAlignment="1">
      <x:alignment horizontal="left" vertical="center" wrapText="1"/>
    </x:xf>
    <x:xf numFmtId="0" fontId="11" fillId="7" borderId="1" xfId="0" applyNumberFormat="1" applyFont="1" applyFill="1" applyBorder="1" applyAlignment="1">
      <x:alignment horizontal="left" vertical="center" wrapText="1"/>
    </x:xf>
    <x:xf numFmtId="0" fontId="11" fillId="7" borderId="1" xfId="0" applyNumberFormat="1" applyFont="1" applyFill="1" applyBorder="1" applyAlignment="1">
      <x:alignment horizontal="center" vertical="center" wrapText="1"/>
    </x:xf>
    <x:xf numFmtId="201" fontId="14" fillId="7" borderId="1" xfId="0" applyNumberFormat="1" applyFont="1" applyFill="1" applyBorder="1" applyAlignment="1">
      <x:alignment horizontal="center" vertical="center" wrapText="1"/>
    </x:xf>
    <x:xf numFmtId="0" fontId="4" fillId="4" borderId="1" xfId="0" applyNumberFormat="1" applyFont="1" applyFill="1" applyBorder="1" applyAlignment="1">
      <x:alignment horizontal="left" vertical="center" wrapText="1"/>
    </x:xf>
    <x:xf numFmtId="0" fontId="11" fillId="4" borderId="1" xfId="0" applyNumberFormat="1" applyFont="1" applyFill="1" applyBorder="1" applyAlignment="1">
      <x:alignment horizontal="left" vertical="center" wrapText="1"/>
    </x:xf>
    <x:xf numFmtId="0" fontId="11" fillId="4" borderId="1" xfId="0" applyNumberFormat="1" applyFont="1" applyFill="1" applyBorder="1" applyAlignment="1">
      <x:alignment horizontal="center" vertical="center" wrapText="1"/>
    </x:xf>
    <x:xf numFmtId="201" fontId="14" fillId="4" borderId="1" xfId="0" applyNumberFormat="1" applyFont="1" applyFill="1" applyBorder="1" applyAlignment="1">
      <x:alignment horizontal="center" vertical="center" wrapText="1"/>
    </x:xf>
    <x:xf numFmtId="201" fontId="11" fillId="4" borderId="1" xfId="0" applyNumberFormat="1" applyFont="1" applyFill="1" applyBorder="1" applyAlignment="1">
      <x:alignment horizontal="center" vertical="center" wrapText="1"/>
    </x:xf>
    <x:xf numFmtId="201" fontId="11" fillId="7" borderId="1" xfId="0" applyNumberFormat="1" applyFont="1" applyFill="1" applyBorder="1" applyAlignment="1">
      <x:alignment horizontal="center" vertical="center" wrapText="1"/>
    </x:xf>
    <x:xf numFmtId="0" fontId="12" fillId="3" borderId="6" xfId="0" applyNumberFormat="1" applyFont="1" applyFill="1" applyBorder="1" applyAlignment="1">
      <x:alignment horizontal="left" vertical="center" wrapText="1"/>
    </x:xf>
    <x:xf numFmtId="0" fontId="12" fillId="3" borderId="7" xfId="0" applyNumberFormat="1" applyFont="1" applyFill="1" applyBorder="1" applyAlignment="1">
      <x:alignment horizontal="left" vertical="center" wrapText="1"/>
    </x:xf>
    <x:xf numFmtId="0" fontId="12" fillId="3" borderId="8" xfId="0" applyNumberFormat="1" applyFont="1" applyFill="1" applyBorder="1" applyAlignment="1">
      <x:alignment horizontal="left" vertical="center" wrapText="1"/>
    </x:xf>
    <x:xf numFmtId="0" fontId="12" fillId="3" borderId="9" xfId="0" applyNumberFormat="1" applyFont="1" applyFill="1" applyBorder="1" applyAlignment="1">
      <x:alignment horizontal="left" vertical="center" wrapText="1"/>
    </x:xf>
    <x:xf numFmtId="0" fontId="12" fillId="3" borderId="10" xfId="0" applyNumberFormat="1" applyFont="1" applyFill="1" applyBorder="1" applyAlignment="1">
      <x:alignment horizontal="left" vertical="center" wrapText="1"/>
    </x:xf>
    <x:xf numFmtId="0" fontId="12" fillId="3" borderId="11" xfId="0" applyNumberFormat="1" applyFont="1" applyFill="1" applyBorder="1" applyAlignment="1">
      <x:alignment horizontal="left" vertical="center" wrapText="1"/>
    </x:xf>
    <x:xf numFmtId="202" fontId="15" fillId="0" borderId="0" xfId="0" applyNumberFormat="1" applyFont="1" applyFill="1" applyBorder="1" applyAlignment="1">
      <x:alignment vertical="top"/>
    </x:xf>
    <x:xf numFmtId="202" fontId="15" fillId="0" borderId="0" xfId="0" applyNumberFormat="1" applyFont="1" applyFill="1" applyBorder="1" applyAlignment="1">
      <x:alignment vertical="top" wrapText="1"/>
    </x:xf>
  </x:cellXfs>
  <x:cellStyles count="1">
    <x:cellStyle name="Normal" xfId="0"/>
  </x:cellStyles>
  <x:dxfs count="14">
    <x:dxf>
      <x:fill>
        <x:patternFill>
          <x:bgColor rgb="FFA977F6"/>
        </x:patternFill>
      </x:fill>
    </x:dxf>
    <x:dxf>
      <x:fill>
        <x:patternFill>
          <x:bgColor rgb="FFFF6675"/>
        </x:patternFill>
      </x:fill>
    </x:dxf>
    <x:dxf>
      <x:fill>
        <x:patternFill>
          <x:bgColor rgb="FF4D7CFE"/>
        </x:patternFill>
      </x:fill>
    </x:dxf>
    <x:dxf>
      <x:fill>
        <x:patternFill>
          <x:bgColor rgb="FF00BFA6"/>
        </x:patternFill>
      </x:fill>
    </x:dxf>
    <x:dxf>
      <x:font>
        <x:color rgb="FF7745C3"/>
      </x:font>
      <x:fill>
        <x:patternFill>
          <x:bgColor rgb="FFF1E9FF"/>
        </x:patternFill>
      </x:fill>
    </x:dxf>
    <x:dxf>
      <x:font>
        <x:b/>
        <x:color rgb="FF92400E"/>
      </x:font>
      <x:fill>
        <x:patternFill>
          <x:bgColor rgb="FFFEF3C7"/>
        </x:patternFill>
      </x:fill>
    </x:dxf>
    <x:dxf>
      <x:font>
        <x:b/>
        <x:color rgb="FFC23647"/>
      </x:font>
      <x:fill>
        <x:patternFill>
          <x:bgColor rgb="FFFFE3EA"/>
        </x:patternFill>
      </x:fill>
    </x:dxf>
    <x:dxf>
      <x:font>
        <x:color rgb="FF7745C3"/>
      </x:font>
      <x:fill>
        <x:patternFill>
          <x:bgColor rgb="FFF1E9FF"/>
        </x:patternFill>
      </x:fill>
    </x:dxf>
    <x:dxf>
      <x:font>
        <x:b/>
        <x:color rgb="FFC23647"/>
      </x:font>
      <x:fill>
        <x:patternFill>
          <x:bgColor rgb="FFFFE3EA"/>
        </x:patternFill>
      </x:fill>
    </x:dxf>
    <x:dxf>
      <x:font>
        <x:b/>
        <x:color rgb="FF3258CD"/>
      </x:font>
      <x:fill>
        <x:patternFill>
          <x:bgColor rgb="FFE7EEFF"/>
        </x:patternFill>
      </x:fill>
    </x:dxf>
    <x:dxf>
      <x:font>
        <x:b/>
        <x:color rgb="FF087E5D"/>
      </x:font>
      <x:fill>
        <x:patternFill>
          <x:bgColor rgb="FFDDF8F3"/>
        </x:patternFill>
      </x:fill>
    </x:dxf>
    <x:dxf>
      <x:font>
        <x:b/>
        <x:color rgb="FFA41F35"/>
      </x:font>
      <x:fill>
        <x:patternFill patternType="solid">
          <x:bgColor rgb="FFFCE3E5"/>
        </x:patternFill>
      </x:fill>
    </x:dxf>
    <x:dxf>
      <x:font>
        <x:b/>
        <x:color rgb="FF44338F"/>
      </x:font>
      <x:fill>
        <x:patternFill patternType="solid">
          <x:bgColor rgb="FFE6E1FF"/>
        </x:patternFill>
      </x:fill>
    </x:dxf>
    <x:dxf>
      <x:font>
        <x:b/>
        <x:color rgb="FF246653"/>
      </x:font>
      <x:fill>
        <x:patternFill patternType="solid">
          <x:bgColor rgb="FFE2F1EB"/>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559a6adf33d43ea" /><Relationship Type="http://schemas.openxmlformats.org/officeDocument/2006/relationships/theme" Target="/xl/theme/theme1.xml" Id="R1be2387b6c2643bf" /><Relationship Type="http://schemas.openxmlformats.org/officeDocument/2006/relationships/sharedStrings" Target="/xl/sharedStrings.xml" Id="R65d2c9472cbf4b5c" /><Relationship Type="http://schemas.openxmlformats.org/officeDocument/2006/relationships/worksheet" Target="/xl/worksheets/sheet1.xml" Id="Rd85ba4b1e01849a6" /><Relationship Type="http://schemas.openxmlformats.org/officeDocument/2006/relationships/worksheet" Target="/xl/worksheets/sheet2.xml" Id="R39f790fa2ce0466f" /><Relationship Type="http://schemas.openxmlformats.org/officeDocument/2006/relationships/worksheet" Target="/xl/worksheets/sheet3.xml" Id="R5bc20cdb0526475e" /><Relationship Type="http://schemas.openxmlformats.org/officeDocument/2006/relationships/worksheet" Target="/xl/worksheets/sheet4.xml" Id="R34f4e7dadedd4da4" /><Relationship Type="http://schemas.openxmlformats.org/officeDocument/2006/relationships/worksheet" Target="/xl/worksheets/sheet5.xml" Id="R622c9d6dc06d41ff" /><Relationship Type="http://schemas.openxmlformats.org/officeDocument/2006/relationships/worksheet" Target="/xl/worksheets/sheet6.xml" Id="R55f70a970e3b4505" /><Relationship Type="http://schemas.openxmlformats.org/officeDocument/2006/relationships/worksheet" Target="/xl/worksheets/sheet7.xml" Id="R7d55e11a4bcd4817" /><Relationship Type="http://schemas.openxmlformats.org/officeDocument/2006/relationships/worksheet" Target="/xl/worksheets/sheet8.xml" Id="R69ab27ce24d040d8" /><Relationship Type="http://schemas.openxmlformats.org/officeDocument/2006/relationships/worksheet" Target="/xl/worksheets/sheet9.xml" Id="R9223d9c9d15b4cba" /><Relationship Type="http://schemas.openxmlformats.org/officeDocument/2006/relationships/worksheet" Target="/xl/worksheets/sheet10.xml" Id="R698c81face744ba0" /><Relationship Type="http://schemas.openxmlformats.org/officeDocument/2006/relationships/worksheet" Target="/xl/worksheets/sheet11.xml" Id="R9cb668605b9546f9" /></Relationships>
</file>

<file path=xl/tables/table1.xml><?xml version="1.0" encoding="utf-8"?>
<x:table xmlns:x="http://schemas.openxmlformats.org/spreadsheetml/2006/main" id="9" name="ReportTable1" displayName="ReportTable1" ref="A6:C22" headerRowCount="1" totalsRowCount="0" totalsRowShown="0">
  <x:autoFilter ref="A6:C22"/>
  <x:tableColumns count="3">
    <x:tableColumn id="1" name="Obszar"/>
    <x:tableColumn id="2" name="Wynik"/>
    <x:tableColumn id="3" name="Znaczenie i ograniczenia"/>
  </x:tableColumns>
  <x:tableStyleInfo name="TableStyleLight1" showFirstColumn="0" showLastColumn="0" showRowStripes="1" showColumnStripes="0"/>
</x:table>
</file>

<file path=xl/tables/table2.xml><?xml version="1.0" encoding="utf-8"?>
<x:table xmlns:x="http://schemas.openxmlformats.org/spreadsheetml/2006/main" id="1" name="ReportTable2" displayName="ReportTable2" ref="A6:L20" headerRowCount="1" totalsRowCount="0" totalsRowShown="0">
  <x:autoFilter ref="A6:L20"/>
  <x:tableColumns count="12">
    <x:tableColumn id="1" name="ID"/>
    <x:tableColumn id="2" name="Priorytet"/>
    <x:tableColumn id="3" name="Dokument / informacja"/>
    <x:tableColumn id="4" name="Status"/>
    <x:tableColumn id="5" name="Potrzebny zakres"/>
    <x:tableColumn id="6" name="Co umożliwi"/>
    <x:tableColumn id="7" name="Następny krok"/>
    <x:tableColumn id="8" name="Praca bez tych danych"/>
    <x:tableColumn id="9" name="Kto może pomóc"/>
    <x:tableColumn id="10" name="Aktualizacja"/>
    <x:tableColumn id="11" name="Podstawa wpisu"/>
    <x:tableColumn id="12" name="Potwierdzenie otrzymania"/>
  </x:tableColumns>
  <x:tableStyleInfo name="TableStyleLight1" showFirstColumn="0" showLastColumn="0" showRowStripes="1" showColumnStripes="0"/>
</x:table>
</file>

<file path=xl/tables/table3.xml><?xml version="1.0" encoding="utf-8"?>
<x:table xmlns:x="http://schemas.openxmlformats.org/spreadsheetml/2006/main" id="2" name="ReportTable3" displayName="ReportTable3" ref="A6:N44" headerRowCount="1" totalsRowCount="0" totalsRowShown="0">
  <x:autoFilter ref="A6:N44"/>
  <x:tableColumns count="14">
    <x:tableColumn id="1" name="ID"/>
    <x:tableColumn id="2" name="Zadanie"/>
    <x:tableColumn id="3" name="Status"/>
    <x:tableColumn id="4" name="Priorytet"/>
    <x:tableColumn id="5" name="Etap"/>
    <x:tableColumn id="6" name="Odpowiedzialność"/>
    <x:tableColumn id="7" name="Zależności"/>
    <x:tableColumn id="8" name="Nieukończone zależności"/>
    <x:tableColumn id="9" name="Następny krok"/>
    <x:tableColumn id="10" name="Kryterium zakończenia"/>
    <x:tableColumn id="11" name="Ryzyko / uwaga"/>
    <x:tableColumn id="12" name="Termin docelowy"/>
    <x:tableColumn id="13" name="Zakończono"/>
    <x:tableColumn id="14" name="Dowody i kontekst"/>
  </x:tableColumns>
  <x:tableStyleInfo name="TableStyleLight1" showFirstColumn="0" showLastColumn="0" showRowStripes="1" showColumnStripes="0"/>
</x:table>
</file>

<file path=xl/tables/table4.xml><?xml version="1.0" encoding="utf-8"?>
<x:table xmlns:x="http://schemas.openxmlformats.org/spreadsheetml/2006/main" id="5" name="ReportTable4" displayName="ReportTable4" ref="A6:D35" headerRowCount="1" totalsRowCount="0" totalsRowShown="0">
  <x:autoFilter ref="A6:D35"/>
  <x:tableColumns count="4">
    <x:tableColumn id="1" name="Funkcja / wielkość"/>
    <x:tableColumn id="2" name="Klasa"/>
    <x:tableColumn id="3" name="Dowód i warunek"/>
    <x:tableColumn id="4" name="Granica / brak danych"/>
  </x:tableColumns>
  <x:tableStyleInfo name="TableStyleLight1" showFirstColumn="0" showLastColumn="0" showRowStripes="1" showColumnStripes="0"/>
</x:table>
</file>

<file path=xl/tables/table5.xml><?xml version="1.0" encoding="utf-8"?>
<x:table xmlns:x="http://schemas.openxmlformats.org/spreadsheetml/2006/main" id="3" name="ReportTable5" displayName="ReportTable5" ref="A6:J71" headerRowCount="1" totalsRowCount="0" totalsRowShown="0">
  <x:autoFilter ref="A6:J71"/>
  <x:tableColumns count="10">
    <x:tableColumn id="1" name="ID źródła"/>
    <x:tableColumn id="2" name="Źródło"/>
    <x:tableColumn id="3" name="Operator / właściciel"/>
    <x:tableColumn id="4" name="Kategoria"/>
    <x:tableColumn id="5" name="Weryfikacja"/>
    <x:tableColumn id="6" name="Sprawdzono"/>
    <x:tableColumn id="7" name="API"/>
    <x:tableColumn id="8" name="GIS"/>
    <x:tableColumn id="9" name="Użycie komercyjne"/>
    <x:tableColumn id="10" name="Priorytet"/>
  </x:tableColumns>
  <x:tableStyleInfo name="TableStyleLight1" showFirstColumn="0" showLastColumn="0" showRowStripes="1" showColumnStripes="0"/>
</x:table>
</file>

<file path=xl/tables/table6.xml><?xml version="1.0" encoding="utf-8"?>
<x:table xmlns:x="http://schemas.openxmlformats.org/spreadsheetml/2006/main" id="4" name="ReportTable6" displayName="ReportTable6" ref="A6:C2813" headerRowCount="1" totalsRowCount="0" totalsRowShown="0">
  <x:autoFilter ref="A6:C2813"/>
  <x:tableColumns count="3">
    <x:tableColumn id="1" name="ID źródła"/>
    <x:tableColumn id="2" name="Pole"/>
    <x:tableColumn id="3" name="Wartość / wyjaśnienie"/>
  </x:tableColumns>
  <x:tableStyleInfo name="TableStyleLight1" showFirstColumn="0" showLastColumn="0" showRowStripes="1" showColumnStripes="0"/>
</x:table>
</file>

<file path=xl/tables/table7.xml><?xml version="1.0" encoding="utf-8"?>
<x:table xmlns:x="http://schemas.openxmlformats.org/spreadsheetml/2006/main" id="6" name="ReportTable7" displayName="ReportTable7" ref="A6:E82" headerRowCount="1" totalsRowCount="0" totalsRowShown="0">
  <x:autoFilter ref="A6:E82"/>
  <x:tableColumns count="5">
    <x:tableColumn id="1" name="ID"/>
    <x:tableColumn id="2" name="Obszar"/>
    <x:tableColumn id="3" name="Stan"/>
    <x:tableColumn id="4" name="Wyjaśnienie"/>
    <x:tableColumn id="5" name="Dalsze działanie"/>
  </x:tableColumns>
  <x:tableStyleInfo name="TableStyleLight1" showFirstColumn="0" showLastColumn="0" showRowStripes="1" showColumnStripes="0"/>
</x:table>
</file>

<file path=xl/tables/table8.xml><?xml version="1.0" encoding="utf-8"?>
<x:table xmlns:x="http://schemas.openxmlformats.org/spreadsheetml/2006/main" id="7" name="ReportTable8" displayName="ReportTable8" ref="A6:C613" headerRowCount="1" totalsRowCount="0" totalsRowShown="0">
  <x:autoFilter ref="A6:C613"/>
  <x:tableColumns count="3">
    <x:tableColumn id="1" name="Dokument"/>
    <x:tableColumn id="2" name="Sekcja"/>
    <x:tableColumn id="3" name="Treść"/>
  </x:tableColumns>
  <x:tableStyleInfo name="TableStyleLight1" showFirstColumn="0" showLastColumn="0" showRowStripes="1" showColumnStripes="0"/>
</x:table>
</file>

<file path=xl/tables/table9.xml><?xml version="1.0" encoding="utf-8"?>
<x:table xmlns:x="http://schemas.openxmlformats.org/spreadsheetml/2006/main" id="8" name="ReportTable9" displayName="ReportTable9" ref="A6:C718" headerRowCount="1" totalsRowCount="0" totalsRowShown="0">
  <x:autoFilter ref="A6:C718"/>
  <x:tableColumns count="3">
    <x:tableColumn id="1" name="Grupa / źródło"/>
    <x:tableColumn id="2" name="Kontrola"/>
    <x:tableColumn id="3" name="Wynik / wyjaśnienie"/>
  </x:tableColumns>
  <x:tableStyleInfo name="TableStyleLight1" showFirstColumn="0" showLastColumn="0" showRowStripes="1" showColumnStripes="0"/>
</x:table>
</file>

<file path=xl/tables/table10.xml><?xml version="1.0" encoding="utf-8"?>
<x:table xmlns:x="http://schemas.openxmlformats.org/spreadsheetml/2006/main" id="10" name="ReportTable10" displayName="ReportTable10" ref="A6:B55" headerRowCount="1" totalsRowCount="0" totalsRowShown="0">
  <x:autoFilter ref="A6:B55"/>
  <x:tableColumns count="2">
    <x:tableColumn id="1" name="Element"/>
    <x:tableColumn id="2" name="Wartość / instrukcja"/>
  </x:tableColumns>
  <x:tableStyleInfo name="TableStyleLight1" showFirstColumn="0" showLastColumn="0" showRowStripes="1" showColumnStripes="0"/>
</x: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5a45cfef5bb493b" /></Relationships>
</file>

<file path=xl/worksheets/_rels/sheet3.xml.rels>&#65279;<?xml version="1.0" encoding="utf-8"?><Relationships xmlns="http://schemas.openxmlformats.org/package/2006/relationships"><Relationship Type="http://schemas.openxmlformats.org/officeDocument/2006/relationships/table" Target="/xl/tables/table2.xml" Id="Rf00eb43a8ffe47ad" /></Relationships>
</file>

<file path=xl/worksheets/_rels/sheet4.xml.rels>&#65279;<?xml version="1.0" encoding="utf-8"?><Relationships xmlns="http://schemas.openxmlformats.org/package/2006/relationships"><Relationship Type="http://schemas.openxmlformats.org/officeDocument/2006/relationships/table" Target="/xl/tables/table3.xml" Id="R16e0ff83f4464e1d" /></Relationships>
</file>

<file path=xl/worksheets/_rels/sheet5.xml.rels>&#65279;<?xml version="1.0" encoding="utf-8"?><Relationships xmlns="http://schemas.openxmlformats.org/package/2006/relationships"><Relationship Type="http://schemas.openxmlformats.org/officeDocument/2006/relationships/table" Target="/xl/tables/table4.xml" Id="R0c70e7fe504443ae" /></Relationships>
</file>

<file path=xl/worksheets/_rels/sheet6.xml.rels>&#65279;<?xml version="1.0" encoding="utf-8"?><Relationships xmlns="http://schemas.openxmlformats.org/package/2006/relationships"><Relationship Type="http://schemas.openxmlformats.org/officeDocument/2006/relationships/table" Target="/xl/tables/table5.xml" Id="R26c0aad700994f57" /></Relationships>
</file>

<file path=xl/worksheets/_rels/sheet7.xml.rels>&#65279;<?xml version="1.0" encoding="utf-8"?><Relationships xmlns="http://schemas.openxmlformats.org/package/2006/relationships"><Relationship Type="http://schemas.openxmlformats.org/officeDocument/2006/relationships/table" Target="/xl/tables/table6.xml" Id="R6a0a4d0826374767" /></Relationships>
</file>

<file path=xl/worksheets/_rels/sheet8.xml.rels>&#65279;<?xml version="1.0" encoding="utf-8"?><Relationships xmlns="http://schemas.openxmlformats.org/package/2006/relationships"><Relationship Type="http://schemas.openxmlformats.org/officeDocument/2006/relationships/table" Target="/xl/tables/table7.xml" Id="R4e4409a7c6e74184" /></Relationships>
</file>

<file path=xl/worksheets/_rels/sheet9.xml.rels>&#65279;<?xml version="1.0" encoding="utf-8"?><Relationships xmlns="http://schemas.openxmlformats.org/package/2006/relationships"><Relationship Type="http://schemas.openxmlformats.org/officeDocument/2006/relationships/table" Target="/xl/tables/table8.xml" Id="R9cb95275dc6645a8" /></Relationships>
</file>

<file path=xl/worksheets/_rels/sheet10.xml.rels>&#65279;<?xml version="1.0" encoding="utf-8"?><Relationships xmlns="http://schemas.openxmlformats.org/package/2006/relationships"><Relationship Type="http://schemas.openxmlformats.org/officeDocument/2006/relationships/table" Target="/xl/tables/table9.xml" Id="R196058bc54f24c95" /></Relationships>
</file>

<file path=xl/worksheets/_rels/sheet11.xml.rels>&#65279;<?xml version="1.0" encoding="utf-8"?><Relationships xmlns="http://schemas.openxmlformats.org/package/2006/relationships"><Relationship Type="http://schemas.openxmlformats.org/officeDocument/2006/relationships/table" Target="/xl/tables/table10.xml" Id="Rfa067202f6ef4f26" /></Relationships>
</file>

<file path=xl/worksheets/sheet1.xml><?xml version="1.0" encoding="utf-8"?>
<x:worksheet xmlns:x="http://schemas.openxmlformats.org/spreadsheetml/2006/main">
  <x:sheetViews>
    <x:sheetView showGridLines="0" workbookViewId="0">
      <x:pane xSplit="3" ySplit="9" topLeftCell="D10" activePane="bottomRight" state="frozen"/>
    </x:sheetView>
  </x:sheetViews>
  <x:sheetFormatPr baseColWidth="10" defaultColWidth="8.83203125" defaultRowHeight="14"/>
  <x:cols>
    <x:col min="1" max="1" width="3.33203125" style="14" customWidth="1"/>
    <x:col min="2" max="2" width="19" style="14" customWidth="1"/>
    <x:col min="3" max="3" width="39" style="14" customWidth="1"/>
    <x:col min="4" max="4" width="18" style="14" customWidth="1"/>
    <x:col min="5" max="5" width="15" style="14" customWidth="1"/>
    <x:col min="6" max="6" width="10" style="14" customWidth="1"/>
    <x:col min="7" max="8" width="13" style="14" customWidth="1"/>
    <x:col min="9" max="9" width="10" style="14" customWidth="1"/>
    <x:col min="10" max="10" width="3" style="14" customWidth="1"/>
    <x:col min="11" max="30" width="10" style="14" customWidth="1"/>
    <x:col min="31" max="16384" width="8.83203125" style="14" customWidth="0"/>
  </x:cols>
  <x:sheetData>
    <x:row r="2" ht="32" customHeight="1">
      <x:c r="B2" s="19" t="str">
        <x:v>KSE — plan prac i raport projektu</x:v>
      </x:c>
      <x:c r="C2" s="19" t="s">
        <x:v>0</x:v>
      </x:c>
      <x:c r="D2" s="19" t="s">
        <x:v>0</x:v>
      </x:c>
      <x:c r="E2" s="19" t="s">
        <x:v>0</x:v>
      </x:c>
      <x:c r="F2" s="19" t="s">
        <x:v>0</x:v>
      </x:c>
      <x:c r="G2" s="19" t="s">
        <x:v>0</x:v>
      </x:c>
      <x:c r="H2" s="19" t="s">
        <x:v>0</x:v>
      </x:c>
      <x:c r="I2" s="19" t="s">
        <x:v>0</x:v>
      </x:c>
      <x:c r="J2" s="19" t="s">
        <x:v>0</x:v>
      </x:c>
      <x:c r="K2" s="19" t="s">
        <x:v>0</x:v>
      </x:c>
      <x:c r="L2" s="19" t="s">
        <x:v>0</x:v>
      </x:c>
      <x:c r="M2" s="19" t="s">
        <x:v>0</x:v>
      </x:c>
      <x:c r="N2" s="19" t="s">
        <x:v>0</x:v>
      </x:c>
      <x:c r="O2" s="19" t="s">
        <x:v>0</x:v>
      </x:c>
      <x:c r="P2" s="19" t="s">
        <x:v>0</x:v>
      </x:c>
      <x:c r="Q2" s="19" t="s">
        <x:v>0</x:v>
      </x:c>
      <x:c r="R2" s="19" t="s">
        <x:v>0</x:v>
      </x:c>
      <x:c r="S2" s="20" t="str">
        <x:v>Grid Connection Intelligence</x:v>
      </x:c>
      <x:c r="T2" s="20" t="s">
        <x:v>1</x:v>
      </x:c>
      <x:c r="U2" s="20" t="s">
        <x:v>1</x:v>
      </x:c>
      <x:c r="V2" s="20" t="s">
        <x:v>1</x:v>
      </x:c>
      <x:c r="W2" s="20" t="s">
        <x:v>1</x:v>
      </x:c>
      <x:c r="X2" s="20" t="s">
        <x:v>1</x:v>
      </x:c>
      <x:c r="Y2" s="20" t="s">
        <x:v>1</x:v>
      </x:c>
      <x:c r="Z2" s="20" t="s">
        <x:v>1</x:v>
      </x:c>
      <x:c r="AA2" s="20" t="s">
        <x:v>1</x:v>
      </x:c>
      <x:c r="AB2" s="20" t="s">
        <x:v>1</x:v>
      </x:c>
      <x:c r="AC2" s="20" t="s">
        <x:v>1</x:v>
      </x:c>
      <x:c r="AD2" s="20" t="s">
        <x:v>1</x:v>
      </x:c>
    </x:row>
    <x:row r="3">
      <x:c r="B3" s="15"/>
      <x:c r="C3" s="15"/>
      <x:c r="D3" s="15"/>
      <x:c r="E3" s="15"/>
      <x:c r="F3" s="15"/>
      <x:c r="G3" s="15"/>
      <x:c r="H3" s="15"/>
      <x:c r="I3" s="15"/>
      <x:c r="J3" s="15"/>
      <x:c r="K3" s="15"/>
      <x:c r="L3" s="15"/>
      <x:c r="M3" s="15"/>
      <x:c r="N3" s="15"/>
      <x:c r="O3" s="15"/>
      <x:c r="P3" s="15"/>
      <x:c r="Q3" s="15"/>
      <x:c r="R3" s="15"/>
      <x:c r="S3" s="15"/>
      <x:c r="T3" s="15"/>
      <x:c r="U3" s="15"/>
      <x:c r="V3" s="15"/>
      <x:c r="W3" s="15"/>
      <x:c r="X3" s="15"/>
      <x:c r="Y3" s="15"/>
      <x:c r="Z3" s="15"/>
      <x:c r="AA3" s="15"/>
      <x:c r="AB3" s="15"/>
      <x:c r="AC3" s="15"/>
      <x:c r="AD3" s="15"/>
    </x:row>
    <x:row r="4" ht="22" customHeight="1">
      <x:c r="B4" s="21" t="str">
        <x:v>PROJEKT</x:v>
      </x:c>
      <x:c r="C4" s="21" t="s">
        <x:v>2</x:v>
      </x:c>
      <x:c r="D4" s="21" t="s">
        <x:v>2</x:v>
      </x:c>
      <x:c r="E4" s="21" t="s">
        <x:v>2</x:v>
      </x:c>
      <x:c r="F4" s="21" t="s">
        <x:v>2</x:v>
      </x:c>
      <x:c r="G4" s="21" t="s">
        <x:v>2</x:v>
      </x:c>
      <x:c r="H4" s="21" t="s">
        <x:v>2</x:v>
      </x:c>
      <x:c r="I4" s="21" t="s">
        <x:v>2</x:v>
      </x:c>
      <x:c r="J4" s="15"/>
      <x:c r="K4" s="21" t="str">
        <x:v>STAN ZADAŃ</x:v>
      </x:c>
      <x:c r="L4" s="21" t="s">
        <x:v>3</x:v>
      </x:c>
      <x:c r="M4" s="21" t="s">
        <x:v>3</x:v>
      </x:c>
      <x:c r="N4" s="21" t="s">
        <x:v>3</x:v>
      </x:c>
      <x:c r="O4" s="21" t="s">
        <x:v>3</x:v>
      </x:c>
      <x:c r="P4" s="21" t="s">
        <x:v>3</x:v>
      </x:c>
      <x:c r="Q4" s="21" t="s">
        <x:v>3</x:v>
      </x:c>
      <x:c r="R4" s="21" t="s">
        <x:v>3</x:v>
      </x:c>
      <x:c r="S4" s="21" t="s">
        <x:v>3</x:v>
      </x:c>
      <x:c r="T4" s="21" t="s">
        <x:v>3</x:v>
      </x:c>
      <x:c r="U4" s="21" t="s">
        <x:v>3</x:v>
      </x:c>
      <x:c r="V4" s="21" t="s">
        <x:v>3</x:v>
      </x:c>
      <x:c r="W4" s="21" t="s">
        <x:v>3</x:v>
      </x:c>
      <x:c r="X4" s="21" t="s">
        <x:v>3</x:v>
      </x:c>
      <x:c r="Y4" s="21" t="s">
        <x:v>3</x:v>
      </x:c>
      <x:c r="Z4" s="21" t="s">
        <x:v>3</x:v>
      </x:c>
      <x:c r="AA4" s="21" t="s">
        <x:v>3</x:v>
      </x:c>
      <x:c r="AB4" s="21" t="s">
        <x:v>3</x:v>
      </x:c>
      <x:c r="AC4" s="21" t="s">
        <x:v>3</x:v>
      </x:c>
      <x:c r="AD4" s="21" t="s">
        <x:v>3</x:v>
      </x:c>
    </x:row>
    <x:row r="5" ht="22" customHeight="1">
      <x:c r="B5" s="18" t="str">
        <x:v>Nazwa</x:v>
      </x:c>
      <x:c r="C5" s="22" t="str">
        <x:v>Grid Connection Intelligence</x:v>
      </x:c>
      <x:c r="D5" s="22" t="s">
        <x:v>4</x:v>
      </x:c>
      <x:c r="E5" s="22" t="s">
        <x:v>4</x:v>
      </x:c>
      <x:c r="F5" s="27" t="str">
        <x:v>Koordynacja</x:v>
      </x:c>
      <x:c r="G5" s="28"/>
      <x:c r="H5" s="23" t="str">
        <x:v>Użytkownik + Codex</x:v>
      </x:c>
      <x:c r="I5" s="23" t="s">
        <x:v>5</x:v>
      </x:c>
      <x:c r="J5" s="15"/>
      <x:c r="K5" s="24" t="str">
        <x:v>WSZYSTKIE</x:v>
      </x:c>
      <x:c r="L5" s="25" t="s">
        <x:v>6</x:v>
      </x:c>
      <x:c r="M5" s="25" t="s">
        <x:v>6</x:v>
      </x:c>
      <x:c r="N5" s="26" t="s">
        <x:v>6</x:v>
      </x:c>
      <x:c r="O5" s="24" t="str">
        <x:v>ZROBIONE</x:v>
      </x:c>
      <x:c r="P5" s="25" t="s">
        <x:v>7</x:v>
      </x:c>
      <x:c r="Q5" s="25" t="s">
        <x:v>7</x:v>
      </x:c>
      <x:c r="R5" s="26" t="s">
        <x:v>7</x:v>
      </x:c>
      <x:c r="S5" s="24" t="str">
        <x:v>W TOKU</x:v>
      </x:c>
      <x:c r="T5" s="25" t="s">
        <x:v>8</x:v>
      </x:c>
      <x:c r="U5" s="25" t="s">
        <x:v>8</x:v>
      </x:c>
      <x:c r="V5" s="26" t="s">
        <x:v>8</x:v>
      </x:c>
      <x:c r="W5" s="24" t="str">
        <x:v>ZAGROŻONE</x:v>
      </x:c>
      <x:c r="X5" s="25" t="s">
        <x:v>9</x:v>
      </x:c>
      <x:c r="Y5" s="25" t="s">
        <x:v>9</x:v>
      </x:c>
      <x:c r="Z5" s="26" t="s">
        <x:v>9</x:v>
      </x:c>
      <x:c r="AA5" s="24" t="str">
        <x:v>PRIORYTET P0</x:v>
      </x:c>
      <x:c r="AB5" s="25" t="s">
        <x:v>10</x:v>
      </x:c>
      <x:c r="AC5" s="25" t="s">
        <x:v>10</x:v>
      </x:c>
      <x:c r="AD5" s="26" t="s">
        <x:v>10</x:v>
      </x:c>
    </x:row>
    <x:row r="6" ht="22" customHeight="1">
      <x:c r="B6" s="18" t="str">
        <x:v>Obszar</x:v>
      </x:c>
      <x:c r="C6" s="23" t="str">
        <x:v>Polska</x:v>
      </x:c>
      <x:c r="D6" s="23" t="s">
        <x:v>11</x:v>
      </x:c>
      <x:c r="E6" s="23" t="s">
        <x:v>11</x:v>
      </x:c>
      <x:c r="F6" s="27" t="str">
        <x:v>Oś od tygodnia</x:v>
      </x:c>
      <x:c r="G6" s="28"/>
      <x:c r="H6" s="41" t="n">
        <x:v>46279</x:v>
      </x:c>
      <x:c r="I6" s="41">
        <x:v>46209</x:v>
      </x:c>
      <x:c r="J6" s="15"/>
      <x:c r="K6" s="42" t="n">
        <x:f>COUNTA('TODO'!A7:A44)</x:f>
        <x:v>38</x:v>
      </x:c>
      <x:c r="L6" s="43"/>
      <x:c r="M6" s="43"/>
      <x:c r="N6" s="44"/>
      <x:c r="O6" s="45" t="n">
        <x:f>COUNTIFS('TODO'!C7:C44,"Complete")</x:f>
        <x:v>14</x:v>
      </x:c>
      <x:c r="P6" s="46"/>
      <x:c r="Q6" s="46"/>
      <x:c r="R6" s="47"/>
      <x:c r="S6" s="35" t="n">
        <x:f>COUNTIFS('TODO'!C7:C44,"In Progress")</x:f>
        <x:v>3</x:v>
      </x:c>
      <x:c r="T6" s="36"/>
      <x:c r="U6" s="36"/>
      <x:c r="V6" s="37"/>
      <x:c r="W6" s="38" t="n">
        <x:f>COUNTIFS('TODO'!C7:C44,"At Risk")</x:f>
        <x:v>1</x:v>
      </x:c>
      <x:c r="X6" s="39"/>
      <x:c r="Y6" s="39"/>
      <x:c r="Z6" s="40"/>
      <x:c r="AA6" s="38" t="n">
        <x:f>COUNTIFS('TODO'!D7:D44,"P0")</x:f>
        <x:v>26</x:v>
      </x:c>
      <x:c r="AB6" s="39"/>
      <x:c r="AC6" s="39"/>
      <x:c r="AD6" s="40"/>
    </x:row>
    <x:row r="7">
      <x:c r="B7" s="15"/>
      <x:c r="C7" s="15"/>
      <x:c r="D7" s="15"/>
      <x:c r="E7" s="15"/>
      <x:c r="F7" s="15"/>
      <x:c r="G7" s="15"/>
      <x:c r="H7" s="15"/>
      <x:c r="I7" s="15"/>
      <x:c r="J7" s="15"/>
      <x:c r="K7" s="15"/>
      <x:c r="L7" s="15"/>
      <x:c r="M7" s="15"/>
      <x:c r="N7" s="15"/>
      <x:c r="O7" s="15"/>
      <x:c r="P7" s="15"/>
      <x:c r="Q7" s="15"/>
      <x:c r="R7" s="15"/>
      <x:c r="S7" s="15"/>
      <x:c r="T7" s="15"/>
      <x:c r="U7" s="15"/>
      <x:c r="V7" s="15"/>
      <x:c r="W7" s="15"/>
      <x:c r="X7" s="15"/>
      <x:c r="Y7" s="15"/>
      <x:c r="Z7" s="15"/>
      <x:c r="AA7" s="15"/>
      <x:c r="AB7" s="15"/>
      <x:c r="AC7" s="15"/>
      <x:c r="AD7" s="15"/>
    </x:row>
    <x:row r="8" ht="22" customHeight="1">
      <x:c r="B8" s="21" t="str">
        <x:v>PLAN PRAC</x:v>
      </x:c>
      <x:c r="C8" s="21" t="s">
        <x:v>12</x:v>
      </x:c>
      <x:c r="D8" s="21" t="s">
        <x:v>12</x:v>
      </x:c>
      <x:c r="E8" s="21" t="s">
        <x:v>12</x:v>
      </x:c>
      <x:c r="F8" s="21" t="s">
        <x:v>12</x:v>
      </x:c>
      <x:c r="G8" s="21" t="s">
        <x:v>12</x:v>
      </x:c>
      <x:c r="H8" s="21" t="s">
        <x:v>12</x:v>
      </x:c>
      <x:c r="I8" s="21" t="s">
        <x:v>12</x:v>
      </x:c>
      <x:c r="J8" s="15"/>
      <x:c r="K8" s="21" t="str">
        <x:v>OŚ CZASU — TYLKO USTALONE DATY</x:v>
      </x:c>
      <x:c r="L8" s="21" t="s">
        <x:v>13</x:v>
      </x:c>
      <x:c r="M8" s="21" t="s">
        <x:v>13</x:v>
      </x:c>
      <x:c r="N8" s="21" t="s">
        <x:v>13</x:v>
      </x:c>
      <x:c r="O8" s="21" t="s">
        <x:v>13</x:v>
      </x:c>
      <x:c r="P8" s="21" t="s">
        <x:v>13</x:v>
      </x:c>
      <x:c r="Q8" s="21" t="s">
        <x:v>13</x:v>
      </x:c>
      <x:c r="R8" s="21" t="s">
        <x:v>13</x:v>
      </x:c>
      <x:c r="S8" s="21" t="s">
        <x:v>13</x:v>
      </x:c>
      <x:c r="T8" s="21" t="s">
        <x:v>13</x:v>
      </x:c>
      <x:c r="U8" s="21" t="s">
        <x:v>13</x:v>
      </x:c>
      <x:c r="V8" s="21" t="s">
        <x:v>13</x:v>
      </x:c>
      <x:c r="W8" s="21" t="s">
        <x:v>13</x:v>
      </x:c>
      <x:c r="X8" s="21" t="s">
        <x:v>13</x:v>
      </x:c>
      <x:c r="Y8" s="21" t="s">
        <x:v>13</x:v>
      </x:c>
      <x:c r="Z8" s="21" t="s">
        <x:v>13</x:v>
      </x:c>
      <x:c r="AA8" s="21" t="s">
        <x:v>13</x:v>
      </x:c>
      <x:c r="AB8" s="21" t="s">
        <x:v>13</x:v>
      </x:c>
      <x:c r="AC8" s="21" t="s">
        <x:v>13</x:v>
      </x:c>
      <x:c r="AD8" s="21" t="s">
        <x:v>13</x:v>
      </x:c>
    </x:row>
    <x:row r="9" ht="28" customHeight="1">
      <x:c r="B9" s="1" t="str">
        <x:v>Etap</x:v>
      </x:c>
      <x:c r="C9" s="1" t="str">
        <x:v>Zadanie</x:v>
      </x:c>
      <x:c r="D9" s="1" t="str">
        <x:v>Odpowiedzialność</x:v>
      </x:c>
      <x:c r="E9" s="1" t="str">
        <x:v>Status</x:v>
      </x:c>
      <x:c r="F9" s="1" t="str">
        <x:v>Priorytet</x:v>
      </x:c>
      <x:c r="G9" s="1" t="str">
        <x:v>Początek</x:v>
      </x:c>
      <x:c r="H9" s="1" t="str">
        <x:v>Koniec</x:v>
      </x:c>
      <x:c r="I9" s="1" t="str">
        <x:v>Dni</x:v>
      </x:c>
      <x:c r="J9" s="15"/>
      <x:c r="K9" s="2" t="n">
        <x:f>$H$6</x:f>
        <x:v>46279</x:v>
      </x:c>
      <x:c r="L9" s="2" t="n">
        <x:f t="shared" ref="L9:AD9" si="0">K9+7</x:f>
        <x:v>46286</x:v>
      </x:c>
      <x:c r="M9" s="2" t="n">
        <x:f t="shared" si="0">L9+7</x:f>
        <x:v>46293</x:v>
      </x:c>
      <x:c r="N9" s="2" t="n">
        <x:f t="shared" si="0">M9+7</x:f>
        <x:v>46300</x:v>
      </x:c>
      <x:c r="O9" s="2" t="n">
        <x:f t="shared" si="0">N9+7</x:f>
        <x:v>46307</x:v>
      </x:c>
      <x:c r="P9" s="2" t="n">
        <x:f t="shared" si="0">O9+7</x:f>
        <x:v>46314</x:v>
      </x:c>
      <x:c r="Q9" s="2" t="n">
        <x:f t="shared" si="0">P9+7</x:f>
        <x:v>46321</x:v>
      </x:c>
      <x:c r="R9" s="2" t="n">
        <x:f t="shared" si="0">Q9+7</x:f>
        <x:v>46328</x:v>
      </x:c>
      <x:c r="S9" s="2" t="n">
        <x:f t="shared" si="0">R9+7</x:f>
        <x:v>46335</x:v>
      </x:c>
      <x:c r="T9" s="2" t="n">
        <x:f t="shared" si="0">S9+7</x:f>
        <x:v>46342</x:v>
      </x:c>
      <x:c r="U9" s="2" t="n">
        <x:f t="shared" si="0">T9+7</x:f>
        <x:v>46349</x:v>
      </x:c>
      <x:c r="V9" s="2" t="n">
        <x:f t="shared" si="0">U9+7</x:f>
        <x:v>46356</x:v>
      </x:c>
      <x:c r="W9" s="2" t="n">
        <x:f t="shared" si="0">V9+7</x:f>
        <x:v>46363</x:v>
      </x:c>
      <x:c r="X9" s="2" t="n">
        <x:f t="shared" si="0">W9+7</x:f>
        <x:v>46370</x:v>
      </x:c>
      <x:c r="Y9" s="2" t="n">
        <x:f t="shared" si="0">X9+7</x:f>
        <x:v>46377</x:v>
      </x:c>
      <x:c r="Z9" s="2" t="n">
        <x:f t="shared" si="0">Y9+7</x:f>
        <x:v>46384</x:v>
      </x:c>
      <x:c r="AA9" s="2" t="n">
        <x:f t="shared" si="0">Z9+7</x:f>
        <x:v>46391</x:v>
      </x:c>
      <x:c r="AB9" s="2" t="n">
        <x:f t="shared" si="0">AA9+7</x:f>
        <x:v>46398</x:v>
      </x:c>
      <x:c r="AC9" s="2" t="n">
        <x:f t="shared" si="0">AB9+7</x:f>
        <x:v>46405</x:v>
      </x:c>
      <x:c r="AD9" s="2" t="n">
        <x:f t="shared" si="0">AC9+7</x:f>
        <x:v>46412</x:v>
      </x:c>
    </x:row>
    <x:row r="10" ht="48" customHeight="1">
      <x:c r="B10" s="65" t="str">
        <x:v>Dane</x:v>
      </x:c>
      <x:c r="C10" s="66" t="str">
        <x:v>KSE-009 Zweryfikować dostęp do publikacji PGE</x:v>
      </x:c>
      <x:c r="D10" s="67" t="str">
        <x:v>Codex</x:v>
      </x:c>
      <x:c r="E10" s="67" t="str">
        <x:v>At Risk</x:v>
      </x:c>
      <x:c r="F10" s="67" t="str">
        <x:v>P0</x:v>
      </x:c>
      <x:c r="G10" s="68"/>
      <x:c r="H10" s="68"/>
      <x:c r="I10" s="11" t="str">
        <x:f t="shared" ref="I10:I39" si="1">IF(OR(G10="",H10="",H10&lt;G10),"",H10-G10+1)</x:f>
      </x:c>
      <x:c r="J10" s="15"/>
      <x:c r="K10" s="12" t="str">
        <x:f t="shared" ref="K10:T19" si="2">IF(OR($G10="",$H10="",$H10&lt;$G10),"",IF(AND(K$9&lt;=$H10,K$9+6&gt;=$G10),1,""))</x:f>
      </x:c>
      <x:c r="L10" s="13" t="str">
        <x:f t="shared" si="2">IF(OR($G10="",$H10="",$H10&lt;$G10),"",IF(AND(L$9&lt;=$H10,L$9+6&gt;=$G10),1,""))</x:f>
      </x:c>
      <x:c r="M10" s="12" t="str">
        <x:f t="shared" si="2">IF(OR($G10="",$H10="",$H10&lt;$G10),"",IF(AND(M$9&lt;=$H10,M$9+6&gt;=$G10),1,""))</x:f>
      </x:c>
      <x:c r="N10" s="13" t="str">
        <x:f t="shared" si="2">IF(OR($G10="",$H10="",$H10&lt;$G10),"",IF(AND(N$9&lt;=$H10,N$9+6&gt;=$G10),1,""))</x:f>
      </x:c>
      <x:c r="O10" s="12" t="str">
        <x:f t="shared" si="2">IF(OR($G10="",$H10="",$H10&lt;$G10),"",IF(AND(O$9&lt;=$H10,O$9+6&gt;=$G10),1,""))</x:f>
      </x:c>
      <x:c r="P10" s="13" t="str">
        <x:f t="shared" si="2">IF(OR($G10="",$H10="",$H10&lt;$G10),"",IF(AND(P$9&lt;=$H10,P$9+6&gt;=$G10),1,""))</x:f>
      </x:c>
      <x:c r="Q10" s="12" t="str">
        <x:f t="shared" si="2">IF(OR($G10="",$H10="",$H10&lt;$G10),"",IF(AND(Q$9&lt;=$H10,Q$9+6&gt;=$G10),1,""))</x:f>
      </x:c>
      <x:c r="R10" s="13" t="str">
        <x:f t="shared" si="2">IF(OR($G10="",$H10="",$H10&lt;$G10),"",IF(AND(R$9&lt;=$H10,R$9+6&gt;=$G10),1,""))</x:f>
      </x:c>
      <x:c r="S10" s="12" t="str">
        <x:f t="shared" si="2">IF(OR($G10="",$H10="",$H10&lt;$G10),"",IF(AND(S$9&lt;=$H10,S$9+6&gt;=$G10),1,""))</x:f>
      </x:c>
      <x:c r="T10" s="13" t="str">
        <x:f t="shared" si="2">IF(OR($G10="",$H10="",$H10&lt;$G10),"",IF(AND(T$9&lt;=$H10,T$9+6&gt;=$G10),1,""))</x:f>
      </x:c>
      <x:c r="U10" s="12" t="str">
        <x:f t="shared" ref="U10:AD19" si="3">IF(OR($G10="",$H10="",$H10&lt;$G10),"",IF(AND(U$9&lt;=$H10,U$9+6&gt;=$G10),1,""))</x:f>
      </x:c>
      <x:c r="V10" s="13" t="str">
        <x:f t="shared" si="3">IF(OR($G10="",$H10="",$H10&lt;$G10),"",IF(AND(V$9&lt;=$H10,V$9+6&gt;=$G10),1,""))</x:f>
      </x:c>
      <x:c r="W10" s="12" t="str">
        <x:f t="shared" si="3">IF(OR($G10="",$H10="",$H10&lt;$G10),"",IF(AND(W$9&lt;=$H10,W$9+6&gt;=$G10),1,""))</x:f>
      </x:c>
      <x:c r="X10" s="13" t="str">
        <x:f t="shared" si="3">IF(OR($G10="",$H10="",$H10&lt;$G10),"",IF(AND(X$9&lt;=$H10,X$9+6&gt;=$G10),1,""))</x:f>
      </x:c>
      <x:c r="Y10" s="12" t="str">
        <x:f t="shared" si="3">IF(OR($G10="",$H10="",$H10&lt;$G10),"",IF(AND(Y$9&lt;=$H10,Y$9+6&gt;=$G10),1,""))</x:f>
      </x:c>
      <x:c r="Z10" s="13" t="str">
        <x:f t="shared" si="3">IF(OR($G10="",$H10="",$H10&lt;$G10),"",IF(AND(Z$9&lt;=$H10,Z$9+6&gt;=$G10),1,""))</x:f>
      </x:c>
      <x:c r="AA10" s="12" t="str">
        <x:f t="shared" si="3">IF(OR($G10="",$H10="",$H10&lt;$G10),"",IF(AND(AA$9&lt;=$H10,AA$9+6&gt;=$G10),1,""))</x:f>
      </x:c>
      <x:c r="AB10" s="13" t="str">
        <x:f t="shared" si="3">IF(OR($G10="",$H10="",$H10&lt;$G10),"",IF(AND(AB$9&lt;=$H10,AB$9+6&gt;=$G10),1,""))</x:f>
      </x:c>
      <x:c r="AC10" s="12" t="str">
        <x:f t="shared" si="3">IF(OR($G10="",$H10="",$H10&lt;$G10),"",IF(AND(AC$9&lt;=$H10,AC$9+6&gt;=$G10),1,""))</x:f>
      </x:c>
      <x:c r="AD10" s="13" t="str">
        <x:f t="shared" si="3">IF(OR($G10="",$H10="",$H10&lt;$G10),"",IF(AND(AD$9&lt;=$H10,AD$9+6&gt;=$G10),1,""))</x:f>
      </x:c>
    </x:row>
    <x:row r="11" ht="48" customHeight="1">
      <x:c r="B11" s="69" t="str">
        <x:v>Dane</x:v>
      </x:c>
      <x:c r="C11" s="70" t="str">
        <x:v>KSE-010 Ustalić prawa źródeł wybranych do pilota</x:v>
      </x:c>
      <x:c r="D11" s="71" t="str">
        <x:v>Użytkownik + Codex</x:v>
      </x:c>
      <x:c r="E11" s="71" t="str">
        <x:v>Not Started</x:v>
      </x:c>
      <x:c r="F11" s="71" t="str">
        <x:v>P0</x:v>
      </x:c>
      <x:c r="G11" s="72"/>
      <x:c r="H11" s="72"/>
      <x:c r="I11" s="11" t="str">
        <x:f t="shared" si="1">IF(OR(G11="",H11="",H11&lt;G11),"",H11-G11+1)</x:f>
      </x:c>
      <x:c r="J11" s="15"/>
      <x:c r="K11" s="12" t="str">
        <x:f t="shared" si="2">IF(OR($G11="",$H11="",$H11&lt;$G11),"",IF(AND(K$9&lt;=$H11,K$9+6&gt;=$G11),1,""))</x:f>
      </x:c>
      <x:c r="L11" s="13" t="str">
        <x:f t="shared" si="2">IF(OR($G11="",$H11="",$H11&lt;$G11),"",IF(AND(L$9&lt;=$H11,L$9+6&gt;=$G11),1,""))</x:f>
      </x:c>
      <x:c r="M11" s="12" t="str">
        <x:f t="shared" si="2">IF(OR($G11="",$H11="",$H11&lt;$G11),"",IF(AND(M$9&lt;=$H11,M$9+6&gt;=$G11),1,""))</x:f>
      </x:c>
      <x:c r="N11" s="13" t="str">
        <x:f t="shared" si="2">IF(OR($G11="",$H11="",$H11&lt;$G11),"",IF(AND(N$9&lt;=$H11,N$9+6&gt;=$G11),1,""))</x:f>
      </x:c>
      <x:c r="O11" s="12" t="str">
        <x:f t="shared" si="2">IF(OR($G11="",$H11="",$H11&lt;$G11),"",IF(AND(O$9&lt;=$H11,O$9+6&gt;=$G11),1,""))</x:f>
      </x:c>
      <x:c r="P11" s="13" t="str">
        <x:f t="shared" si="2">IF(OR($G11="",$H11="",$H11&lt;$G11),"",IF(AND(P$9&lt;=$H11,P$9+6&gt;=$G11),1,""))</x:f>
      </x:c>
      <x:c r="Q11" s="12" t="str">
        <x:f t="shared" si="2">IF(OR($G11="",$H11="",$H11&lt;$G11),"",IF(AND(Q$9&lt;=$H11,Q$9+6&gt;=$G11),1,""))</x:f>
      </x:c>
      <x:c r="R11" s="13" t="str">
        <x:f t="shared" si="2">IF(OR($G11="",$H11="",$H11&lt;$G11),"",IF(AND(R$9&lt;=$H11,R$9+6&gt;=$G11),1,""))</x:f>
      </x:c>
      <x:c r="S11" s="12" t="str">
        <x:f t="shared" si="2">IF(OR($G11="",$H11="",$H11&lt;$G11),"",IF(AND(S$9&lt;=$H11,S$9+6&gt;=$G11),1,""))</x:f>
      </x:c>
      <x:c r="T11" s="13" t="str">
        <x:f t="shared" si="2">IF(OR($G11="",$H11="",$H11&lt;$G11),"",IF(AND(T$9&lt;=$H11,T$9+6&gt;=$G11),1,""))</x:f>
      </x:c>
      <x:c r="U11" s="12" t="str">
        <x:f t="shared" si="3">IF(OR($G11="",$H11="",$H11&lt;$G11),"",IF(AND(U$9&lt;=$H11,U$9+6&gt;=$G11),1,""))</x:f>
      </x:c>
      <x:c r="V11" s="13" t="str">
        <x:f t="shared" si="3">IF(OR($G11="",$H11="",$H11&lt;$G11),"",IF(AND(V$9&lt;=$H11,V$9+6&gt;=$G11),1,""))</x:f>
      </x:c>
      <x:c r="W11" s="12" t="str">
        <x:f t="shared" si="3">IF(OR($G11="",$H11="",$H11&lt;$G11),"",IF(AND(W$9&lt;=$H11,W$9+6&gt;=$G11),1,""))</x:f>
      </x:c>
      <x:c r="X11" s="13" t="str">
        <x:f t="shared" si="3">IF(OR($G11="",$H11="",$H11&lt;$G11),"",IF(AND(X$9&lt;=$H11,X$9+6&gt;=$G11),1,""))</x:f>
      </x:c>
      <x:c r="Y11" s="12" t="str">
        <x:f t="shared" si="3">IF(OR($G11="",$H11="",$H11&lt;$G11),"",IF(AND(Y$9&lt;=$H11,Y$9+6&gt;=$G11),1,""))</x:f>
      </x:c>
      <x:c r="Z11" s="13" t="str">
        <x:f t="shared" si="3">IF(OR($G11="",$H11="",$H11&lt;$G11),"",IF(AND(Z$9&lt;=$H11,Z$9+6&gt;=$G11),1,""))</x:f>
      </x:c>
      <x:c r="AA11" s="12" t="str">
        <x:f t="shared" si="3">IF(OR($G11="",$H11="",$H11&lt;$G11),"",IF(AND(AA$9&lt;=$H11,AA$9+6&gt;=$G11),1,""))</x:f>
      </x:c>
      <x:c r="AB11" s="13" t="str">
        <x:f t="shared" si="3">IF(OR($G11="",$H11="",$H11&lt;$G11),"",IF(AND(AB$9&lt;=$H11,AB$9+6&gt;=$G11),1,""))</x:f>
      </x:c>
      <x:c r="AC11" s="12" t="str">
        <x:f t="shared" si="3">IF(OR($G11="",$H11="",$H11&lt;$G11),"",IF(AND(AC$9&lt;=$H11,AC$9+6&gt;=$G11),1,""))</x:f>
      </x:c>
      <x:c r="AD11" s="13" t="str">
        <x:f t="shared" si="3">IF(OR($G11="",$H11="",$H11&lt;$G11),"",IF(AND(AD$9&lt;=$H11,AD$9+6&gt;=$G11),1,""))</x:f>
      </x:c>
    </x:row>
    <x:row r="12" ht="48" customHeight="1">
      <x:c r="B12" s="65" t="str">
        <x:v>Produkt</x:v>
      </x:c>
      <x:c r="C12" s="66" t="str">
        <x:v>KSE-013 Wybrać stację i obszar pilota</x:v>
      </x:c>
      <x:c r="D12" s="67" t="str">
        <x:v>Użytkownik + Codex</x:v>
      </x:c>
      <x:c r="E12" s="67" t="str">
        <x:v>In Progress</x:v>
      </x:c>
      <x:c r="F12" s="67" t="str">
        <x:v>P0</x:v>
      </x:c>
      <x:c r="G12" s="68" t="n">
        <x:v>46276</x:v>
      </x:c>
      <x:c r="H12" s="68"/>
      <x:c r="I12" s="11" t="str">
        <x:f t="shared" si="1">IF(OR(G12="",H12="",H12&lt;G12),"",H12-G12+1)</x:f>
      </x:c>
      <x:c r="J12" s="15"/>
      <x:c r="K12" s="12" t="str">
        <x:f t="shared" si="2">IF(OR($G12="",$H12="",$H12&lt;$G12),"",IF(AND(K$9&lt;=$H12,K$9+6&gt;=$G12),1,""))</x:f>
      </x:c>
      <x:c r="L12" s="13" t="str">
        <x:f t="shared" si="2">IF(OR($G12="",$H12="",$H12&lt;$G12),"",IF(AND(L$9&lt;=$H12,L$9+6&gt;=$G12),1,""))</x:f>
      </x:c>
      <x:c r="M12" s="12" t="str">
        <x:f t="shared" si="2">IF(OR($G12="",$H12="",$H12&lt;$G12),"",IF(AND(M$9&lt;=$H12,M$9+6&gt;=$G12),1,""))</x:f>
      </x:c>
      <x:c r="N12" s="13" t="str">
        <x:f t="shared" si="2">IF(OR($G12="",$H12="",$H12&lt;$G12),"",IF(AND(N$9&lt;=$H12,N$9+6&gt;=$G12),1,""))</x:f>
      </x:c>
      <x:c r="O12" s="12" t="str">
        <x:f t="shared" si="2">IF(OR($G12="",$H12="",$H12&lt;$G12),"",IF(AND(O$9&lt;=$H12,O$9+6&gt;=$G12),1,""))</x:f>
      </x:c>
      <x:c r="P12" s="13" t="str">
        <x:f t="shared" si="2">IF(OR($G12="",$H12="",$H12&lt;$G12),"",IF(AND(P$9&lt;=$H12,P$9+6&gt;=$G12),1,""))</x:f>
      </x:c>
      <x:c r="Q12" s="12" t="str">
        <x:f t="shared" si="2">IF(OR($G12="",$H12="",$H12&lt;$G12),"",IF(AND(Q$9&lt;=$H12,Q$9+6&gt;=$G12),1,""))</x:f>
      </x:c>
      <x:c r="R12" s="13" t="str">
        <x:f t="shared" si="2">IF(OR($G12="",$H12="",$H12&lt;$G12),"",IF(AND(R$9&lt;=$H12,R$9+6&gt;=$G12),1,""))</x:f>
      </x:c>
      <x:c r="S12" s="12" t="str">
        <x:f t="shared" si="2">IF(OR($G12="",$H12="",$H12&lt;$G12),"",IF(AND(S$9&lt;=$H12,S$9+6&gt;=$G12),1,""))</x:f>
      </x:c>
      <x:c r="T12" s="13" t="str">
        <x:f t="shared" si="2">IF(OR($G12="",$H12="",$H12&lt;$G12),"",IF(AND(T$9&lt;=$H12,T$9+6&gt;=$G12),1,""))</x:f>
      </x:c>
      <x:c r="U12" s="12" t="str">
        <x:f t="shared" si="3">IF(OR($G12="",$H12="",$H12&lt;$G12),"",IF(AND(U$9&lt;=$H12,U$9+6&gt;=$G12),1,""))</x:f>
      </x:c>
      <x:c r="V12" s="13" t="str">
        <x:f t="shared" si="3">IF(OR($G12="",$H12="",$H12&lt;$G12),"",IF(AND(V$9&lt;=$H12,V$9+6&gt;=$G12),1,""))</x:f>
      </x:c>
      <x:c r="W12" s="12" t="str">
        <x:f t="shared" si="3">IF(OR($G12="",$H12="",$H12&lt;$G12),"",IF(AND(W$9&lt;=$H12,W$9+6&gt;=$G12),1,""))</x:f>
      </x:c>
      <x:c r="X12" s="13" t="str">
        <x:f t="shared" si="3">IF(OR($G12="",$H12="",$H12&lt;$G12),"",IF(AND(X$9&lt;=$H12,X$9+6&gt;=$G12),1,""))</x:f>
      </x:c>
      <x:c r="Y12" s="12" t="str">
        <x:f t="shared" si="3">IF(OR($G12="",$H12="",$H12&lt;$G12),"",IF(AND(Y$9&lt;=$H12,Y$9+6&gt;=$G12),1,""))</x:f>
      </x:c>
      <x:c r="Z12" s="13" t="str">
        <x:f t="shared" si="3">IF(OR($G12="",$H12="",$H12&lt;$G12),"",IF(AND(Z$9&lt;=$H12,Z$9+6&gt;=$G12),1,""))</x:f>
      </x:c>
      <x:c r="AA12" s="12" t="str">
        <x:f t="shared" si="3">IF(OR($G12="",$H12="",$H12&lt;$G12),"",IF(AND(AA$9&lt;=$H12,AA$9+6&gt;=$G12),1,""))</x:f>
      </x:c>
      <x:c r="AB12" s="13" t="str">
        <x:f t="shared" si="3">IF(OR($G12="",$H12="",$H12&lt;$G12),"",IF(AND(AB$9&lt;=$H12,AB$9+6&gt;=$G12),1,""))</x:f>
      </x:c>
      <x:c r="AC12" s="12" t="str">
        <x:f t="shared" si="3">IF(OR($G12="",$H12="",$H12&lt;$G12),"",IF(AND(AC$9&lt;=$H12,AC$9+6&gt;=$G12),1,""))</x:f>
      </x:c>
      <x:c r="AD12" s="13" t="str">
        <x:f t="shared" si="3">IF(OR($G12="",$H12="",$H12&lt;$G12),"",IF(AND(AD$9&lt;=$H12,AD$9+6&gt;=$G12),1,""))</x:f>
      </x:c>
    </x:row>
    <x:row r="13" ht="48" customHeight="1">
      <x:c r="B13" s="69" t="str">
        <x:v>Model</x:v>
      </x:c>
      <x:c r="C13" s="70" t="str">
        <x:v>KSE-014 Zaprojektować model i architekturę pilota</x:v>
      </x:c>
      <x:c r="D13" s="71" t="str">
        <x:v>Codex</x:v>
      </x:c>
      <x:c r="E13" s="71" t="str">
        <x:v>Not Started</x:v>
      </x:c>
      <x:c r="F13" s="71" t="str">
        <x:v>P0</x:v>
      </x:c>
      <x:c r="G13" s="72"/>
      <x:c r="H13" s="72"/>
      <x:c r="I13" s="11" t="str">
        <x:f t="shared" si="1">IF(OR(G13="",H13="",H13&lt;G13),"",H13-G13+1)</x:f>
      </x:c>
      <x:c r="J13" s="15"/>
      <x:c r="K13" s="12" t="str">
        <x:f t="shared" si="2">IF(OR($G13="",$H13="",$H13&lt;$G13),"",IF(AND(K$9&lt;=$H13,K$9+6&gt;=$G13),1,""))</x:f>
      </x:c>
      <x:c r="L13" s="13" t="str">
        <x:f t="shared" si="2">IF(OR($G13="",$H13="",$H13&lt;$G13),"",IF(AND(L$9&lt;=$H13,L$9+6&gt;=$G13),1,""))</x:f>
      </x:c>
      <x:c r="M13" s="12" t="str">
        <x:f t="shared" si="2">IF(OR($G13="",$H13="",$H13&lt;$G13),"",IF(AND(M$9&lt;=$H13,M$9+6&gt;=$G13),1,""))</x:f>
      </x:c>
      <x:c r="N13" s="13" t="str">
        <x:f t="shared" si="2">IF(OR($G13="",$H13="",$H13&lt;$G13),"",IF(AND(N$9&lt;=$H13,N$9+6&gt;=$G13),1,""))</x:f>
      </x:c>
      <x:c r="O13" s="12" t="str">
        <x:f t="shared" si="2">IF(OR($G13="",$H13="",$H13&lt;$G13),"",IF(AND(O$9&lt;=$H13,O$9+6&gt;=$G13),1,""))</x:f>
      </x:c>
      <x:c r="P13" s="13" t="str">
        <x:f t="shared" si="2">IF(OR($G13="",$H13="",$H13&lt;$G13),"",IF(AND(P$9&lt;=$H13,P$9+6&gt;=$G13),1,""))</x:f>
      </x:c>
      <x:c r="Q13" s="12" t="str">
        <x:f t="shared" si="2">IF(OR($G13="",$H13="",$H13&lt;$G13),"",IF(AND(Q$9&lt;=$H13,Q$9+6&gt;=$G13),1,""))</x:f>
      </x:c>
      <x:c r="R13" s="13" t="str">
        <x:f t="shared" si="2">IF(OR($G13="",$H13="",$H13&lt;$G13),"",IF(AND(R$9&lt;=$H13,R$9+6&gt;=$G13),1,""))</x:f>
      </x:c>
      <x:c r="S13" s="12" t="str">
        <x:f t="shared" si="2">IF(OR($G13="",$H13="",$H13&lt;$G13),"",IF(AND(S$9&lt;=$H13,S$9+6&gt;=$G13),1,""))</x:f>
      </x:c>
      <x:c r="T13" s="13" t="str">
        <x:f t="shared" si="2">IF(OR($G13="",$H13="",$H13&lt;$G13),"",IF(AND(T$9&lt;=$H13,T$9+6&gt;=$G13),1,""))</x:f>
      </x:c>
      <x:c r="U13" s="12" t="str">
        <x:f t="shared" si="3">IF(OR($G13="",$H13="",$H13&lt;$G13),"",IF(AND(U$9&lt;=$H13,U$9+6&gt;=$G13),1,""))</x:f>
      </x:c>
      <x:c r="V13" s="13" t="str">
        <x:f t="shared" si="3">IF(OR($G13="",$H13="",$H13&lt;$G13),"",IF(AND(V$9&lt;=$H13,V$9+6&gt;=$G13),1,""))</x:f>
      </x:c>
      <x:c r="W13" s="12" t="str">
        <x:f t="shared" si="3">IF(OR($G13="",$H13="",$H13&lt;$G13),"",IF(AND(W$9&lt;=$H13,W$9+6&gt;=$G13),1,""))</x:f>
      </x:c>
      <x:c r="X13" s="13" t="str">
        <x:f t="shared" si="3">IF(OR($G13="",$H13="",$H13&lt;$G13),"",IF(AND(X$9&lt;=$H13,X$9+6&gt;=$G13),1,""))</x:f>
      </x:c>
      <x:c r="Y13" s="12" t="str">
        <x:f t="shared" si="3">IF(OR($G13="",$H13="",$H13&lt;$G13),"",IF(AND(Y$9&lt;=$H13,Y$9+6&gt;=$G13),1,""))</x:f>
      </x:c>
      <x:c r="Z13" s="13" t="str">
        <x:f t="shared" si="3">IF(OR($G13="",$H13="",$H13&lt;$G13),"",IF(AND(Z$9&lt;=$H13,Z$9+6&gt;=$G13),1,""))</x:f>
      </x:c>
      <x:c r="AA13" s="12" t="str">
        <x:f t="shared" si="3">IF(OR($G13="",$H13="",$H13&lt;$G13),"",IF(AND(AA$9&lt;=$H13,AA$9+6&gt;=$G13),1,""))</x:f>
      </x:c>
      <x:c r="AB13" s="13" t="str">
        <x:f t="shared" si="3">IF(OR($G13="",$H13="",$H13&lt;$G13),"",IF(AND(AB$9&lt;=$H13,AB$9+6&gt;=$G13),1,""))</x:f>
      </x:c>
      <x:c r="AC13" s="12" t="str">
        <x:f t="shared" si="3">IF(OR($G13="",$H13="",$H13&lt;$G13),"",IF(AND(AC$9&lt;=$H13,AC$9+6&gt;=$G13),1,""))</x:f>
      </x:c>
      <x:c r="AD13" s="13" t="str">
        <x:f t="shared" si="3">IF(OR($G13="",$H13="",$H13&lt;$G13),"",IF(AND(AD$9&lt;=$H13,AD$9+6&gt;=$G13),1,""))</x:f>
      </x:c>
    </x:row>
    <x:row r="14" ht="48" customHeight="1">
      <x:c r="B14" s="65" t="str">
        <x:v>Connectory</x:v>
      </x:c>
      <x:c r="C14" s="66" t="str">
        <x:v>KSE-015 Connector pipeline PSE XLSX</x:v>
      </x:c>
      <x:c r="D14" s="67" t="str">
        <x:v>Codex</x:v>
      </x:c>
      <x:c r="E14" s="67" t="str">
        <x:v>Not Started</x:v>
      </x:c>
      <x:c r="F14" s="67" t="str">
        <x:v>P0</x:v>
      </x:c>
      <x:c r="G14" s="68"/>
      <x:c r="H14" s="68"/>
      <x:c r="I14" s="11" t="str">
        <x:f t="shared" si="1">IF(OR(G14="",H14="",H14&lt;G14),"",H14-G14+1)</x:f>
      </x:c>
      <x:c r="J14" s="15"/>
      <x:c r="K14" s="12" t="str">
        <x:f t="shared" si="2">IF(OR($G14="",$H14="",$H14&lt;$G14),"",IF(AND(K$9&lt;=$H14,K$9+6&gt;=$G14),1,""))</x:f>
      </x:c>
      <x:c r="L14" s="13" t="str">
        <x:f t="shared" si="2">IF(OR($G14="",$H14="",$H14&lt;$G14),"",IF(AND(L$9&lt;=$H14,L$9+6&gt;=$G14),1,""))</x:f>
      </x:c>
      <x:c r="M14" s="12" t="str">
        <x:f t="shared" si="2">IF(OR($G14="",$H14="",$H14&lt;$G14),"",IF(AND(M$9&lt;=$H14,M$9+6&gt;=$G14),1,""))</x:f>
      </x:c>
      <x:c r="N14" s="13" t="str">
        <x:f t="shared" si="2">IF(OR($G14="",$H14="",$H14&lt;$G14),"",IF(AND(N$9&lt;=$H14,N$9+6&gt;=$G14),1,""))</x:f>
      </x:c>
      <x:c r="O14" s="12" t="str">
        <x:f t="shared" si="2">IF(OR($G14="",$H14="",$H14&lt;$G14),"",IF(AND(O$9&lt;=$H14,O$9+6&gt;=$G14),1,""))</x:f>
      </x:c>
      <x:c r="P14" s="13" t="str">
        <x:f t="shared" si="2">IF(OR($G14="",$H14="",$H14&lt;$G14),"",IF(AND(P$9&lt;=$H14,P$9+6&gt;=$G14),1,""))</x:f>
      </x:c>
      <x:c r="Q14" s="12" t="str">
        <x:f t="shared" si="2">IF(OR($G14="",$H14="",$H14&lt;$G14),"",IF(AND(Q$9&lt;=$H14,Q$9+6&gt;=$G14),1,""))</x:f>
      </x:c>
      <x:c r="R14" s="13" t="str">
        <x:f t="shared" si="2">IF(OR($G14="",$H14="",$H14&lt;$G14),"",IF(AND(R$9&lt;=$H14,R$9+6&gt;=$G14),1,""))</x:f>
      </x:c>
      <x:c r="S14" s="12" t="str">
        <x:f t="shared" si="2">IF(OR($G14="",$H14="",$H14&lt;$G14),"",IF(AND(S$9&lt;=$H14,S$9+6&gt;=$G14),1,""))</x:f>
      </x:c>
      <x:c r="T14" s="13" t="str">
        <x:f t="shared" si="2">IF(OR($G14="",$H14="",$H14&lt;$G14),"",IF(AND(T$9&lt;=$H14,T$9+6&gt;=$G14),1,""))</x:f>
      </x:c>
      <x:c r="U14" s="12" t="str">
        <x:f t="shared" si="3">IF(OR($G14="",$H14="",$H14&lt;$G14),"",IF(AND(U$9&lt;=$H14,U$9+6&gt;=$G14),1,""))</x:f>
      </x:c>
      <x:c r="V14" s="13" t="str">
        <x:f t="shared" si="3">IF(OR($G14="",$H14="",$H14&lt;$G14),"",IF(AND(V$9&lt;=$H14,V$9+6&gt;=$G14),1,""))</x:f>
      </x:c>
      <x:c r="W14" s="12" t="str">
        <x:f t="shared" si="3">IF(OR($G14="",$H14="",$H14&lt;$G14),"",IF(AND(W$9&lt;=$H14,W$9+6&gt;=$G14),1,""))</x:f>
      </x:c>
      <x:c r="X14" s="13" t="str">
        <x:f t="shared" si="3">IF(OR($G14="",$H14="",$H14&lt;$G14),"",IF(AND(X$9&lt;=$H14,X$9+6&gt;=$G14),1,""))</x:f>
      </x:c>
      <x:c r="Y14" s="12" t="str">
        <x:f t="shared" si="3">IF(OR($G14="",$H14="",$H14&lt;$G14),"",IF(AND(Y$9&lt;=$H14,Y$9+6&gt;=$G14),1,""))</x:f>
      </x:c>
      <x:c r="Z14" s="13" t="str">
        <x:f t="shared" si="3">IF(OR($G14="",$H14="",$H14&lt;$G14),"",IF(AND(Z$9&lt;=$H14,Z$9+6&gt;=$G14),1,""))</x:f>
      </x:c>
      <x:c r="AA14" s="12" t="str">
        <x:f t="shared" si="3">IF(OR($G14="",$H14="",$H14&lt;$G14),"",IF(AND(AA$9&lt;=$H14,AA$9+6&gt;=$G14),1,""))</x:f>
      </x:c>
      <x:c r="AB14" s="13" t="str">
        <x:f t="shared" si="3">IF(OR($G14="",$H14="",$H14&lt;$G14),"",IF(AND(AB$9&lt;=$H14,AB$9+6&gt;=$G14),1,""))</x:f>
      </x:c>
      <x:c r="AC14" s="12" t="str">
        <x:f t="shared" si="3">IF(OR($G14="",$H14="",$H14&lt;$G14),"",IF(AND(AC$9&lt;=$H14,AC$9+6&gt;=$G14),1,""))</x:f>
      </x:c>
      <x:c r="AD14" s="13" t="str">
        <x:f t="shared" si="3">IF(OR($G14="",$H14="",$H14&lt;$G14),"",IF(AND(AD$9&lt;=$H14,AD$9+6&gt;=$G14),1,""))</x:f>
      </x:c>
    </x:row>
    <x:row r="15" ht="48" customHeight="1">
      <x:c r="B15" s="69" t="str">
        <x:v>Connectory</x:v>
      </x:c>
      <x:c r="C15" s="70" t="str">
        <x:v>KSE-016 Connector dokumentów OSD pilota</x:v>
      </x:c>
      <x:c r="D15" s="71" t="str">
        <x:v>Codex</x:v>
      </x:c>
      <x:c r="E15" s="71" t="str">
        <x:v>Not Started</x:v>
      </x:c>
      <x:c r="F15" s="71" t="str">
        <x:v>P0</x:v>
      </x:c>
      <x:c r="G15" s="72"/>
      <x:c r="H15" s="72"/>
      <x:c r="I15" s="11" t="str">
        <x:f t="shared" si="1">IF(OR(G15="",H15="",H15&lt;G15),"",H15-G15+1)</x:f>
      </x:c>
      <x:c r="J15" s="15"/>
      <x:c r="K15" s="12" t="str">
        <x:f t="shared" si="2">IF(OR($G15="",$H15="",$H15&lt;$G15),"",IF(AND(K$9&lt;=$H15,K$9+6&gt;=$G15),1,""))</x:f>
      </x:c>
      <x:c r="L15" s="13" t="str">
        <x:f t="shared" si="2">IF(OR($G15="",$H15="",$H15&lt;$G15),"",IF(AND(L$9&lt;=$H15,L$9+6&gt;=$G15),1,""))</x:f>
      </x:c>
      <x:c r="M15" s="12" t="str">
        <x:f t="shared" si="2">IF(OR($G15="",$H15="",$H15&lt;$G15),"",IF(AND(M$9&lt;=$H15,M$9+6&gt;=$G15),1,""))</x:f>
      </x:c>
      <x:c r="N15" s="13" t="str">
        <x:f t="shared" si="2">IF(OR($G15="",$H15="",$H15&lt;$G15),"",IF(AND(N$9&lt;=$H15,N$9+6&gt;=$G15),1,""))</x:f>
      </x:c>
      <x:c r="O15" s="12" t="str">
        <x:f t="shared" si="2">IF(OR($G15="",$H15="",$H15&lt;$G15),"",IF(AND(O$9&lt;=$H15,O$9+6&gt;=$G15),1,""))</x:f>
      </x:c>
      <x:c r="P15" s="13" t="str">
        <x:f t="shared" si="2">IF(OR($G15="",$H15="",$H15&lt;$G15),"",IF(AND(P$9&lt;=$H15,P$9+6&gt;=$G15),1,""))</x:f>
      </x:c>
      <x:c r="Q15" s="12" t="str">
        <x:f t="shared" si="2">IF(OR($G15="",$H15="",$H15&lt;$G15),"",IF(AND(Q$9&lt;=$H15,Q$9+6&gt;=$G15),1,""))</x:f>
      </x:c>
      <x:c r="R15" s="13" t="str">
        <x:f t="shared" si="2">IF(OR($G15="",$H15="",$H15&lt;$G15),"",IF(AND(R$9&lt;=$H15,R$9+6&gt;=$G15),1,""))</x:f>
      </x:c>
      <x:c r="S15" s="12" t="str">
        <x:f t="shared" si="2">IF(OR($G15="",$H15="",$H15&lt;$G15),"",IF(AND(S$9&lt;=$H15,S$9+6&gt;=$G15),1,""))</x:f>
      </x:c>
      <x:c r="T15" s="13" t="str">
        <x:f t="shared" si="2">IF(OR($G15="",$H15="",$H15&lt;$G15),"",IF(AND(T$9&lt;=$H15,T$9+6&gt;=$G15),1,""))</x:f>
      </x:c>
      <x:c r="U15" s="12" t="str">
        <x:f t="shared" si="3">IF(OR($G15="",$H15="",$H15&lt;$G15),"",IF(AND(U$9&lt;=$H15,U$9+6&gt;=$G15),1,""))</x:f>
      </x:c>
      <x:c r="V15" s="13" t="str">
        <x:f t="shared" si="3">IF(OR($G15="",$H15="",$H15&lt;$G15),"",IF(AND(V$9&lt;=$H15,V$9+6&gt;=$G15),1,""))</x:f>
      </x:c>
      <x:c r="W15" s="12" t="str">
        <x:f t="shared" si="3">IF(OR($G15="",$H15="",$H15&lt;$G15),"",IF(AND(W$9&lt;=$H15,W$9+6&gt;=$G15),1,""))</x:f>
      </x:c>
      <x:c r="X15" s="13" t="str">
        <x:f t="shared" si="3">IF(OR($G15="",$H15="",$H15&lt;$G15),"",IF(AND(X$9&lt;=$H15,X$9+6&gt;=$G15),1,""))</x:f>
      </x:c>
      <x:c r="Y15" s="12" t="str">
        <x:f t="shared" si="3">IF(OR($G15="",$H15="",$H15&lt;$G15),"",IF(AND(Y$9&lt;=$H15,Y$9+6&gt;=$G15),1,""))</x:f>
      </x:c>
      <x:c r="Z15" s="13" t="str">
        <x:f t="shared" si="3">IF(OR($G15="",$H15="",$H15&lt;$G15),"",IF(AND(Z$9&lt;=$H15,Z$9+6&gt;=$G15),1,""))</x:f>
      </x:c>
      <x:c r="AA15" s="12" t="str">
        <x:f t="shared" si="3">IF(OR($G15="",$H15="",$H15&lt;$G15),"",IF(AND(AA$9&lt;=$H15,AA$9+6&gt;=$G15),1,""))</x:f>
      </x:c>
      <x:c r="AB15" s="13" t="str">
        <x:f t="shared" si="3">IF(OR($G15="",$H15="",$H15&lt;$G15),"",IF(AND(AB$9&lt;=$H15,AB$9+6&gt;=$G15),1,""))</x:f>
      </x:c>
      <x:c r="AC15" s="12" t="str">
        <x:f t="shared" si="3">IF(OR($G15="",$H15="",$H15&lt;$G15),"",IF(AND(AC$9&lt;=$H15,AC$9+6&gt;=$G15),1,""))</x:f>
      </x:c>
      <x:c r="AD15" s="13" t="str">
        <x:f t="shared" si="3">IF(OR($G15="",$H15="",$H15&lt;$G15),"",IF(AND(AD$9&lt;=$H15,AD$9+6&gt;=$G15),1,""))</x:f>
      </x:c>
    </x:row>
    <x:row r="16" ht="48" customHeight="1">
      <x:c r="B16" s="65" t="str">
        <x:v>Model</x:v>
      </x:c>
      <x:c r="C16" s="66" t="str">
        <x:v>KSE-017 Canonical ID i deduplikacja projektów</x:v>
      </x:c>
      <x:c r="D16" s="67" t="str">
        <x:v>Codex</x:v>
      </x:c>
      <x:c r="E16" s="67" t="str">
        <x:v>Not Started</x:v>
      </x:c>
      <x:c r="F16" s="67" t="str">
        <x:v>P0</x:v>
      </x:c>
      <x:c r="G16" s="68"/>
      <x:c r="H16" s="68"/>
      <x:c r="I16" s="11" t="str">
        <x:f t="shared" si="1">IF(OR(G16="",H16="",H16&lt;G16),"",H16-G16+1)</x:f>
      </x:c>
      <x:c r="J16" s="15"/>
      <x:c r="K16" s="12" t="str">
        <x:f t="shared" si="2">IF(OR($G16="",$H16="",$H16&lt;$G16),"",IF(AND(K$9&lt;=$H16,K$9+6&gt;=$G16),1,""))</x:f>
      </x:c>
      <x:c r="L16" s="13" t="str">
        <x:f t="shared" si="2">IF(OR($G16="",$H16="",$H16&lt;$G16),"",IF(AND(L$9&lt;=$H16,L$9+6&gt;=$G16),1,""))</x:f>
      </x:c>
      <x:c r="M16" s="12" t="str">
        <x:f t="shared" si="2">IF(OR($G16="",$H16="",$H16&lt;$G16),"",IF(AND(M$9&lt;=$H16,M$9+6&gt;=$G16),1,""))</x:f>
      </x:c>
      <x:c r="N16" s="13" t="str">
        <x:f t="shared" si="2">IF(OR($G16="",$H16="",$H16&lt;$G16),"",IF(AND(N$9&lt;=$H16,N$9+6&gt;=$G16),1,""))</x:f>
      </x:c>
      <x:c r="O16" s="12" t="str">
        <x:f t="shared" si="2">IF(OR($G16="",$H16="",$H16&lt;$G16),"",IF(AND(O$9&lt;=$H16,O$9+6&gt;=$G16),1,""))</x:f>
      </x:c>
      <x:c r="P16" s="13" t="str">
        <x:f t="shared" si="2">IF(OR($G16="",$H16="",$H16&lt;$G16),"",IF(AND(P$9&lt;=$H16,P$9+6&gt;=$G16),1,""))</x:f>
      </x:c>
      <x:c r="Q16" s="12" t="str">
        <x:f t="shared" si="2">IF(OR($G16="",$H16="",$H16&lt;$G16),"",IF(AND(Q$9&lt;=$H16,Q$9+6&gt;=$G16),1,""))</x:f>
      </x:c>
      <x:c r="R16" s="13" t="str">
        <x:f t="shared" si="2">IF(OR($G16="",$H16="",$H16&lt;$G16),"",IF(AND(R$9&lt;=$H16,R$9+6&gt;=$G16),1,""))</x:f>
      </x:c>
      <x:c r="S16" s="12" t="str">
        <x:f t="shared" si="2">IF(OR($G16="",$H16="",$H16&lt;$G16),"",IF(AND(S$9&lt;=$H16,S$9+6&gt;=$G16),1,""))</x:f>
      </x:c>
      <x:c r="T16" s="13" t="str">
        <x:f t="shared" si="2">IF(OR($G16="",$H16="",$H16&lt;$G16),"",IF(AND(T$9&lt;=$H16,T$9+6&gt;=$G16),1,""))</x:f>
      </x:c>
      <x:c r="U16" s="12" t="str">
        <x:f t="shared" si="3">IF(OR($G16="",$H16="",$H16&lt;$G16),"",IF(AND(U$9&lt;=$H16,U$9+6&gt;=$G16),1,""))</x:f>
      </x:c>
      <x:c r="V16" s="13" t="str">
        <x:f t="shared" si="3">IF(OR($G16="",$H16="",$H16&lt;$G16),"",IF(AND(V$9&lt;=$H16,V$9+6&gt;=$G16),1,""))</x:f>
      </x:c>
      <x:c r="W16" s="12" t="str">
        <x:f t="shared" si="3">IF(OR($G16="",$H16="",$H16&lt;$G16),"",IF(AND(W$9&lt;=$H16,W$9+6&gt;=$G16),1,""))</x:f>
      </x:c>
      <x:c r="X16" s="13" t="str">
        <x:f t="shared" si="3">IF(OR($G16="",$H16="",$H16&lt;$G16),"",IF(AND(X$9&lt;=$H16,X$9+6&gt;=$G16),1,""))</x:f>
      </x:c>
      <x:c r="Y16" s="12" t="str">
        <x:f t="shared" si="3">IF(OR($G16="",$H16="",$H16&lt;$G16),"",IF(AND(Y$9&lt;=$H16,Y$9+6&gt;=$G16),1,""))</x:f>
      </x:c>
      <x:c r="Z16" s="13" t="str">
        <x:f t="shared" si="3">IF(OR($G16="",$H16="",$H16&lt;$G16),"",IF(AND(Z$9&lt;=$H16,Z$9+6&gt;=$G16),1,""))</x:f>
      </x:c>
      <x:c r="AA16" s="12" t="str">
        <x:f t="shared" si="3">IF(OR($G16="",$H16="",$H16&lt;$G16),"",IF(AND(AA$9&lt;=$H16,AA$9+6&gt;=$G16),1,""))</x:f>
      </x:c>
      <x:c r="AB16" s="13" t="str">
        <x:f t="shared" si="3">IF(OR($G16="",$H16="",$H16&lt;$G16),"",IF(AND(AB$9&lt;=$H16,AB$9+6&gt;=$G16),1,""))</x:f>
      </x:c>
      <x:c r="AC16" s="12" t="str">
        <x:f t="shared" si="3">IF(OR($G16="",$H16="",$H16&lt;$G16),"",IF(AND(AC$9&lt;=$H16,AC$9+6&gt;=$G16),1,""))</x:f>
      </x:c>
      <x:c r="AD16" s="13" t="str">
        <x:f t="shared" si="3">IF(OR($G16="",$H16="",$H16&lt;$G16),"",IF(AND(AD$9&lt;=$H16,AD$9+6&gt;=$G16),1,""))</x:f>
      </x:c>
    </x:row>
    <x:row r="17" ht="48" customHeight="1">
      <x:c r="B17" s="69" t="str">
        <x:v>Topologia</x:v>
      </x:c>
      <x:c r="C17" s="70" t="str">
        <x:v>KSE-018 Graf referencyjny pilota</x:v>
      </x:c>
      <x:c r="D17" s="71" t="str">
        <x:v>Codex</x:v>
      </x:c>
      <x:c r="E17" s="71" t="str">
        <x:v>Not Started</x:v>
      </x:c>
      <x:c r="F17" s="71" t="str">
        <x:v>P0</x:v>
      </x:c>
      <x:c r="G17" s="72"/>
      <x:c r="H17" s="72"/>
      <x:c r="I17" s="11" t="str">
        <x:f t="shared" si="1">IF(OR(G17="",H17="",H17&lt;G17),"",H17-G17+1)</x:f>
      </x:c>
      <x:c r="J17" s="15"/>
      <x:c r="K17" s="12" t="str">
        <x:f t="shared" si="2">IF(OR($G17="",$H17="",$H17&lt;$G17),"",IF(AND(K$9&lt;=$H17,K$9+6&gt;=$G17),1,""))</x:f>
      </x:c>
      <x:c r="L17" s="13" t="str">
        <x:f t="shared" si="2">IF(OR($G17="",$H17="",$H17&lt;$G17),"",IF(AND(L$9&lt;=$H17,L$9+6&gt;=$G17),1,""))</x:f>
      </x:c>
      <x:c r="M17" s="12" t="str">
        <x:f t="shared" si="2">IF(OR($G17="",$H17="",$H17&lt;$G17),"",IF(AND(M$9&lt;=$H17,M$9+6&gt;=$G17),1,""))</x:f>
      </x:c>
      <x:c r="N17" s="13" t="str">
        <x:f t="shared" si="2">IF(OR($G17="",$H17="",$H17&lt;$G17),"",IF(AND(N$9&lt;=$H17,N$9+6&gt;=$G17),1,""))</x:f>
      </x:c>
      <x:c r="O17" s="12" t="str">
        <x:f t="shared" si="2">IF(OR($G17="",$H17="",$H17&lt;$G17),"",IF(AND(O$9&lt;=$H17,O$9+6&gt;=$G17),1,""))</x:f>
      </x:c>
      <x:c r="P17" s="13" t="str">
        <x:f t="shared" si="2">IF(OR($G17="",$H17="",$H17&lt;$G17),"",IF(AND(P$9&lt;=$H17,P$9+6&gt;=$G17),1,""))</x:f>
      </x:c>
      <x:c r="Q17" s="12" t="str">
        <x:f t="shared" si="2">IF(OR($G17="",$H17="",$H17&lt;$G17),"",IF(AND(Q$9&lt;=$H17,Q$9+6&gt;=$G17),1,""))</x:f>
      </x:c>
      <x:c r="R17" s="13" t="str">
        <x:f t="shared" si="2">IF(OR($G17="",$H17="",$H17&lt;$G17),"",IF(AND(R$9&lt;=$H17,R$9+6&gt;=$G17),1,""))</x:f>
      </x:c>
      <x:c r="S17" s="12" t="str">
        <x:f t="shared" si="2">IF(OR($G17="",$H17="",$H17&lt;$G17),"",IF(AND(S$9&lt;=$H17,S$9+6&gt;=$G17),1,""))</x:f>
      </x:c>
      <x:c r="T17" s="13" t="str">
        <x:f t="shared" si="2">IF(OR($G17="",$H17="",$H17&lt;$G17),"",IF(AND(T$9&lt;=$H17,T$9+6&gt;=$G17),1,""))</x:f>
      </x:c>
      <x:c r="U17" s="12" t="str">
        <x:f t="shared" si="3">IF(OR($G17="",$H17="",$H17&lt;$G17),"",IF(AND(U$9&lt;=$H17,U$9+6&gt;=$G17),1,""))</x:f>
      </x:c>
      <x:c r="V17" s="13" t="str">
        <x:f t="shared" si="3">IF(OR($G17="",$H17="",$H17&lt;$G17),"",IF(AND(V$9&lt;=$H17,V$9+6&gt;=$G17),1,""))</x:f>
      </x:c>
      <x:c r="W17" s="12" t="str">
        <x:f t="shared" si="3">IF(OR($G17="",$H17="",$H17&lt;$G17),"",IF(AND(W$9&lt;=$H17,W$9+6&gt;=$G17),1,""))</x:f>
      </x:c>
      <x:c r="X17" s="13" t="str">
        <x:f t="shared" si="3">IF(OR($G17="",$H17="",$H17&lt;$G17),"",IF(AND(X$9&lt;=$H17,X$9+6&gt;=$G17),1,""))</x:f>
      </x:c>
      <x:c r="Y17" s="12" t="str">
        <x:f t="shared" si="3">IF(OR($G17="",$H17="",$H17&lt;$G17),"",IF(AND(Y$9&lt;=$H17,Y$9+6&gt;=$G17),1,""))</x:f>
      </x:c>
      <x:c r="Z17" s="13" t="str">
        <x:f t="shared" si="3">IF(OR($G17="",$H17="",$H17&lt;$G17),"",IF(AND(Z$9&lt;=$H17,Z$9+6&gt;=$G17),1,""))</x:f>
      </x:c>
      <x:c r="AA17" s="12" t="str">
        <x:f t="shared" si="3">IF(OR($G17="",$H17="",$H17&lt;$G17),"",IF(AND(AA$9&lt;=$H17,AA$9+6&gt;=$G17),1,""))</x:f>
      </x:c>
      <x:c r="AB17" s="13" t="str">
        <x:f t="shared" si="3">IF(OR($G17="",$H17="",$H17&lt;$G17),"",IF(AND(AB$9&lt;=$H17,AB$9+6&gt;=$G17),1,""))</x:f>
      </x:c>
      <x:c r="AC17" s="12" t="str">
        <x:f t="shared" si="3">IF(OR($G17="",$H17="",$H17&lt;$G17),"",IF(AND(AC$9&lt;=$H17,AC$9+6&gt;=$G17),1,""))</x:f>
      </x:c>
      <x:c r="AD17" s="13" t="str">
        <x:f t="shared" si="3">IF(OR($G17="",$H17="",$H17&lt;$G17),"",IF(AND(AD$9&lt;=$H17,AD$9+6&gt;=$G17),1,""))</x:f>
      </x:c>
    </x:row>
    <x:row r="18" ht="48" customHeight="1">
      <x:c r="B18" s="65" t="str">
        <x:v>Analityka</x:v>
      </x:c>
      <x:c r="C18" s="66" t="str">
        <x:v>KSE-021 Zestawienie projektów A/B/C dla GPZ</x:v>
      </x:c>
      <x:c r="D18" s="67" t="str">
        <x:v>Codex</x:v>
      </x:c>
      <x:c r="E18" s="67" t="str">
        <x:v>Not Started</x:v>
      </x:c>
      <x:c r="F18" s="67" t="str">
        <x:v>P0</x:v>
      </x:c>
      <x:c r="G18" s="68"/>
      <x:c r="H18" s="68"/>
      <x:c r="I18" s="11" t="str">
        <x:f t="shared" si="1">IF(OR(G18="",H18="",H18&lt;G18),"",H18-G18+1)</x:f>
      </x:c>
      <x:c r="J18" s="15"/>
      <x:c r="K18" s="12" t="str">
        <x:f t="shared" si="2">IF(OR($G18="",$H18="",$H18&lt;$G18),"",IF(AND(K$9&lt;=$H18,K$9+6&gt;=$G18),1,""))</x:f>
      </x:c>
      <x:c r="L18" s="13" t="str">
        <x:f t="shared" si="2">IF(OR($G18="",$H18="",$H18&lt;$G18),"",IF(AND(L$9&lt;=$H18,L$9+6&gt;=$G18),1,""))</x:f>
      </x:c>
      <x:c r="M18" s="12" t="str">
        <x:f t="shared" si="2">IF(OR($G18="",$H18="",$H18&lt;$G18),"",IF(AND(M$9&lt;=$H18,M$9+6&gt;=$G18),1,""))</x:f>
      </x:c>
      <x:c r="N18" s="13" t="str">
        <x:f t="shared" si="2">IF(OR($G18="",$H18="",$H18&lt;$G18),"",IF(AND(N$9&lt;=$H18,N$9+6&gt;=$G18),1,""))</x:f>
      </x:c>
      <x:c r="O18" s="12" t="str">
        <x:f t="shared" si="2">IF(OR($G18="",$H18="",$H18&lt;$G18),"",IF(AND(O$9&lt;=$H18,O$9+6&gt;=$G18),1,""))</x:f>
      </x:c>
      <x:c r="P18" s="13" t="str">
        <x:f t="shared" si="2">IF(OR($G18="",$H18="",$H18&lt;$G18),"",IF(AND(P$9&lt;=$H18,P$9+6&gt;=$G18),1,""))</x:f>
      </x:c>
      <x:c r="Q18" s="12" t="str">
        <x:f t="shared" si="2">IF(OR($G18="",$H18="",$H18&lt;$G18),"",IF(AND(Q$9&lt;=$H18,Q$9+6&gt;=$G18),1,""))</x:f>
      </x:c>
      <x:c r="R18" s="13" t="str">
        <x:f t="shared" si="2">IF(OR($G18="",$H18="",$H18&lt;$G18),"",IF(AND(R$9&lt;=$H18,R$9+6&gt;=$G18),1,""))</x:f>
      </x:c>
      <x:c r="S18" s="12" t="str">
        <x:f t="shared" si="2">IF(OR($G18="",$H18="",$H18&lt;$G18),"",IF(AND(S$9&lt;=$H18,S$9+6&gt;=$G18),1,""))</x:f>
      </x:c>
      <x:c r="T18" s="13" t="str">
        <x:f t="shared" si="2">IF(OR($G18="",$H18="",$H18&lt;$G18),"",IF(AND(T$9&lt;=$H18,T$9+6&gt;=$G18),1,""))</x:f>
      </x:c>
      <x:c r="U18" s="12" t="str">
        <x:f t="shared" si="3">IF(OR($G18="",$H18="",$H18&lt;$G18),"",IF(AND(U$9&lt;=$H18,U$9+6&gt;=$G18),1,""))</x:f>
      </x:c>
      <x:c r="V18" s="13" t="str">
        <x:f t="shared" si="3">IF(OR($G18="",$H18="",$H18&lt;$G18),"",IF(AND(V$9&lt;=$H18,V$9+6&gt;=$G18),1,""))</x:f>
      </x:c>
      <x:c r="W18" s="12" t="str">
        <x:f t="shared" si="3">IF(OR($G18="",$H18="",$H18&lt;$G18),"",IF(AND(W$9&lt;=$H18,W$9+6&gt;=$G18),1,""))</x:f>
      </x:c>
      <x:c r="X18" s="13" t="str">
        <x:f t="shared" si="3">IF(OR($G18="",$H18="",$H18&lt;$G18),"",IF(AND(X$9&lt;=$H18,X$9+6&gt;=$G18),1,""))</x:f>
      </x:c>
      <x:c r="Y18" s="12" t="str">
        <x:f t="shared" si="3">IF(OR($G18="",$H18="",$H18&lt;$G18),"",IF(AND(Y$9&lt;=$H18,Y$9+6&gt;=$G18),1,""))</x:f>
      </x:c>
      <x:c r="Z18" s="13" t="str">
        <x:f t="shared" si="3">IF(OR($G18="",$H18="",$H18&lt;$G18),"",IF(AND(Z$9&lt;=$H18,Z$9+6&gt;=$G18),1,""))</x:f>
      </x:c>
      <x:c r="AA18" s="12" t="str">
        <x:f t="shared" si="3">IF(OR($G18="",$H18="",$H18&lt;$G18),"",IF(AND(AA$9&lt;=$H18,AA$9+6&gt;=$G18),1,""))</x:f>
      </x:c>
      <x:c r="AB18" s="13" t="str">
        <x:f t="shared" si="3">IF(OR($G18="",$H18="",$H18&lt;$G18),"",IF(AND(AB$9&lt;=$H18,AB$9+6&gt;=$G18),1,""))</x:f>
      </x:c>
      <x:c r="AC18" s="12" t="str">
        <x:f t="shared" si="3">IF(OR($G18="",$H18="",$H18&lt;$G18),"",IF(AND(AC$9&lt;=$H18,AC$9+6&gt;=$G18),1,""))</x:f>
      </x:c>
      <x:c r="AD18" s="13" t="str">
        <x:f t="shared" si="3">IF(OR($G18="",$H18="",$H18&lt;$G18),"",IF(AND(AD$9&lt;=$H18,AD$9+6&gt;=$G18),1,""))</x:f>
      </x:c>
    </x:row>
    <x:row r="19" ht="48" customHeight="1">
      <x:c r="B19" s="69" t="str">
        <x:v>Analityka</x:v>
      </x:c>
      <x:c r="C19" s="70" t="str">
        <x:v>KSE-022 Screening BESS i hybryd z PCC</x:v>
      </x:c>
      <x:c r="D19" s="71" t="str">
        <x:v>Codex</x:v>
      </x:c>
      <x:c r="E19" s="71" t="str">
        <x:v>Not Started</x:v>
      </x:c>
      <x:c r="F19" s="71" t="str">
        <x:v>P0</x:v>
      </x:c>
      <x:c r="G19" s="72"/>
      <x:c r="H19" s="72"/>
      <x:c r="I19" s="11" t="str">
        <x:f t="shared" si="1">IF(OR(G19="",H19="",H19&lt;G19),"",H19-G19+1)</x:f>
      </x:c>
      <x:c r="J19" s="15"/>
      <x:c r="K19" s="12" t="str">
        <x:f t="shared" si="2">IF(OR($G19="",$H19="",$H19&lt;$G19),"",IF(AND(K$9&lt;=$H19,K$9+6&gt;=$G19),1,""))</x:f>
      </x:c>
      <x:c r="L19" s="13" t="str">
        <x:f t="shared" si="2">IF(OR($G19="",$H19="",$H19&lt;$G19),"",IF(AND(L$9&lt;=$H19,L$9+6&gt;=$G19),1,""))</x:f>
      </x:c>
      <x:c r="M19" s="12" t="str">
        <x:f t="shared" si="2">IF(OR($G19="",$H19="",$H19&lt;$G19),"",IF(AND(M$9&lt;=$H19,M$9+6&gt;=$G19),1,""))</x:f>
      </x:c>
      <x:c r="N19" s="13" t="str">
        <x:f t="shared" si="2">IF(OR($G19="",$H19="",$H19&lt;$G19),"",IF(AND(N$9&lt;=$H19,N$9+6&gt;=$G19),1,""))</x:f>
      </x:c>
      <x:c r="O19" s="12" t="str">
        <x:f t="shared" si="2">IF(OR($G19="",$H19="",$H19&lt;$G19),"",IF(AND(O$9&lt;=$H19,O$9+6&gt;=$G19),1,""))</x:f>
      </x:c>
      <x:c r="P19" s="13" t="str">
        <x:f t="shared" si="2">IF(OR($G19="",$H19="",$H19&lt;$G19),"",IF(AND(P$9&lt;=$H19,P$9+6&gt;=$G19),1,""))</x:f>
      </x:c>
      <x:c r="Q19" s="12" t="str">
        <x:f t="shared" si="2">IF(OR($G19="",$H19="",$H19&lt;$G19),"",IF(AND(Q$9&lt;=$H19,Q$9+6&gt;=$G19),1,""))</x:f>
      </x:c>
      <x:c r="R19" s="13" t="str">
        <x:f t="shared" si="2">IF(OR($G19="",$H19="",$H19&lt;$G19),"",IF(AND(R$9&lt;=$H19,R$9+6&gt;=$G19),1,""))</x:f>
      </x:c>
      <x:c r="S19" s="12" t="str">
        <x:f t="shared" si="2">IF(OR($G19="",$H19="",$H19&lt;$G19),"",IF(AND(S$9&lt;=$H19,S$9+6&gt;=$G19),1,""))</x:f>
      </x:c>
      <x:c r="T19" s="13" t="str">
        <x:f t="shared" si="2">IF(OR($G19="",$H19="",$H19&lt;$G19),"",IF(AND(T$9&lt;=$H19,T$9+6&gt;=$G19),1,""))</x:f>
      </x:c>
      <x:c r="U19" s="12" t="str">
        <x:f t="shared" si="3">IF(OR($G19="",$H19="",$H19&lt;$G19),"",IF(AND(U$9&lt;=$H19,U$9+6&gt;=$G19),1,""))</x:f>
      </x:c>
      <x:c r="V19" s="13" t="str">
        <x:f t="shared" si="3">IF(OR($G19="",$H19="",$H19&lt;$G19),"",IF(AND(V$9&lt;=$H19,V$9+6&gt;=$G19),1,""))</x:f>
      </x:c>
      <x:c r="W19" s="12" t="str">
        <x:f t="shared" si="3">IF(OR($G19="",$H19="",$H19&lt;$G19),"",IF(AND(W$9&lt;=$H19,W$9+6&gt;=$G19),1,""))</x:f>
      </x:c>
      <x:c r="X19" s="13" t="str">
        <x:f t="shared" si="3">IF(OR($G19="",$H19="",$H19&lt;$G19),"",IF(AND(X$9&lt;=$H19,X$9+6&gt;=$G19),1,""))</x:f>
      </x:c>
      <x:c r="Y19" s="12" t="str">
        <x:f t="shared" si="3">IF(OR($G19="",$H19="",$H19&lt;$G19),"",IF(AND(Y$9&lt;=$H19,Y$9+6&gt;=$G19),1,""))</x:f>
      </x:c>
      <x:c r="Z19" s="13" t="str">
        <x:f t="shared" si="3">IF(OR($G19="",$H19="",$H19&lt;$G19),"",IF(AND(Z$9&lt;=$H19,Z$9+6&gt;=$G19),1,""))</x:f>
      </x:c>
      <x:c r="AA19" s="12" t="str">
        <x:f t="shared" si="3">IF(OR($G19="",$H19="",$H19&lt;$G19),"",IF(AND(AA$9&lt;=$H19,AA$9+6&gt;=$G19),1,""))</x:f>
      </x:c>
      <x:c r="AB19" s="13" t="str">
        <x:f t="shared" si="3">IF(OR($G19="",$H19="",$H19&lt;$G19),"",IF(AND(AB$9&lt;=$H19,AB$9+6&gt;=$G19),1,""))</x:f>
      </x:c>
      <x:c r="AC19" s="12" t="str">
        <x:f t="shared" si="3">IF(OR($G19="",$H19="",$H19&lt;$G19),"",IF(AND(AC$9&lt;=$H19,AC$9+6&gt;=$G19),1,""))</x:f>
      </x:c>
      <x:c r="AD19" s="13" t="str">
        <x:f t="shared" si="3">IF(OR($G19="",$H19="",$H19&lt;$G19),"",IF(AND(AD$9&lt;=$H19,AD$9+6&gt;=$G19),1,""))</x:f>
      </x:c>
    </x:row>
    <x:row r="20" ht="48" customHeight="1">
      <x:c r="B20" s="65" t="str">
        <x:v>Walidacja</x:v>
      </x:c>
      <x:c r="C20" s="66" t="str">
        <x:v>KSE-023 Walidacja pilota na niezależnych dowodach</x:v>
      </x:c>
      <x:c r="D20" s="67" t="str">
        <x:v>Użytkownik + Codex</x:v>
      </x:c>
      <x:c r="E20" s="67" t="str">
        <x:v>Not Started</x:v>
      </x:c>
      <x:c r="F20" s="67" t="str">
        <x:v>P0</x:v>
      </x:c>
      <x:c r="G20" s="68"/>
      <x:c r="H20" s="68"/>
      <x:c r="I20" s="11" t="str">
        <x:f t="shared" si="1">IF(OR(G20="",H20="",H20&lt;G20),"",H20-G20+1)</x:f>
      </x:c>
      <x:c r="J20" s="15"/>
      <x:c r="K20" s="12" t="str">
        <x:f t="shared" ref="K20:T29" si="4">IF(OR($G20="",$H20="",$H20&lt;$G20),"",IF(AND(K$9&lt;=$H20,K$9+6&gt;=$G20),1,""))</x:f>
      </x:c>
      <x:c r="L20" s="13" t="str">
        <x:f t="shared" si="4">IF(OR($G20="",$H20="",$H20&lt;$G20),"",IF(AND(L$9&lt;=$H20,L$9+6&gt;=$G20),1,""))</x:f>
      </x:c>
      <x:c r="M20" s="12" t="str">
        <x:f t="shared" si="4">IF(OR($G20="",$H20="",$H20&lt;$G20),"",IF(AND(M$9&lt;=$H20,M$9+6&gt;=$G20),1,""))</x:f>
      </x:c>
      <x:c r="N20" s="13" t="str">
        <x:f t="shared" si="4">IF(OR($G20="",$H20="",$H20&lt;$G20),"",IF(AND(N$9&lt;=$H20,N$9+6&gt;=$G20),1,""))</x:f>
      </x:c>
      <x:c r="O20" s="12" t="str">
        <x:f t="shared" si="4">IF(OR($G20="",$H20="",$H20&lt;$G20),"",IF(AND(O$9&lt;=$H20,O$9+6&gt;=$G20),1,""))</x:f>
      </x:c>
      <x:c r="P20" s="13" t="str">
        <x:f t="shared" si="4">IF(OR($G20="",$H20="",$H20&lt;$G20),"",IF(AND(P$9&lt;=$H20,P$9+6&gt;=$G20),1,""))</x:f>
      </x:c>
      <x:c r="Q20" s="12" t="str">
        <x:f t="shared" si="4">IF(OR($G20="",$H20="",$H20&lt;$G20),"",IF(AND(Q$9&lt;=$H20,Q$9+6&gt;=$G20),1,""))</x:f>
      </x:c>
      <x:c r="R20" s="13" t="str">
        <x:f t="shared" si="4">IF(OR($G20="",$H20="",$H20&lt;$G20),"",IF(AND(R$9&lt;=$H20,R$9+6&gt;=$G20),1,""))</x:f>
      </x:c>
      <x:c r="S20" s="12" t="str">
        <x:f t="shared" si="4">IF(OR($G20="",$H20="",$H20&lt;$G20),"",IF(AND(S$9&lt;=$H20,S$9+6&gt;=$G20),1,""))</x:f>
      </x:c>
      <x:c r="T20" s="13" t="str">
        <x:f t="shared" si="4">IF(OR($G20="",$H20="",$H20&lt;$G20),"",IF(AND(T$9&lt;=$H20,T$9+6&gt;=$G20),1,""))</x:f>
      </x:c>
      <x:c r="U20" s="12" t="str">
        <x:f t="shared" ref="U20:AD29" si="5">IF(OR($G20="",$H20="",$H20&lt;$G20),"",IF(AND(U$9&lt;=$H20,U$9+6&gt;=$G20),1,""))</x:f>
      </x:c>
      <x:c r="V20" s="13" t="str">
        <x:f t="shared" si="5">IF(OR($G20="",$H20="",$H20&lt;$G20),"",IF(AND(V$9&lt;=$H20,V$9+6&gt;=$G20),1,""))</x:f>
      </x:c>
      <x:c r="W20" s="12" t="str">
        <x:f t="shared" si="5">IF(OR($G20="",$H20="",$H20&lt;$G20),"",IF(AND(W$9&lt;=$H20,W$9+6&gt;=$G20),1,""))</x:f>
      </x:c>
      <x:c r="X20" s="13" t="str">
        <x:f t="shared" si="5">IF(OR($G20="",$H20="",$H20&lt;$G20),"",IF(AND(X$9&lt;=$H20,X$9+6&gt;=$G20),1,""))</x:f>
      </x:c>
      <x:c r="Y20" s="12" t="str">
        <x:f t="shared" si="5">IF(OR($G20="",$H20="",$H20&lt;$G20),"",IF(AND(Y$9&lt;=$H20,Y$9+6&gt;=$G20),1,""))</x:f>
      </x:c>
      <x:c r="Z20" s="13" t="str">
        <x:f t="shared" si="5">IF(OR($G20="",$H20="",$H20&lt;$G20),"",IF(AND(Z$9&lt;=$H20,Z$9+6&gt;=$G20),1,""))</x:f>
      </x:c>
      <x:c r="AA20" s="12" t="str">
        <x:f t="shared" si="5">IF(OR($G20="",$H20="",$H20&lt;$G20),"",IF(AND(AA$9&lt;=$H20,AA$9+6&gt;=$G20),1,""))</x:f>
      </x:c>
      <x:c r="AB20" s="13" t="str">
        <x:f t="shared" si="5">IF(OR($G20="",$H20="",$H20&lt;$G20),"",IF(AND(AB$9&lt;=$H20,AB$9+6&gt;=$G20),1,""))</x:f>
      </x:c>
      <x:c r="AC20" s="12" t="str">
        <x:f t="shared" si="5">IF(OR($G20="",$H20="",$H20&lt;$G20),"",IF(AND(AC$9&lt;=$H20,AC$9+6&gt;=$G20),1,""))</x:f>
      </x:c>
      <x:c r="AD20" s="13" t="str">
        <x:f t="shared" si="5">IF(OR($G20="",$H20="",$H20&lt;$G20),"",IF(AND(AD$9&lt;=$H20,AD$9+6&gt;=$G20),1,""))</x:f>
      </x:c>
    </x:row>
    <x:row r="21" ht="48" customHeight="1">
      <x:c r="B21" s="69" t="str">
        <x:v>Organizacja</x:v>
      </x:c>
      <x:c r="C21" s="70" t="str">
        <x:v>KSE-030 Potwierdzić zewnętrzną kopię archiwum</x:v>
      </x:c>
      <x:c r="D21" s="71" t="str">
        <x:v>Użytkownik</x:v>
      </x:c>
      <x:c r="E21" s="71" t="str">
        <x:v>Not Started</x:v>
      </x:c>
      <x:c r="F21" s="71" t="str">
        <x:v>P0</x:v>
      </x:c>
      <x:c r="G21" s="72"/>
      <x:c r="H21" s="72"/>
      <x:c r="I21" s="11" t="str">
        <x:f t="shared" si="1">IF(OR(G21="",H21="",H21&lt;G21),"",H21-G21+1)</x:f>
      </x:c>
      <x:c r="J21" s="15"/>
      <x:c r="K21" s="12" t="str">
        <x:f t="shared" si="4">IF(OR($G21="",$H21="",$H21&lt;$G21),"",IF(AND(K$9&lt;=$H21,K$9+6&gt;=$G21),1,""))</x:f>
      </x:c>
      <x:c r="L21" s="13" t="str">
        <x:f t="shared" si="4">IF(OR($G21="",$H21="",$H21&lt;$G21),"",IF(AND(L$9&lt;=$H21,L$9+6&gt;=$G21),1,""))</x:f>
      </x:c>
      <x:c r="M21" s="12" t="str">
        <x:f t="shared" si="4">IF(OR($G21="",$H21="",$H21&lt;$G21),"",IF(AND(M$9&lt;=$H21,M$9+6&gt;=$G21),1,""))</x:f>
      </x:c>
      <x:c r="N21" s="13" t="str">
        <x:f t="shared" si="4">IF(OR($G21="",$H21="",$H21&lt;$G21),"",IF(AND(N$9&lt;=$H21,N$9+6&gt;=$G21),1,""))</x:f>
      </x:c>
      <x:c r="O21" s="12" t="str">
        <x:f t="shared" si="4">IF(OR($G21="",$H21="",$H21&lt;$G21),"",IF(AND(O$9&lt;=$H21,O$9+6&gt;=$G21),1,""))</x:f>
      </x:c>
      <x:c r="P21" s="13" t="str">
        <x:f t="shared" si="4">IF(OR($G21="",$H21="",$H21&lt;$G21),"",IF(AND(P$9&lt;=$H21,P$9+6&gt;=$G21),1,""))</x:f>
      </x:c>
      <x:c r="Q21" s="12" t="str">
        <x:f t="shared" si="4">IF(OR($G21="",$H21="",$H21&lt;$G21),"",IF(AND(Q$9&lt;=$H21,Q$9+6&gt;=$G21),1,""))</x:f>
      </x:c>
      <x:c r="R21" s="13" t="str">
        <x:f t="shared" si="4">IF(OR($G21="",$H21="",$H21&lt;$G21),"",IF(AND(R$9&lt;=$H21,R$9+6&gt;=$G21),1,""))</x:f>
      </x:c>
      <x:c r="S21" s="12" t="str">
        <x:f t="shared" si="4">IF(OR($G21="",$H21="",$H21&lt;$G21),"",IF(AND(S$9&lt;=$H21,S$9+6&gt;=$G21),1,""))</x:f>
      </x:c>
      <x:c r="T21" s="13" t="str">
        <x:f t="shared" si="4">IF(OR($G21="",$H21="",$H21&lt;$G21),"",IF(AND(T$9&lt;=$H21,T$9+6&gt;=$G21),1,""))</x:f>
      </x:c>
      <x:c r="U21" s="12" t="str">
        <x:f t="shared" si="5">IF(OR($G21="",$H21="",$H21&lt;$G21),"",IF(AND(U$9&lt;=$H21,U$9+6&gt;=$G21),1,""))</x:f>
      </x:c>
      <x:c r="V21" s="13" t="str">
        <x:f t="shared" si="5">IF(OR($G21="",$H21="",$H21&lt;$G21),"",IF(AND(V$9&lt;=$H21,V$9+6&gt;=$G21),1,""))</x:f>
      </x:c>
      <x:c r="W21" s="12" t="str">
        <x:f t="shared" si="5">IF(OR($G21="",$H21="",$H21&lt;$G21),"",IF(AND(W$9&lt;=$H21,W$9+6&gt;=$G21),1,""))</x:f>
      </x:c>
      <x:c r="X21" s="13" t="str">
        <x:f t="shared" si="5">IF(OR($G21="",$H21="",$H21&lt;$G21),"",IF(AND(X$9&lt;=$H21,X$9+6&gt;=$G21),1,""))</x:f>
      </x:c>
      <x:c r="Y21" s="12" t="str">
        <x:f t="shared" si="5">IF(OR($G21="",$H21="",$H21&lt;$G21),"",IF(AND(Y$9&lt;=$H21,Y$9+6&gt;=$G21),1,""))</x:f>
      </x:c>
      <x:c r="Z21" s="13" t="str">
        <x:f t="shared" si="5">IF(OR($G21="",$H21="",$H21&lt;$G21),"",IF(AND(Z$9&lt;=$H21,Z$9+6&gt;=$G21),1,""))</x:f>
      </x:c>
      <x:c r="AA21" s="12" t="str">
        <x:f t="shared" si="5">IF(OR($G21="",$H21="",$H21&lt;$G21),"",IF(AND(AA$9&lt;=$H21,AA$9+6&gt;=$G21),1,""))</x:f>
      </x:c>
      <x:c r="AB21" s="13" t="str">
        <x:f t="shared" si="5">IF(OR($G21="",$H21="",$H21&lt;$G21),"",IF(AND(AB$9&lt;=$H21,AB$9+6&gt;=$G21),1,""))</x:f>
      </x:c>
      <x:c r="AC21" s="12" t="str">
        <x:f t="shared" si="5">IF(OR($G21="",$H21="",$H21&lt;$G21),"",IF(AND(AC$9&lt;=$H21,AC$9+6&gt;=$G21),1,""))</x:f>
      </x:c>
      <x:c r="AD21" s="13" t="str">
        <x:f t="shared" si="5">IF(OR($G21="",$H21="",$H21&lt;$G21),"",IF(AND(AD$9&lt;=$H21,AD$9+6&gt;=$G21),1,""))</x:f>
      </x:c>
    </x:row>
    <x:row r="22" ht="48" customHeight="1">
      <x:c r="B22" s="65" t="str">
        <x:v>Model</x:v>
      </x:c>
      <x:c r="C22" s="66" t="str">
        <x:v>KSE-033 Prywatne obserwacje i wspólna infrastruktura przyłączeniowa</x:v>
      </x:c>
      <x:c r="D22" s="67" t="str">
        <x:v>Użytkownik + Codex</x:v>
      </x:c>
      <x:c r="E22" s="67" t="str">
        <x:v>In Progress</x:v>
      </x:c>
      <x:c r="F22" s="67" t="str">
        <x:v>P0</x:v>
      </x:c>
      <x:c r="G22" s="68" t="n">
        <x:v>46276</x:v>
      </x:c>
      <x:c r="H22" s="68"/>
      <x:c r="I22" s="11" t="str">
        <x:f t="shared" si="1">IF(OR(G22="",H22="",H22&lt;G22),"",H22-G22+1)</x:f>
      </x:c>
      <x:c r="J22" s="15"/>
      <x:c r="K22" s="12" t="str">
        <x:f t="shared" si="4">IF(OR($G22="",$H22="",$H22&lt;$G22),"",IF(AND(K$9&lt;=$H22,K$9+6&gt;=$G22),1,""))</x:f>
      </x:c>
      <x:c r="L22" s="13" t="str">
        <x:f t="shared" si="4">IF(OR($G22="",$H22="",$H22&lt;$G22),"",IF(AND(L$9&lt;=$H22,L$9+6&gt;=$G22),1,""))</x:f>
      </x:c>
      <x:c r="M22" s="12" t="str">
        <x:f t="shared" si="4">IF(OR($G22="",$H22="",$H22&lt;$G22),"",IF(AND(M$9&lt;=$H22,M$9+6&gt;=$G22),1,""))</x:f>
      </x:c>
      <x:c r="N22" s="13" t="str">
        <x:f t="shared" si="4">IF(OR($G22="",$H22="",$H22&lt;$G22),"",IF(AND(N$9&lt;=$H22,N$9+6&gt;=$G22),1,""))</x:f>
      </x:c>
      <x:c r="O22" s="12" t="str">
        <x:f t="shared" si="4">IF(OR($G22="",$H22="",$H22&lt;$G22),"",IF(AND(O$9&lt;=$H22,O$9+6&gt;=$G22),1,""))</x:f>
      </x:c>
      <x:c r="P22" s="13" t="str">
        <x:f t="shared" si="4">IF(OR($G22="",$H22="",$H22&lt;$G22),"",IF(AND(P$9&lt;=$H22,P$9+6&gt;=$G22),1,""))</x:f>
      </x:c>
      <x:c r="Q22" s="12" t="str">
        <x:f t="shared" si="4">IF(OR($G22="",$H22="",$H22&lt;$G22),"",IF(AND(Q$9&lt;=$H22,Q$9+6&gt;=$G22),1,""))</x:f>
      </x:c>
      <x:c r="R22" s="13" t="str">
        <x:f t="shared" si="4">IF(OR($G22="",$H22="",$H22&lt;$G22),"",IF(AND(R$9&lt;=$H22,R$9+6&gt;=$G22),1,""))</x:f>
      </x:c>
      <x:c r="S22" s="12" t="str">
        <x:f t="shared" si="4">IF(OR($G22="",$H22="",$H22&lt;$G22),"",IF(AND(S$9&lt;=$H22,S$9+6&gt;=$G22),1,""))</x:f>
      </x:c>
      <x:c r="T22" s="13" t="str">
        <x:f t="shared" si="4">IF(OR($G22="",$H22="",$H22&lt;$G22),"",IF(AND(T$9&lt;=$H22,T$9+6&gt;=$G22),1,""))</x:f>
      </x:c>
      <x:c r="U22" s="12" t="str">
        <x:f t="shared" si="5">IF(OR($G22="",$H22="",$H22&lt;$G22),"",IF(AND(U$9&lt;=$H22,U$9+6&gt;=$G22),1,""))</x:f>
      </x:c>
      <x:c r="V22" s="13" t="str">
        <x:f t="shared" si="5">IF(OR($G22="",$H22="",$H22&lt;$G22),"",IF(AND(V$9&lt;=$H22,V$9+6&gt;=$G22),1,""))</x:f>
      </x:c>
      <x:c r="W22" s="12" t="str">
        <x:f t="shared" si="5">IF(OR($G22="",$H22="",$H22&lt;$G22),"",IF(AND(W$9&lt;=$H22,W$9+6&gt;=$G22),1,""))</x:f>
      </x:c>
      <x:c r="X22" s="13" t="str">
        <x:f t="shared" si="5">IF(OR($G22="",$H22="",$H22&lt;$G22),"",IF(AND(X$9&lt;=$H22,X$9+6&gt;=$G22),1,""))</x:f>
      </x:c>
      <x:c r="Y22" s="12" t="str">
        <x:f t="shared" si="5">IF(OR($G22="",$H22="",$H22&lt;$G22),"",IF(AND(Y$9&lt;=$H22,Y$9+6&gt;=$G22),1,""))</x:f>
      </x:c>
      <x:c r="Z22" s="13" t="str">
        <x:f t="shared" si="5">IF(OR($G22="",$H22="",$H22&lt;$G22),"",IF(AND(Z$9&lt;=$H22,Z$9+6&gt;=$G22),1,""))</x:f>
      </x:c>
      <x:c r="AA22" s="12" t="str">
        <x:f t="shared" si="5">IF(OR($G22="",$H22="",$H22&lt;$G22),"",IF(AND(AA$9&lt;=$H22,AA$9+6&gt;=$G22),1,""))</x:f>
      </x:c>
      <x:c r="AB22" s="13" t="str">
        <x:f t="shared" si="5">IF(OR($G22="",$H22="",$H22&lt;$G22),"",IF(AND(AB$9&lt;=$H22,AB$9+6&gt;=$G22),1,""))</x:f>
      </x:c>
      <x:c r="AC22" s="12" t="str">
        <x:f t="shared" si="5">IF(OR($G22="",$H22="",$H22&lt;$G22),"",IF(AND(AC$9&lt;=$H22,AC$9+6&gt;=$G22),1,""))</x:f>
      </x:c>
      <x:c r="AD22" s="13" t="str">
        <x:f t="shared" si="5">IF(OR($G22="",$H22="",$H22&lt;$G22),"",IF(AND(AD$9&lt;=$H22,AD$9+6&gt;=$G22),1,""))</x:f>
      </x:c>
    </x:row>
    <x:row r="23" ht="48" customHeight="1">
      <x:c r="B23" s="69" t="str">
        <x:v>Dane</x:v>
      </x:c>
      <x:c r="C23" s="70" t="str">
        <x:v>KSE-011 Przetestować uwierzytelnione API ENTSO-E</x:v>
      </x:c>
      <x:c r="D23" s="71" t="str">
        <x:v>Codex</x:v>
      </x:c>
      <x:c r="E23" s="71" t="str">
        <x:v>Not Started</x:v>
      </x:c>
      <x:c r="F23" s="71" t="str">
        <x:v>P1</x:v>
      </x:c>
      <x:c r="G23" s="72"/>
      <x:c r="H23" s="72"/>
      <x:c r="I23" s="11" t="str">
        <x:f t="shared" si="1">IF(OR(G23="",H23="",H23&lt;G23),"",H23-G23+1)</x:f>
      </x:c>
      <x:c r="J23" s="15"/>
      <x:c r="K23" s="12" t="str">
        <x:f t="shared" si="4">IF(OR($G23="",$H23="",$H23&lt;$G23),"",IF(AND(K$9&lt;=$H23,K$9+6&gt;=$G23),1,""))</x:f>
      </x:c>
      <x:c r="L23" s="13" t="str">
        <x:f t="shared" si="4">IF(OR($G23="",$H23="",$H23&lt;$G23),"",IF(AND(L$9&lt;=$H23,L$9+6&gt;=$G23),1,""))</x:f>
      </x:c>
      <x:c r="M23" s="12" t="str">
        <x:f t="shared" si="4">IF(OR($G23="",$H23="",$H23&lt;$G23),"",IF(AND(M$9&lt;=$H23,M$9+6&gt;=$G23),1,""))</x:f>
      </x:c>
      <x:c r="N23" s="13" t="str">
        <x:f t="shared" si="4">IF(OR($G23="",$H23="",$H23&lt;$G23),"",IF(AND(N$9&lt;=$H23,N$9+6&gt;=$G23),1,""))</x:f>
      </x:c>
      <x:c r="O23" s="12" t="str">
        <x:f t="shared" si="4">IF(OR($G23="",$H23="",$H23&lt;$G23),"",IF(AND(O$9&lt;=$H23,O$9+6&gt;=$G23),1,""))</x:f>
      </x:c>
      <x:c r="P23" s="13" t="str">
        <x:f t="shared" si="4">IF(OR($G23="",$H23="",$H23&lt;$G23),"",IF(AND(P$9&lt;=$H23,P$9+6&gt;=$G23),1,""))</x:f>
      </x:c>
      <x:c r="Q23" s="12" t="str">
        <x:f t="shared" si="4">IF(OR($G23="",$H23="",$H23&lt;$G23),"",IF(AND(Q$9&lt;=$H23,Q$9+6&gt;=$G23),1,""))</x:f>
      </x:c>
      <x:c r="R23" s="13" t="str">
        <x:f t="shared" si="4">IF(OR($G23="",$H23="",$H23&lt;$G23),"",IF(AND(R$9&lt;=$H23,R$9+6&gt;=$G23),1,""))</x:f>
      </x:c>
      <x:c r="S23" s="12" t="str">
        <x:f t="shared" si="4">IF(OR($G23="",$H23="",$H23&lt;$G23),"",IF(AND(S$9&lt;=$H23,S$9+6&gt;=$G23),1,""))</x:f>
      </x:c>
      <x:c r="T23" s="13" t="str">
        <x:f t="shared" si="4">IF(OR($G23="",$H23="",$H23&lt;$G23),"",IF(AND(T$9&lt;=$H23,T$9+6&gt;=$G23),1,""))</x:f>
      </x:c>
      <x:c r="U23" s="12" t="str">
        <x:f t="shared" si="5">IF(OR($G23="",$H23="",$H23&lt;$G23),"",IF(AND(U$9&lt;=$H23,U$9+6&gt;=$G23),1,""))</x:f>
      </x:c>
      <x:c r="V23" s="13" t="str">
        <x:f t="shared" si="5">IF(OR($G23="",$H23="",$H23&lt;$G23),"",IF(AND(V$9&lt;=$H23,V$9+6&gt;=$G23),1,""))</x:f>
      </x:c>
      <x:c r="W23" s="12" t="str">
        <x:f t="shared" si="5">IF(OR($G23="",$H23="",$H23&lt;$G23),"",IF(AND(W$9&lt;=$H23,W$9+6&gt;=$G23),1,""))</x:f>
      </x:c>
      <x:c r="X23" s="13" t="str">
        <x:f t="shared" si="5">IF(OR($G23="",$H23="",$H23&lt;$G23),"",IF(AND(X$9&lt;=$H23,X$9+6&gt;=$G23),1,""))</x:f>
      </x:c>
      <x:c r="Y23" s="12" t="str">
        <x:f t="shared" si="5">IF(OR($G23="",$H23="",$H23&lt;$G23),"",IF(AND(Y$9&lt;=$H23,Y$9+6&gt;=$G23),1,""))</x:f>
      </x:c>
      <x:c r="Z23" s="13" t="str">
        <x:f t="shared" si="5">IF(OR($G23="",$H23="",$H23&lt;$G23),"",IF(AND(Z$9&lt;=$H23,Z$9+6&gt;=$G23),1,""))</x:f>
      </x:c>
      <x:c r="AA23" s="12" t="str">
        <x:f t="shared" si="5">IF(OR($G23="",$H23="",$H23&lt;$G23),"",IF(AND(AA$9&lt;=$H23,AA$9+6&gt;=$G23),1,""))</x:f>
      </x:c>
      <x:c r="AB23" s="13" t="str">
        <x:f t="shared" si="5">IF(OR($G23="",$H23="",$H23&lt;$G23),"",IF(AND(AB$9&lt;=$H23,AB$9+6&gt;=$G23),1,""))</x:f>
      </x:c>
      <x:c r="AC23" s="12" t="str">
        <x:f t="shared" si="5">IF(OR($G23="",$H23="",$H23&lt;$G23),"",IF(AND(AC$9&lt;=$H23,AC$9+6&gt;=$G23),1,""))</x:f>
      </x:c>
      <x:c r="AD23" s="13" t="str">
        <x:f t="shared" si="5">IF(OR($G23="",$H23="",$H23&lt;$G23),"",IF(AND(AD$9&lt;=$H23,AD$9+6&gt;=$G23),1,""))</x:f>
      </x:c>
    </x:row>
    <x:row r="24" ht="48" customHeight="1">
      <x:c r="B24" s="65" t="str">
        <x:v>Dane</x:v>
      </x:c>
      <x:c r="C24" s="66" t="str">
        <x:v>KSE-012 Potwierdzić eksport ENEA i TAURON</x:v>
      </x:c>
      <x:c r="D24" s="67" t="str">
        <x:v>Codex</x:v>
      </x:c>
      <x:c r="E24" s="67" t="str">
        <x:v>Not Started</x:v>
      </x:c>
      <x:c r="F24" s="67" t="str">
        <x:v>P1</x:v>
      </x:c>
      <x:c r="G24" s="68"/>
      <x:c r="H24" s="68"/>
      <x:c r="I24" s="11" t="str">
        <x:f t="shared" si="1">IF(OR(G24="",H24="",H24&lt;G24),"",H24-G24+1)</x:f>
      </x:c>
      <x:c r="J24" s="15"/>
      <x:c r="K24" s="12" t="str">
        <x:f t="shared" si="4">IF(OR($G24="",$H24="",$H24&lt;$G24),"",IF(AND(K$9&lt;=$H24,K$9+6&gt;=$G24),1,""))</x:f>
      </x:c>
      <x:c r="L24" s="13" t="str">
        <x:f t="shared" si="4">IF(OR($G24="",$H24="",$H24&lt;$G24),"",IF(AND(L$9&lt;=$H24,L$9+6&gt;=$G24),1,""))</x:f>
      </x:c>
      <x:c r="M24" s="12" t="str">
        <x:f t="shared" si="4">IF(OR($G24="",$H24="",$H24&lt;$G24),"",IF(AND(M$9&lt;=$H24,M$9+6&gt;=$G24),1,""))</x:f>
      </x:c>
      <x:c r="N24" s="13" t="str">
        <x:f t="shared" si="4">IF(OR($G24="",$H24="",$H24&lt;$G24),"",IF(AND(N$9&lt;=$H24,N$9+6&gt;=$G24),1,""))</x:f>
      </x:c>
      <x:c r="O24" s="12" t="str">
        <x:f t="shared" si="4">IF(OR($G24="",$H24="",$H24&lt;$G24),"",IF(AND(O$9&lt;=$H24,O$9+6&gt;=$G24),1,""))</x:f>
      </x:c>
      <x:c r="P24" s="13" t="str">
        <x:f t="shared" si="4">IF(OR($G24="",$H24="",$H24&lt;$G24),"",IF(AND(P$9&lt;=$H24,P$9+6&gt;=$G24),1,""))</x:f>
      </x:c>
      <x:c r="Q24" s="12" t="str">
        <x:f t="shared" si="4">IF(OR($G24="",$H24="",$H24&lt;$G24),"",IF(AND(Q$9&lt;=$H24,Q$9+6&gt;=$G24),1,""))</x:f>
      </x:c>
      <x:c r="R24" s="13" t="str">
        <x:f t="shared" si="4">IF(OR($G24="",$H24="",$H24&lt;$G24),"",IF(AND(R$9&lt;=$H24,R$9+6&gt;=$G24),1,""))</x:f>
      </x:c>
      <x:c r="S24" s="12" t="str">
        <x:f t="shared" si="4">IF(OR($G24="",$H24="",$H24&lt;$G24),"",IF(AND(S$9&lt;=$H24,S$9+6&gt;=$G24),1,""))</x:f>
      </x:c>
      <x:c r="T24" s="13" t="str">
        <x:f t="shared" si="4">IF(OR($G24="",$H24="",$H24&lt;$G24),"",IF(AND(T$9&lt;=$H24,T$9+6&gt;=$G24),1,""))</x:f>
      </x:c>
      <x:c r="U24" s="12" t="str">
        <x:f t="shared" si="5">IF(OR($G24="",$H24="",$H24&lt;$G24),"",IF(AND(U$9&lt;=$H24,U$9+6&gt;=$G24),1,""))</x:f>
      </x:c>
      <x:c r="V24" s="13" t="str">
        <x:f t="shared" si="5">IF(OR($G24="",$H24="",$H24&lt;$G24),"",IF(AND(V$9&lt;=$H24,V$9+6&gt;=$G24),1,""))</x:f>
      </x:c>
      <x:c r="W24" s="12" t="str">
        <x:f t="shared" si="5">IF(OR($G24="",$H24="",$H24&lt;$G24),"",IF(AND(W$9&lt;=$H24,W$9+6&gt;=$G24),1,""))</x:f>
      </x:c>
      <x:c r="X24" s="13" t="str">
        <x:f t="shared" si="5">IF(OR($G24="",$H24="",$H24&lt;$G24),"",IF(AND(X$9&lt;=$H24,X$9+6&gt;=$G24),1,""))</x:f>
      </x:c>
      <x:c r="Y24" s="12" t="str">
        <x:f t="shared" si="5">IF(OR($G24="",$H24="",$H24&lt;$G24),"",IF(AND(Y$9&lt;=$H24,Y$9+6&gt;=$G24),1,""))</x:f>
      </x:c>
      <x:c r="Z24" s="13" t="str">
        <x:f t="shared" si="5">IF(OR($G24="",$H24="",$H24&lt;$G24),"",IF(AND(Z$9&lt;=$H24,Z$9+6&gt;=$G24),1,""))</x:f>
      </x:c>
      <x:c r="AA24" s="12" t="str">
        <x:f t="shared" si="5">IF(OR($G24="",$H24="",$H24&lt;$G24),"",IF(AND(AA$9&lt;=$H24,AA$9+6&gt;=$G24),1,""))</x:f>
      </x:c>
      <x:c r="AB24" s="13" t="str">
        <x:f t="shared" si="5">IF(OR($G24="",$H24="",$H24&lt;$G24),"",IF(AND(AB$9&lt;=$H24,AB$9+6&gt;=$G24),1,""))</x:f>
      </x:c>
      <x:c r="AC24" s="12" t="str">
        <x:f t="shared" si="5">IF(OR($G24="",$H24="",$H24&lt;$G24),"",IF(AND(AC$9&lt;=$H24,AC$9+6&gt;=$G24),1,""))</x:f>
      </x:c>
      <x:c r="AD24" s="13" t="str">
        <x:f t="shared" si="5">IF(OR($G24="",$H24="",$H24&lt;$G24),"",IF(AND(AD$9&lt;=$H24,AD$9+6&gt;=$G24),1,""))</x:f>
      </x:c>
    </x:row>
    <x:row r="25" ht="48" customHeight="1">
      <x:c r="B25" s="69" t="str">
        <x:v>Dane</x:v>
      </x:c>
      <x:c r="C25" s="70" t="str">
        <x:v>KSE-019 BIP i inwestycje w obszarze pilota</x:v>
      </x:c>
      <x:c r="D25" s="71" t="str">
        <x:v>Codex</x:v>
      </x:c>
      <x:c r="E25" s="71" t="str">
        <x:v>Not Started</x:v>
      </x:c>
      <x:c r="F25" s="71" t="str">
        <x:v>P1</x:v>
      </x:c>
      <x:c r="G25" s="72"/>
      <x:c r="H25" s="72"/>
      <x:c r="I25" s="11" t="str">
        <x:f t="shared" si="1">IF(OR(G25="",H25="",H25&lt;G25),"",H25-G25+1)</x:f>
      </x:c>
      <x:c r="J25" s="15"/>
      <x:c r="K25" s="12" t="str">
        <x:f t="shared" si="4">IF(OR($G25="",$H25="",$H25&lt;$G25),"",IF(AND(K$9&lt;=$H25,K$9+6&gt;=$G25),1,""))</x:f>
      </x:c>
      <x:c r="L25" s="13" t="str">
        <x:f t="shared" si="4">IF(OR($G25="",$H25="",$H25&lt;$G25),"",IF(AND(L$9&lt;=$H25,L$9+6&gt;=$G25),1,""))</x:f>
      </x:c>
      <x:c r="M25" s="12" t="str">
        <x:f t="shared" si="4">IF(OR($G25="",$H25="",$H25&lt;$G25),"",IF(AND(M$9&lt;=$H25,M$9+6&gt;=$G25),1,""))</x:f>
      </x:c>
      <x:c r="N25" s="13" t="str">
        <x:f t="shared" si="4">IF(OR($G25="",$H25="",$H25&lt;$G25),"",IF(AND(N$9&lt;=$H25,N$9+6&gt;=$G25),1,""))</x:f>
      </x:c>
      <x:c r="O25" s="12" t="str">
        <x:f t="shared" si="4">IF(OR($G25="",$H25="",$H25&lt;$G25),"",IF(AND(O$9&lt;=$H25,O$9+6&gt;=$G25),1,""))</x:f>
      </x:c>
      <x:c r="P25" s="13" t="str">
        <x:f t="shared" si="4">IF(OR($G25="",$H25="",$H25&lt;$G25),"",IF(AND(P$9&lt;=$H25,P$9+6&gt;=$G25),1,""))</x:f>
      </x:c>
      <x:c r="Q25" s="12" t="str">
        <x:f t="shared" si="4">IF(OR($G25="",$H25="",$H25&lt;$G25),"",IF(AND(Q$9&lt;=$H25,Q$9+6&gt;=$G25),1,""))</x:f>
      </x:c>
      <x:c r="R25" s="13" t="str">
        <x:f t="shared" si="4">IF(OR($G25="",$H25="",$H25&lt;$G25),"",IF(AND(R$9&lt;=$H25,R$9+6&gt;=$G25),1,""))</x:f>
      </x:c>
      <x:c r="S25" s="12" t="str">
        <x:f t="shared" si="4">IF(OR($G25="",$H25="",$H25&lt;$G25),"",IF(AND(S$9&lt;=$H25,S$9+6&gt;=$G25),1,""))</x:f>
      </x:c>
      <x:c r="T25" s="13" t="str">
        <x:f t="shared" si="4">IF(OR($G25="",$H25="",$H25&lt;$G25),"",IF(AND(T$9&lt;=$H25,T$9+6&gt;=$G25),1,""))</x:f>
      </x:c>
      <x:c r="U25" s="12" t="str">
        <x:f t="shared" si="5">IF(OR($G25="",$H25="",$H25&lt;$G25),"",IF(AND(U$9&lt;=$H25,U$9+6&gt;=$G25),1,""))</x:f>
      </x:c>
      <x:c r="V25" s="13" t="str">
        <x:f t="shared" si="5">IF(OR($G25="",$H25="",$H25&lt;$G25),"",IF(AND(V$9&lt;=$H25,V$9+6&gt;=$G25),1,""))</x:f>
      </x:c>
      <x:c r="W25" s="12" t="str">
        <x:f t="shared" si="5">IF(OR($G25="",$H25="",$H25&lt;$G25),"",IF(AND(W$9&lt;=$H25,W$9+6&gt;=$G25),1,""))</x:f>
      </x:c>
      <x:c r="X25" s="13" t="str">
        <x:f t="shared" si="5">IF(OR($G25="",$H25="",$H25&lt;$G25),"",IF(AND(X$9&lt;=$H25,X$9+6&gt;=$G25),1,""))</x:f>
      </x:c>
      <x:c r="Y25" s="12" t="str">
        <x:f t="shared" si="5">IF(OR($G25="",$H25="",$H25&lt;$G25),"",IF(AND(Y$9&lt;=$H25,Y$9+6&gt;=$G25),1,""))</x:f>
      </x:c>
      <x:c r="Z25" s="13" t="str">
        <x:f t="shared" si="5">IF(OR($G25="",$H25="",$H25&lt;$G25),"",IF(AND(Z$9&lt;=$H25,Z$9+6&gt;=$G25),1,""))</x:f>
      </x:c>
      <x:c r="AA25" s="12" t="str">
        <x:f t="shared" si="5">IF(OR($G25="",$H25="",$H25&lt;$G25),"",IF(AND(AA$9&lt;=$H25,AA$9+6&gt;=$G25),1,""))</x:f>
      </x:c>
      <x:c r="AB25" s="13" t="str">
        <x:f t="shared" si="5">IF(OR($G25="",$H25="",$H25&lt;$G25),"",IF(AND(AB$9&lt;=$H25,AB$9+6&gt;=$G25),1,""))</x:f>
      </x:c>
      <x:c r="AC25" s="12" t="str">
        <x:f t="shared" si="5">IF(OR($G25="",$H25="",$H25&lt;$G25),"",IF(AND(AC$9&lt;=$H25,AC$9+6&gt;=$G25),1,""))</x:f>
      </x:c>
      <x:c r="AD25" s="13" t="str">
        <x:f t="shared" si="5">IF(OR($G25="",$H25="",$H25&lt;$G25),"",IF(AND(AD$9&lt;=$H25,AD$9+6&gt;=$G25),1,""))</x:f>
      </x:c>
    </x:row>
    <x:row r="26" ht="48" customHeight="1">
      <x:c r="B26" s="65" t="str">
        <x:v>GIS</x:v>
      </x:c>
      <x:c r="C26" s="66" t="str">
        <x:v>KSE-020 Warstwy GIS i kontrola CRS</x:v>
      </x:c>
      <x:c r="D26" s="67" t="str">
        <x:v>Codex</x:v>
      </x:c>
      <x:c r="E26" s="67" t="str">
        <x:v>Not Started</x:v>
      </x:c>
      <x:c r="F26" s="67" t="str">
        <x:v>P1</x:v>
      </x:c>
      <x:c r="G26" s="68"/>
      <x:c r="H26" s="68"/>
      <x:c r="I26" s="11" t="str">
        <x:f t="shared" si="1">IF(OR(G26="",H26="",H26&lt;G26),"",H26-G26+1)</x:f>
      </x:c>
      <x:c r="J26" s="15"/>
      <x:c r="K26" s="12" t="str">
        <x:f t="shared" si="4">IF(OR($G26="",$H26="",$H26&lt;$G26),"",IF(AND(K$9&lt;=$H26,K$9+6&gt;=$G26),1,""))</x:f>
      </x:c>
      <x:c r="L26" s="13" t="str">
        <x:f t="shared" si="4">IF(OR($G26="",$H26="",$H26&lt;$G26),"",IF(AND(L$9&lt;=$H26,L$9+6&gt;=$G26),1,""))</x:f>
      </x:c>
      <x:c r="M26" s="12" t="str">
        <x:f t="shared" si="4">IF(OR($G26="",$H26="",$H26&lt;$G26),"",IF(AND(M$9&lt;=$H26,M$9+6&gt;=$G26),1,""))</x:f>
      </x:c>
      <x:c r="N26" s="13" t="str">
        <x:f t="shared" si="4">IF(OR($G26="",$H26="",$H26&lt;$G26),"",IF(AND(N$9&lt;=$H26,N$9+6&gt;=$G26),1,""))</x:f>
      </x:c>
      <x:c r="O26" s="12" t="str">
        <x:f t="shared" si="4">IF(OR($G26="",$H26="",$H26&lt;$G26),"",IF(AND(O$9&lt;=$H26,O$9+6&gt;=$G26),1,""))</x:f>
      </x:c>
      <x:c r="P26" s="13" t="str">
        <x:f t="shared" si="4">IF(OR($G26="",$H26="",$H26&lt;$G26),"",IF(AND(P$9&lt;=$H26,P$9+6&gt;=$G26),1,""))</x:f>
      </x:c>
      <x:c r="Q26" s="12" t="str">
        <x:f t="shared" si="4">IF(OR($G26="",$H26="",$H26&lt;$G26),"",IF(AND(Q$9&lt;=$H26,Q$9+6&gt;=$G26),1,""))</x:f>
      </x:c>
      <x:c r="R26" s="13" t="str">
        <x:f t="shared" si="4">IF(OR($G26="",$H26="",$H26&lt;$G26),"",IF(AND(R$9&lt;=$H26,R$9+6&gt;=$G26),1,""))</x:f>
      </x:c>
      <x:c r="S26" s="12" t="str">
        <x:f t="shared" si="4">IF(OR($G26="",$H26="",$H26&lt;$G26),"",IF(AND(S$9&lt;=$H26,S$9+6&gt;=$G26),1,""))</x:f>
      </x:c>
      <x:c r="T26" s="13" t="str">
        <x:f t="shared" si="4">IF(OR($G26="",$H26="",$H26&lt;$G26),"",IF(AND(T$9&lt;=$H26,T$9+6&gt;=$G26),1,""))</x:f>
      </x:c>
      <x:c r="U26" s="12" t="str">
        <x:f t="shared" si="5">IF(OR($G26="",$H26="",$H26&lt;$G26),"",IF(AND(U$9&lt;=$H26,U$9+6&gt;=$G26),1,""))</x:f>
      </x:c>
      <x:c r="V26" s="13" t="str">
        <x:f t="shared" si="5">IF(OR($G26="",$H26="",$H26&lt;$G26),"",IF(AND(V$9&lt;=$H26,V$9+6&gt;=$G26),1,""))</x:f>
      </x:c>
      <x:c r="W26" s="12" t="str">
        <x:f t="shared" si="5">IF(OR($G26="",$H26="",$H26&lt;$G26),"",IF(AND(W$9&lt;=$H26,W$9+6&gt;=$G26),1,""))</x:f>
      </x:c>
      <x:c r="X26" s="13" t="str">
        <x:f t="shared" si="5">IF(OR($G26="",$H26="",$H26&lt;$G26),"",IF(AND(X$9&lt;=$H26,X$9+6&gt;=$G26),1,""))</x:f>
      </x:c>
      <x:c r="Y26" s="12" t="str">
        <x:f t="shared" si="5">IF(OR($G26="",$H26="",$H26&lt;$G26),"",IF(AND(Y$9&lt;=$H26,Y$9+6&gt;=$G26),1,""))</x:f>
      </x:c>
      <x:c r="Z26" s="13" t="str">
        <x:f t="shared" si="5">IF(OR($G26="",$H26="",$H26&lt;$G26),"",IF(AND(Z$9&lt;=$H26,Z$9+6&gt;=$G26),1,""))</x:f>
      </x:c>
      <x:c r="AA26" s="12" t="str">
        <x:f t="shared" si="5">IF(OR($G26="",$H26="",$H26&lt;$G26),"",IF(AND(AA$9&lt;=$H26,AA$9+6&gt;=$G26),1,""))</x:f>
      </x:c>
      <x:c r="AB26" s="13" t="str">
        <x:f t="shared" si="5">IF(OR($G26="",$H26="",$H26&lt;$G26),"",IF(AND(AB$9&lt;=$H26,AB$9+6&gt;=$G26),1,""))</x:f>
      </x:c>
      <x:c r="AC26" s="12" t="str">
        <x:f t="shared" si="5">IF(OR($G26="",$H26="",$H26&lt;$G26),"",IF(AND(AC$9&lt;=$H26,AC$9+6&gt;=$G26),1,""))</x:f>
      </x:c>
      <x:c r="AD26" s="13" t="str">
        <x:f t="shared" si="5">IF(OR($G26="",$H26="",$H26&lt;$G26),"",IF(AND(AD$9&lt;=$H26,AD$9+6&gt;=$G26),1,""))</x:f>
      </x:c>
    </x:row>
    <x:row r="27" ht="48" customHeight="1">
      <x:c r="B27" s="69" t="str">
        <x:v>UI</x:v>
      </x:c>
      <x:c r="C27" s="70" t="str">
        <x:v>KSE-024 Pierwszy interfejs i mapa dowodów</x:v>
      </x:c>
      <x:c r="D27" s="71" t="str">
        <x:v>Codex</x:v>
      </x:c>
      <x:c r="E27" s="71" t="str">
        <x:v>Not Started</x:v>
      </x:c>
      <x:c r="F27" s="71" t="str">
        <x:v>P1</x:v>
      </x:c>
      <x:c r="G27" s="72"/>
      <x:c r="H27" s="72"/>
      <x:c r="I27" s="11" t="str">
        <x:f t="shared" si="1">IF(OR(G27="",H27="",H27&lt;G27),"",H27-G27+1)</x:f>
      </x:c>
      <x:c r="J27" s="15"/>
      <x:c r="K27" s="12" t="str">
        <x:f t="shared" si="4">IF(OR($G27="",$H27="",$H27&lt;$G27),"",IF(AND(K$9&lt;=$H27,K$9+6&gt;=$G27),1,""))</x:f>
      </x:c>
      <x:c r="L27" s="13" t="str">
        <x:f t="shared" si="4">IF(OR($G27="",$H27="",$H27&lt;$G27),"",IF(AND(L$9&lt;=$H27,L$9+6&gt;=$G27),1,""))</x:f>
      </x:c>
      <x:c r="M27" s="12" t="str">
        <x:f t="shared" si="4">IF(OR($G27="",$H27="",$H27&lt;$G27),"",IF(AND(M$9&lt;=$H27,M$9+6&gt;=$G27),1,""))</x:f>
      </x:c>
      <x:c r="N27" s="13" t="str">
        <x:f t="shared" si="4">IF(OR($G27="",$H27="",$H27&lt;$G27),"",IF(AND(N$9&lt;=$H27,N$9+6&gt;=$G27),1,""))</x:f>
      </x:c>
      <x:c r="O27" s="12" t="str">
        <x:f t="shared" si="4">IF(OR($G27="",$H27="",$H27&lt;$G27),"",IF(AND(O$9&lt;=$H27,O$9+6&gt;=$G27),1,""))</x:f>
      </x:c>
      <x:c r="P27" s="13" t="str">
        <x:f t="shared" si="4">IF(OR($G27="",$H27="",$H27&lt;$G27),"",IF(AND(P$9&lt;=$H27,P$9+6&gt;=$G27),1,""))</x:f>
      </x:c>
      <x:c r="Q27" s="12" t="str">
        <x:f t="shared" si="4">IF(OR($G27="",$H27="",$H27&lt;$G27),"",IF(AND(Q$9&lt;=$H27,Q$9+6&gt;=$G27),1,""))</x:f>
      </x:c>
      <x:c r="R27" s="13" t="str">
        <x:f t="shared" si="4">IF(OR($G27="",$H27="",$H27&lt;$G27),"",IF(AND(R$9&lt;=$H27,R$9+6&gt;=$G27),1,""))</x:f>
      </x:c>
      <x:c r="S27" s="12" t="str">
        <x:f t="shared" si="4">IF(OR($G27="",$H27="",$H27&lt;$G27),"",IF(AND(S$9&lt;=$H27,S$9+6&gt;=$G27),1,""))</x:f>
      </x:c>
      <x:c r="T27" s="13" t="str">
        <x:f t="shared" si="4">IF(OR($G27="",$H27="",$H27&lt;$G27),"",IF(AND(T$9&lt;=$H27,T$9+6&gt;=$G27),1,""))</x:f>
      </x:c>
      <x:c r="U27" s="12" t="str">
        <x:f t="shared" si="5">IF(OR($G27="",$H27="",$H27&lt;$G27),"",IF(AND(U$9&lt;=$H27,U$9+6&gt;=$G27),1,""))</x:f>
      </x:c>
      <x:c r="V27" s="13" t="str">
        <x:f t="shared" si="5">IF(OR($G27="",$H27="",$H27&lt;$G27),"",IF(AND(V$9&lt;=$H27,V$9+6&gt;=$G27),1,""))</x:f>
      </x:c>
      <x:c r="W27" s="12" t="str">
        <x:f t="shared" si="5">IF(OR($G27="",$H27="",$H27&lt;$G27),"",IF(AND(W$9&lt;=$H27,W$9+6&gt;=$G27),1,""))</x:f>
      </x:c>
      <x:c r="X27" s="13" t="str">
        <x:f t="shared" si="5">IF(OR($G27="",$H27="",$H27&lt;$G27),"",IF(AND(X$9&lt;=$H27,X$9+6&gt;=$G27),1,""))</x:f>
      </x:c>
      <x:c r="Y27" s="12" t="str">
        <x:f t="shared" si="5">IF(OR($G27="",$H27="",$H27&lt;$G27),"",IF(AND(Y$9&lt;=$H27,Y$9+6&gt;=$G27),1,""))</x:f>
      </x:c>
      <x:c r="Z27" s="13" t="str">
        <x:f t="shared" si="5">IF(OR($G27="",$H27="",$H27&lt;$G27),"",IF(AND(Z$9&lt;=$H27,Z$9+6&gt;=$G27),1,""))</x:f>
      </x:c>
      <x:c r="AA27" s="12" t="str">
        <x:f t="shared" si="5">IF(OR($G27="",$H27="",$H27&lt;$G27),"",IF(AND(AA$9&lt;=$H27,AA$9+6&gt;=$G27),1,""))</x:f>
      </x:c>
      <x:c r="AB27" s="13" t="str">
        <x:f t="shared" si="5">IF(OR($G27="",$H27="",$H27&lt;$G27),"",IF(AND(AB$9&lt;=$H27,AB$9+6&gt;=$G27),1,""))</x:f>
      </x:c>
      <x:c r="AC27" s="12" t="str">
        <x:f t="shared" si="5">IF(OR($G27="",$H27="",$H27&lt;$G27),"",IF(AND(AC$9&lt;=$H27,AC$9+6&gt;=$G27),1,""))</x:f>
      </x:c>
      <x:c r="AD27" s="13" t="str">
        <x:f t="shared" si="5">IF(OR($G27="",$H27="",$H27&lt;$G27),"",IF(AND(AD$9&lt;=$H27,AD$9+6&gt;=$G27),1,""))</x:f>
      </x:c>
    </x:row>
    <x:row r="28" ht="48" customHeight="1">
      <x:c r="B28" s="65" t="str">
        <x:v>V1</x:v>
      </x:c>
      <x:c r="C28" s="66" t="str">
        <x:v>KSE-025 Cykliczne aktualizacje i historia zmian</x:v>
      </x:c>
      <x:c r="D28" s="67" t="str">
        <x:v>Codex</x:v>
      </x:c>
      <x:c r="E28" s="67" t="str">
        <x:v>Not Started</x:v>
      </x:c>
      <x:c r="F28" s="67" t="str">
        <x:v>P1</x:v>
      </x:c>
      <x:c r="G28" s="68"/>
      <x:c r="H28" s="68"/>
      <x:c r="I28" s="11" t="str">
        <x:f t="shared" si="1">IF(OR(G28="",H28="",H28&lt;G28),"",H28-G28+1)</x:f>
      </x:c>
      <x:c r="J28" s="15"/>
      <x:c r="K28" s="12" t="str">
        <x:f t="shared" si="4">IF(OR($G28="",$H28="",$H28&lt;$G28),"",IF(AND(K$9&lt;=$H28,K$9+6&gt;=$G28),1,""))</x:f>
      </x:c>
      <x:c r="L28" s="13" t="str">
        <x:f t="shared" si="4">IF(OR($G28="",$H28="",$H28&lt;$G28),"",IF(AND(L$9&lt;=$H28,L$9+6&gt;=$G28),1,""))</x:f>
      </x:c>
      <x:c r="M28" s="12" t="str">
        <x:f t="shared" si="4">IF(OR($G28="",$H28="",$H28&lt;$G28),"",IF(AND(M$9&lt;=$H28,M$9+6&gt;=$G28),1,""))</x:f>
      </x:c>
      <x:c r="N28" s="13" t="str">
        <x:f t="shared" si="4">IF(OR($G28="",$H28="",$H28&lt;$G28),"",IF(AND(N$9&lt;=$H28,N$9+6&gt;=$G28),1,""))</x:f>
      </x:c>
      <x:c r="O28" s="12" t="str">
        <x:f t="shared" si="4">IF(OR($G28="",$H28="",$H28&lt;$G28),"",IF(AND(O$9&lt;=$H28,O$9+6&gt;=$G28),1,""))</x:f>
      </x:c>
      <x:c r="P28" s="13" t="str">
        <x:f t="shared" si="4">IF(OR($G28="",$H28="",$H28&lt;$G28),"",IF(AND(P$9&lt;=$H28,P$9+6&gt;=$G28),1,""))</x:f>
      </x:c>
      <x:c r="Q28" s="12" t="str">
        <x:f t="shared" si="4">IF(OR($G28="",$H28="",$H28&lt;$G28),"",IF(AND(Q$9&lt;=$H28,Q$9+6&gt;=$G28),1,""))</x:f>
      </x:c>
      <x:c r="R28" s="13" t="str">
        <x:f t="shared" si="4">IF(OR($G28="",$H28="",$H28&lt;$G28),"",IF(AND(R$9&lt;=$H28,R$9+6&gt;=$G28),1,""))</x:f>
      </x:c>
      <x:c r="S28" s="12" t="str">
        <x:f t="shared" si="4">IF(OR($G28="",$H28="",$H28&lt;$G28),"",IF(AND(S$9&lt;=$H28,S$9+6&gt;=$G28),1,""))</x:f>
      </x:c>
      <x:c r="T28" s="13" t="str">
        <x:f t="shared" si="4">IF(OR($G28="",$H28="",$H28&lt;$G28),"",IF(AND(T$9&lt;=$H28,T$9+6&gt;=$G28),1,""))</x:f>
      </x:c>
      <x:c r="U28" s="12" t="str">
        <x:f t="shared" si="5">IF(OR($G28="",$H28="",$H28&lt;$G28),"",IF(AND(U$9&lt;=$H28,U$9+6&gt;=$G28),1,""))</x:f>
      </x:c>
      <x:c r="V28" s="13" t="str">
        <x:f t="shared" si="5">IF(OR($G28="",$H28="",$H28&lt;$G28),"",IF(AND(V$9&lt;=$H28,V$9+6&gt;=$G28),1,""))</x:f>
      </x:c>
      <x:c r="W28" s="12" t="str">
        <x:f t="shared" si="5">IF(OR($G28="",$H28="",$H28&lt;$G28),"",IF(AND(W$9&lt;=$H28,W$9+6&gt;=$G28),1,""))</x:f>
      </x:c>
      <x:c r="X28" s="13" t="str">
        <x:f t="shared" si="5">IF(OR($G28="",$H28="",$H28&lt;$G28),"",IF(AND(X$9&lt;=$H28,X$9+6&gt;=$G28),1,""))</x:f>
      </x:c>
      <x:c r="Y28" s="12" t="str">
        <x:f t="shared" si="5">IF(OR($G28="",$H28="",$H28&lt;$G28),"",IF(AND(Y$9&lt;=$H28,Y$9+6&gt;=$G28),1,""))</x:f>
      </x:c>
      <x:c r="Z28" s="13" t="str">
        <x:f t="shared" si="5">IF(OR($G28="",$H28="",$H28&lt;$G28),"",IF(AND(Z$9&lt;=$H28,Z$9+6&gt;=$G28),1,""))</x:f>
      </x:c>
      <x:c r="AA28" s="12" t="str">
        <x:f t="shared" si="5">IF(OR($G28="",$H28="",$H28&lt;$G28),"",IF(AND(AA$9&lt;=$H28,AA$9+6&gt;=$G28),1,""))</x:f>
      </x:c>
      <x:c r="AB28" s="13" t="str">
        <x:f t="shared" si="5">IF(OR($G28="",$H28="",$H28&lt;$G28),"",IF(AND(AB$9&lt;=$H28,AB$9+6&gt;=$G28),1,""))</x:f>
      </x:c>
      <x:c r="AC28" s="12" t="str">
        <x:f t="shared" si="5">IF(OR($G28="",$H28="",$H28&lt;$G28),"",IF(AND(AC$9&lt;=$H28,AC$9+6&gt;=$G28),1,""))</x:f>
      </x:c>
      <x:c r="AD28" s="13" t="str">
        <x:f t="shared" si="5">IF(OR($G28="",$H28="",$H28&lt;$G28),"",IF(AND(AD$9&lt;=$H28,AD$9+6&gt;=$G28),1,""))</x:f>
      </x:c>
    </x:row>
    <x:row r="29" ht="48" customHeight="1">
      <x:c r="B29" s="69" t="str">
        <x:v>Data quality</x:v>
      </x:c>
      <x:c r="C29" s="70" t="str">
        <x:v>KSE-036 Weryfikacja i normalizacja historycznej warstwy GIS</x:v>
      </x:c>
      <x:c r="D29" s="71" t="str">
        <x:v>Codex + Użytkownik</x:v>
      </x:c>
      <x:c r="E29" s="71" t="str">
        <x:v>In Progress</x:v>
      </x:c>
      <x:c r="F29" s="71" t="str">
        <x:v>P1</x:v>
      </x:c>
      <x:c r="G29" s="72" t="n">
        <x:v>46281</x:v>
      </x:c>
      <x:c r="H29" s="72"/>
      <x:c r="I29" s="11" t="str">
        <x:f t="shared" si="1">IF(OR(G29="",H29="",H29&lt;G29),"",H29-G29+1)</x:f>
      </x:c>
      <x:c r="J29" s="15"/>
      <x:c r="K29" s="12" t="str">
        <x:f t="shared" si="4">IF(OR($G29="",$H29="",$H29&lt;$G29),"",IF(AND(K$9&lt;=$H29,K$9+6&gt;=$G29),1,""))</x:f>
      </x:c>
      <x:c r="L29" s="13" t="str">
        <x:f t="shared" si="4">IF(OR($G29="",$H29="",$H29&lt;$G29),"",IF(AND(L$9&lt;=$H29,L$9+6&gt;=$G29),1,""))</x:f>
      </x:c>
      <x:c r="M29" s="12" t="str">
        <x:f t="shared" si="4">IF(OR($G29="",$H29="",$H29&lt;$G29),"",IF(AND(M$9&lt;=$H29,M$9+6&gt;=$G29),1,""))</x:f>
      </x:c>
      <x:c r="N29" s="13" t="str">
        <x:f t="shared" si="4">IF(OR($G29="",$H29="",$H29&lt;$G29),"",IF(AND(N$9&lt;=$H29,N$9+6&gt;=$G29),1,""))</x:f>
      </x:c>
      <x:c r="O29" s="12" t="str">
        <x:f t="shared" si="4">IF(OR($G29="",$H29="",$H29&lt;$G29),"",IF(AND(O$9&lt;=$H29,O$9+6&gt;=$G29),1,""))</x:f>
      </x:c>
      <x:c r="P29" s="13" t="str">
        <x:f t="shared" si="4">IF(OR($G29="",$H29="",$H29&lt;$G29),"",IF(AND(P$9&lt;=$H29,P$9+6&gt;=$G29),1,""))</x:f>
      </x:c>
      <x:c r="Q29" s="12" t="str">
        <x:f t="shared" si="4">IF(OR($G29="",$H29="",$H29&lt;$G29),"",IF(AND(Q$9&lt;=$H29,Q$9+6&gt;=$G29),1,""))</x:f>
      </x:c>
      <x:c r="R29" s="13" t="str">
        <x:f t="shared" si="4">IF(OR($G29="",$H29="",$H29&lt;$G29),"",IF(AND(R$9&lt;=$H29,R$9+6&gt;=$G29),1,""))</x:f>
      </x:c>
      <x:c r="S29" s="12" t="str">
        <x:f t="shared" si="4">IF(OR($G29="",$H29="",$H29&lt;$G29),"",IF(AND(S$9&lt;=$H29,S$9+6&gt;=$G29),1,""))</x:f>
      </x:c>
      <x:c r="T29" s="13" t="str">
        <x:f t="shared" si="4">IF(OR($G29="",$H29="",$H29&lt;$G29),"",IF(AND(T$9&lt;=$H29,T$9+6&gt;=$G29),1,""))</x:f>
      </x:c>
      <x:c r="U29" s="12" t="str">
        <x:f t="shared" si="5">IF(OR($G29="",$H29="",$H29&lt;$G29),"",IF(AND(U$9&lt;=$H29,U$9+6&gt;=$G29),1,""))</x:f>
      </x:c>
      <x:c r="V29" s="13" t="str">
        <x:f t="shared" si="5">IF(OR($G29="",$H29="",$H29&lt;$G29),"",IF(AND(V$9&lt;=$H29,V$9+6&gt;=$G29),1,""))</x:f>
      </x:c>
      <x:c r="W29" s="12" t="str">
        <x:f t="shared" si="5">IF(OR($G29="",$H29="",$H29&lt;$G29),"",IF(AND(W$9&lt;=$H29,W$9+6&gt;=$G29),1,""))</x:f>
      </x:c>
      <x:c r="X29" s="13" t="str">
        <x:f t="shared" si="5">IF(OR($G29="",$H29="",$H29&lt;$G29),"",IF(AND(X$9&lt;=$H29,X$9+6&gt;=$G29),1,""))</x:f>
      </x:c>
      <x:c r="Y29" s="12" t="str">
        <x:f t="shared" si="5">IF(OR($G29="",$H29="",$H29&lt;$G29),"",IF(AND(Y$9&lt;=$H29,Y$9+6&gt;=$G29),1,""))</x:f>
      </x:c>
      <x:c r="Z29" s="13" t="str">
        <x:f t="shared" si="5">IF(OR($G29="",$H29="",$H29&lt;$G29),"",IF(AND(Z$9&lt;=$H29,Z$9+6&gt;=$G29),1,""))</x:f>
      </x:c>
      <x:c r="AA29" s="12" t="str">
        <x:f t="shared" si="5">IF(OR($G29="",$H29="",$H29&lt;$G29),"",IF(AND(AA$9&lt;=$H29,AA$9+6&gt;=$G29),1,""))</x:f>
      </x:c>
      <x:c r="AB29" s="13" t="str">
        <x:f t="shared" si="5">IF(OR($G29="",$H29="",$H29&lt;$G29),"",IF(AND(AB$9&lt;=$H29,AB$9+6&gt;=$G29),1,""))</x:f>
      </x:c>
      <x:c r="AC29" s="12" t="str">
        <x:f t="shared" si="5">IF(OR($G29="",$H29="",$H29&lt;$G29),"",IF(AND(AC$9&lt;=$H29,AC$9+6&gt;=$G29),1,""))</x:f>
      </x:c>
      <x:c r="AD29" s="13" t="str">
        <x:f t="shared" si="5">IF(OR($G29="",$H29="",$H29&lt;$G29),"",IF(AND(AD$9&lt;=$H29,AD$9+6&gt;=$G29),1,""))</x:f>
      </x:c>
    </x:row>
    <x:row r="30" ht="48" customHeight="1">
      <x:c r="B30" s="65" t="str">
        <x:v>V1</x:v>
      </x:c>
      <x:c r="C30" s="66" t="str">
        <x:v>KSE-026 Rozszerzenie pokrycia OSD i regionów</x:v>
      </x:c>
      <x:c r="D30" s="67" t="str">
        <x:v>Codex</x:v>
      </x:c>
      <x:c r="E30" s="67" t="str">
        <x:v>Not Started</x:v>
      </x:c>
      <x:c r="F30" s="67" t="str">
        <x:v>P2</x:v>
      </x:c>
      <x:c r="G30" s="68"/>
      <x:c r="H30" s="68"/>
      <x:c r="I30" s="11" t="str">
        <x:f t="shared" si="1">IF(OR(G30="",H30="",H30&lt;G30),"",H30-G30+1)</x:f>
      </x:c>
      <x:c r="J30" s="15"/>
      <x:c r="K30" s="12" t="str">
        <x:f t="shared" ref="K30:T39" si="6">IF(OR($G30="",$H30="",$H30&lt;$G30),"",IF(AND(K$9&lt;=$H30,K$9+6&gt;=$G30),1,""))</x:f>
      </x:c>
      <x:c r="L30" s="13" t="str">
        <x:f t="shared" si="6">IF(OR($G30="",$H30="",$H30&lt;$G30),"",IF(AND(L$9&lt;=$H30,L$9+6&gt;=$G30),1,""))</x:f>
      </x:c>
      <x:c r="M30" s="12" t="str">
        <x:f t="shared" si="6">IF(OR($G30="",$H30="",$H30&lt;$G30),"",IF(AND(M$9&lt;=$H30,M$9+6&gt;=$G30),1,""))</x:f>
      </x:c>
      <x:c r="N30" s="13" t="str">
        <x:f t="shared" si="6">IF(OR($G30="",$H30="",$H30&lt;$G30),"",IF(AND(N$9&lt;=$H30,N$9+6&gt;=$G30),1,""))</x:f>
      </x:c>
      <x:c r="O30" s="12" t="str">
        <x:f t="shared" si="6">IF(OR($G30="",$H30="",$H30&lt;$G30),"",IF(AND(O$9&lt;=$H30,O$9+6&gt;=$G30),1,""))</x:f>
      </x:c>
      <x:c r="P30" s="13" t="str">
        <x:f t="shared" si="6">IF(OR($G30="",$H30="",$H30&lt;$G30),"",IF(AND(P$9&lt;=$H30,P$9+6&gt;=$G30),1,""))</x:f>
      </x:c>
      <x:c r="Q30" s="12" t="str">
        <x:f t="shared" si="6">IF(OR($G30="",$H30="",$H30&lt;$G30),"",IF(AND(Q$9&lt;=$H30,Q$9+6&gt;=$G30),1,""))</x:f>
      </x:c>
      <x:c r="R30" s="13" t="str">
        <x:f t="shared" si="6">IF(OR($G30="",$H30="",$H30&lt;$G30),"",IF(AND(R$9&lt;=$H30,R$9+6&gt;=$G30),1,""))</x:f>
      </x:c>
      <x:c r="S30" s="12" t="str">
        <x:f t="shared" si="6">IF(OR($G30="",$H30="",$H30&lt;$G30),"",IF(AND(S$9&lt;=$H30,S$9+6&gt;=$G30),1,""))</x:f>
      </x:c>
      <x:c r="T30" s="13" t="str">
        <x:f t="shared" si="6">IF(OR($G30="",$H30="",$H30&lt;$G30),"",IF(AND(T$9&lt;=$H30,T$9+6&gt;=$G30),1,""))</x:f>
      </x:c>
      <x:c r="U30" s="12" t="str">
        <x:f t="shared" ref="U30:AD39" si="7">IF(OR($G30="",$H30="",$H30&lt;$G30),"",IF(AND(U$9&lt;=$H30,U$9+6&gt;=$G30),1,""))</x:f>
      </x:c>
      <x:c r="V30" s="13" t="str">
        <x:f t="shared" si="7">IF(OR($G30="",$H30="",$H30&lt;$G30),"",IF(AND(V$9&lt;=$H30,V$9+6&gt;=$G30),1,""))</x:f>
      </x:c>
      <x:c r="W30" s="12" t="str">
        <x:f t="shared" si="7">IF(OR($G30="",$H30="",$H30&lt;$G30),"",IF(AND(W$9&lt;=$H30,W$9+6&gt;=$G30),1,""))</x:f>
      </x:c>
      <x:c r="X30" s="13" t="str">
        <x:f t="shared" si="7">IF(OR($G30="",$H30="",$H30&lt;$G30),"",IF(AND(X$9&lt;=$H30,X$9+6&gt;=$G30),1,""))</x:f>
      </x:c>
      <x:c r="Y30" s="12" t="str">
        <x:f t="shared" si="7">IF(OR($G30="",$H30="",$H30&lt;$G30),"",IF(AND(Y$9&lt;=$H30,Y$9+6&gt;=$G30),1,""))</x:f>
      </x:c>
      <x:c r="Z30" s="13" t="str">
        <x:f t="shared" si="7">IF(OR($G30="",$H30="",$H30&lt;$G30),"",IF(AND(Z$9&lt;=$H30,Z$9+6&gt;=$G30),1,""))</x:f>
      </x:c>
      <x:c r="AA30" s="12" t="str">
        <x:f t="shared" si="7">IF(OR($G30="",$H30="",$H30&lt;$G30),"",IF(AND(AA$9&lt;=$H30,AA$9+6&gt;=$G30),1,""))</x:f>
      </x:c>
      <x:c r="AB30" s="13" t="str">
        <x:f t="shared" si="7">IF(OR($G30="",$H30="",$H30&lt;$G30),"",IF(AND(AB$9&lt;=$H30,AB$9+6&gt;=$G30),1,""))</x:f>
      </x:c>
      <x:c r="AC30" s="12" t="str">
        <x:f t="shared" si="7">IF(OR($G30="",$H30="",$H30&lt;$G30),"",IF(AND(AC$9&lt;=$H30,AC$9+6&gt;=$G30),1,""))</x:f>
      </x:c>
      <x:c r="AD30" s="13" t="str">
        <x:f t="shared" si="7">IF(OR($G30="",$H30="",$H30&lt;$G30),"",IF(AND(AD$9&lt;=$H30,AD$9+6&gt;=$G30),1,""))</x:f>
      </x:c>
    </x:row>
    <x:row r="31" ht="48" customHeight="1">
      <x:c r="B31" s="69" t="str">
        <x:v>V2</x:v>
      </x:c>
      <x:c r="C31" s="70" t="str">
        <x:v>KSE-027 Scenariusze przyszłej sieci i trasy</x:v>
      </x:c>
      <x:c r="D31" s="71" t="str">
        <x:v>Codex</x:v>
      </x:c>
      <x:c r="E31" s="71" t="str">
        <x:v>Not Started</x:v>
      </x:c>
      <x:c r="F31" s="71" t="str">
        <x:v>P2</x:v>
      </x:c>
      <x:c r="G31" s="73"/>
      <x:c r="H31" s="73"/>
      <x:c r="I31" s="11" t="str">
        <x:f t="shared" si="1">IF(OR(G31="",H31="",H31&lt;G31),"",H31-G31+1)</x:f>
      </x:c>
      <x:c r="J31" s="15"/>
      <x:c r="K31" s="12" t="str">
        <x:f t="shared" si="6">IF(OR($G31="",$H31="",$H31&lt;$G31),"",IF(AND(K$9&lt;=$H31,K$9+6&gt;=$G31),1,""))</x:f>
      </x:c>
      <x:c r="L31" s="13" t="str">
        <x:f t="shared" si="6">IF(OR($G31="",$H31="",$H31&lt;$G31),"",IF(AND(L$9&lt;=$H31,L$9+6&gt;=$G31),1,""))</x:f>
      </x:c>
      <x:c r="M31" s="12" t="str">
        <x:f t="shared" si="6">IF(OR($G31="",$H31="",$H31&lt;$G31),"",IF(AND(M$9&lt;=$H31,M$9+6&gt;=$G31),1,""))</x:f>
      </x:c>
      <x:c r="N31" s="13" t="str">
        <x:f t="shared" si="6">IF(OR($G31="",$H31="",$H31&lt;$G31),"",IF(AND(N$9&lt;=$H31,N$9+6&gt;=$G31),1,""))</x:f>
      </x:c>
      <x:c r="O31" s="12" t="str">
        <x:f t="shared" si="6">IF(OR($G31="",$H31="",$H31&lt;$G31),"",IF(AND(O$9&lt;=$H31,O$9+6&gt;=$G31),1,""))</x:f>
      </x:c>
      <x:c r="P31" s="13" t="str">
        <x:f t="shared" si="6">IF(OR($G31="",$H31="",$H31&lt;$G31),"",IF(AND(P$9&lt;=$H31,P$9+6&gt;=$G31),1,""))</x:f>
      </x:c>
      <x:c r="Q31" s="12" t="str">
        <x:f t="shared" si="6">IF(OR($G31="",$H31="",$H31&lt;$G31),"",IF(AND(Q$9&lt;=$H31,Q$9+6&gt;=$G31),1,""))</x:f>
      </x:c>
      <x:c r="R31" s="13" t="str">
        <x:f t="shared" si="6">IF(OR($G31="",$H31="",$H31&lt;$G31),"",IF(AND(R$9&lt;=$H31,R$9+6&gt;=$G31),1,""))</x:f>
      </x:c>
      <x:c r="S31" s="12" t="str">
        <x:f t="shared" si="6">IF(OR($G31="",$H31="",$H31&lt;$G31),"",IF(AND(S$9&lt;=$H31,S$9+6&gt;=$G31),1,""))</x:f>
      </x:c>
      <x:c r="T31" s="13" t="str">
        <x:f t="shared" si="6">IF(OR($G31="",$H31="",$H31&lt;$G31),"",IF(AND(T$9&lt;=$H31,T$9+6&gt;=$G31),1,""))</x:f>
      </x:c>
      <x:c r="U31" s="12" t="str">
        <x:f t="shared" si="7">IF(OR($G31="",$H31="",$H31&lt;$G31),"",IF(AND(U$9&lt;=$H31,U$9+6&gt;=$G31),1,""))</x:f>
      </x:c>
      <x:c r="V31" s="13" t="str">
        <x:f t="shared" si="7">IF(OR($G31="",$H31="",$H31&lt;$G31),"",IF(AND(V$9&lt;=$H31,V$9+6&gt;=$G31),1,""))</x:f>
      </x:c>
      <x:c r="W31" s="12" t="str">
        <x:f t="shared" si="7">IF(OR($G31="",$H31="",$H31&lt;$G31),"",IF(AND(W$9&lt;=$H31,W$9+6&gt;=$G31),1,""))</x:f>
      </x:c>
      <x:c r="X31" s="13" t="str">
        <x:f t="shared" si="7">IF(OR($G31="",$H31="",$H31&lt;$G31),"",IF(AND(X$9&lt;=$H31,X$9+6&gt;=$G31),1,""))</x:f>
      </x:c>
      <x:c r="Y31" s="12" t="str">
        <x:f t="shared" si="7">IF(OR($G31="",$H31="",$H31&lt;$G31),"",IF(AND(Y$9&lt;=$H31,Y$9+6&gt;=$G31),1,""))</x:f>
      </x:c>
      <x:c r="Z31" s="13" t="str">
        <x:f t="shared" si="7">IF(OR($G31="",$H31="",$H31&lt;$G31),"",IF(AND(Z$9&lt;=$H31,Z$9+6&gt;=$G31),1,""))</x:f>
      </x:c>
      <x:c r="AA31" s="12" t="str">
        <x:f t="shared" si="7">IF(OR($G31="",$H31="",$H31&lt;$G31),"",IF(AND(AA$9&lt;=$H31,AA$9+6&gt;=$G31),1,""))</x:f>
      </x:c>
      <x:c r="AB31" s="13" t="str">
        <x:f t="shared" si="7">IF(OR($G31="",$H31="",$H31&lt;$G31),"",IF(AND(AB$9&lt;=$H31,AB$9+6&gt;=$G31),1,""))</x:f>
      </x:c>
      <x:c r="AC31" s="12" t="str">
        <x:f t="shared" si="7">IF(OR($G31="",$H31="",$H31&lt;$G31),"",IF(AND(AC$9&lt;=$H31,AC$9+6&gt;=$G31),1,""))</x:f>
      </x:c>
      <x:c r="AD31" s="13" t="str">
        <x:f t="shared" si="7">IF(OR($G31="",$H31="",$H31&lt;$G31),"",IF(AND(AD$9&lt;=$H31,AD$9+6&gt;=$G31),1,""))</x:f>
      </x:c>
    </x:row>
    <x:row r="32" ht="48" customHeight="1">
      <x:c r="B32" s="65" t="str">
        <x:v>V2</x:v>
      </x:c>
      <x:c r="C32" s="66" t="str">
        <x:v>KSE-028 Metodologia confidence i scoringu</x:v>
      </x:c>
      <x:c r="D32" s="67" t="str">
        <x:v>Użytkownik + Codex</x:v>
      </x:c>
      <x:c r="E32" s="67" t="str">
        <x:v>Not Started</x:v>
      </x:c>
      <x:c r="F32" s="67" t="str">
        <x:v>P2</x:v>
      </x:c>
      <x:c r="G32" s="74"/>
      <x:c r="H32" s="74"/>
      <x:c r="I32" s="11" t="str">
        <x:f t="shared" si="1">IF(OR(G32="",H32="",H32&lt;G32),"",H32-G32+1)</x:f>
      </x:c>
      <x:c r="J32" s="15"/>
      <x:c r="K32" s="12" t="str">
        <x:f t="shared" si="6">IF(OR($G32="",$H32="",$H32&lt;$G32),"",IF(AND(K$9&lt;=$H32,K$9+6&gt;=$G32),1,""))</x:f>
      </x:c>
      <x:c r="L32" s="13" t="str">
        <x:f t="shared" si="6">IF(OR($G32="",$H32="",$H32&lt;$G32),"",IF(AND(L$9&lt;=$H32,L$9+6&gt;=$G32),1,""))</x:f>
      </x:c>
      <x:c r="M32" s="12" t="str">
        <x:f t="shared" si="6">IF(OR($G32="",$H32="",$H32&lt;$G32),"",IF(AND(M$9&lt;=$H32,M$9+6&gt;=$G32),1,""))</x:f>
      </x:c>
      <x:c r="N32" s="13" t="str">
        <x:f t="shared" si="6">IF(OR($G32="",$H32="",$H32&lt;$G32),"",IF(AND(N$9&lt;=$H32,N$9+6&gt;=$G32),1,""))</x:f>
      </x:c>
      <x:c r="O32" s="12" t="str">
        <x:f t="shared" si="6">IF(OR($G32="",$H32="",$H32&lt;$G32),"",IF(AND(O$9&lt;=$H32,O$9+6&gt;=$G32),1,""))</x:f>
      </x:c>
      <x:c r="P32" s="13" t="str">
        <x:f t="shared" si="6">IF(OR($G32="",$H32="",$H32&lt;$G32),"",IF(AND(P$9&lt;=$H32,P$9+6&gt;=$G32),1,""))</x:f>
      </x:c>
      <x:c r="Q32" s="12" t="str">
        <x:f t="shared" si="6">IF(OR($G32="",$H32="",$H32&lt;$G32),"",IF(AND(Q$9&lt;=$H32,Q$9+6&gt;=$G32),1,""))</x:f>
      </x:c>
      <x:c r="R32" s="13" t="str">
        <x:f t="shared" si="6">IF(OR($G32="",$H32="",$H32&lt;$G32),"",IF(AND(R$9&lt;=$H32,R$9+6&gt;=$G32),1,""))</x:f>
      </x:c>
      <x:c r="S32" s="12" t="str">
        <x:f t="shared" si="6">IF(OR($G32="",$H32="",$H32&lt;$G32),"",IF(AND(S$9&lt;=$H32,S$9+6&gt;=$G32),1,""))</x:f>
      </x:c>
      <x:c r="T32" s="13" t="str">
        <x:f t="shared" si="6">IF(OR($G32="",$H32="",$H32&lt;$G32),"",IF(AND(T$9&lt;=$H32,T$9+6&gt;=$G32),1,""))</x:f>
      </x:c>
      <x:c r="U32" s="12" t="str">
        <x:f t="shared" si="7">IF(OR($G32="",$H32="",$H32&lt;$G32),"",IF(AND(U$9&lt;=$H32,U$9+6&gt;=$G32),1,""))</x:f>
      </x:c>
      <x:c r="V32" s="13" t="str">
        <x:f t="shared" si="7">IF(OR($G32="",$H32="",$H32&lt;$G32),"",IF(AND(V$9&lt;=$H32,V$9+6&gt;=$G32),1,""))</x:f>
      </x:c>
      <x:c r="W32" s="12" t="str">
        <x:f t="shared" si="7">IF(OR($G32="",$H32="",$H32&lt;$G32),"",IF(AND(W$9&lt;=$H32,W$9+6&gt;=$G32),1,""))</x:f>
      </x:c>
      <x:c r="X32" s="13" t="str">
        <x:f t="shared" si="7">IF(OR($G32="",$H32="",$H32&lt;$G32),"",IF(AND(X$9&lt;=$H32,X$9+6&gt;=$G32),1,""))</x:f>
      </x:c>
      <x:c r="Y32" s="12" t="str">
        <x:f t="shared" si="7">IF(OR($G32="",$H32="",$H32&lt;$G32),"",IF(AND(Y$9&lt;=$H32,Y$9+6&gt;=$G32),1,""))</x:f>
      </x:c>
      <x:c r="Z32" s="13" t="str">
        <x:f t="shared" si="7">IF(OR($G32="",$H32="",$H32&lt;$G32),"",IF(AND(Z$9&lt;=$H32,Z$9+6&gt;=$G32),1,""))</x:f>
      </x:c>
      <x:c r="AA32" s="12" t="str">
        <x:f t="shared" si="7">IF(OR($G32="",$H32="",$H32&lt;$G32),"",IF(AND(AA$9&lt;=$H32,AA$9+6&gt;=$G32),1,""))</x:f>
      </x:c>
      <x:c r="AB32" s="13" t="str">
        <x:f t="shared" si="7">IF(OR($G32="",$H32="",$H32&lt;$G32),"",IF(AND(AB$9&lt;=$H32,AB$9+6&gt;=$G32),1,""))</x:f>
      </x:c>
      <x:c r="AC32" s="12" t="str">
        <x:f t="shared" si="7">IF(OR($G32="",$H32="",$H32&lt;$G32),"",IF(AND(AC$9&lt;=$H32,AC$9+6&gt;=$G32),1,""))</x:f>
      </x:c>
      <x:c r="AD32" s="13" t="str">
        <x:f t="shared" si="7">IF(OR($G32="",$H32="",$H32&lt;$G32),"",IF(AND(AD$9&lt;=$H32,AD$9+6&gt;=$G32),1,""))</x:f>
      </x:c>
    </x:row>
    <x:row r="33" ht="48" customHeight="1">
      <x:c r="B33" s="69" t="str">
        <x:v>Long-term</x:v>
      </x:c>
      <x:c r="C33" s="70" t="str">
        <x:v>KSE-029 Dane techniczne i model rozpływowy</x:v>
      </x:c>
      <x:c r="D33" s="71" t="str">
        <x:v>Użytkownik + Codex</x:v>
      </x:c>
      <x:c r="E33" s="71" t="str">
        <x:v>Not Started</x:v>
      </x:c>
      <x:c r="F33" s="71" t="str">
        <x:v>P2</x:v>
      </x:c>
      <x:c r="G33" s="73"/>
      <x:c r="H33" s="73"/>
      <x:c r="I33" s="11" t="str">
        <x:f t="shared" si="1">IF(OR(G33="",H33="",H33&lt;G33),"",H33-G33+1)</x:f>
      </x:c>
      <x:c r="J33" s="15"/>
      <x:c r="K33" s="12" t="str">
        <x:f t="shared" si="6">IF(OR($G33="",$H33="",$H33&lt;$G33),"",IF(AND(K$9&lt;=$H33,K$9+6&gt;=$G33),1,""))</x:f>
      </x:c>
      <x:c r="L33" s="13" t="str">
        <x:f t="shared" si="6">IF(OR($G33="",$H33="",$H33&lt;$G33),"",IF(AND(L$9&lt;=$H33,L$9+6&gt;=$G33),1,""))</x:f>
      </x:c>
      <x:c r="M33" s="12" t="str">
        <x:f t="shared" si="6">IF(OR($G33="",$H33="",$H33&lt;$G33),"",IF(AND(M$9&lt;=$H33,M$9+6&gt;=$G33),1,""))</x:f>
      </x:c>
      <x:c r="N33" s="13" t="str">
        <x:f t="shared" si="6">IF(OR($G33="",$H33="",$H33&lt;$G33),"",IF(AND(N$9&lt;=$H33,N$9+6&gt;=$G33),1,""))</x:f>
      </x:c>
      <x:c r="O33" s="12" t="str">
        <x:f t="shared" si="6">IF(OR($G33="",$H33="",$H33&lt;$G33),"",IF(AND(O$9&lt;=$H33,O$9+6&gt;=$G33),1,""))</x:f>
      </x:c>
      <x:c r="P33" s="13" t="str">
        <x:f t="shared" si="6">IF(OR($G33="",$H33="",$H33&lt;$G33),"",IF(AND(P$9&lt;=$H33,P$9+6&gt;=$G33),1,""))</x:f>
      </x:c>
      <x:c r="Q33" s="12" t="str">
        <x:f t="shared" si="6">IF(OR($G33="",$H33="",$H33&lt;$G33),"",IF(AND(Q$9&lt;=$H33,Q$9+6&gt;=$G33),1,""))</x:f>
      </x:c>
      <x:c r="R33" s="13" t="str">
        <x:f t="shared" si="6">IF(OR($G33="",$H33="",$H33&lt;$G33),"",IF(AND(R$9&lt;=$H33,R$9+6&gt;=$G33),1,""))</x:f>
      </x:c>
      <x:c r="S33" s="12" t="str">
        <x:f t="shared" si="6">IF(OR($G33="",$H33="",$H33&lt;$G33),"",IF(AND(S$9&lt;=$H33,S$9+6&gt;=$G33),1,""))</x:f>
      </x:c>
      <x:c r="T33" s="13" t="str">
        <x:f t="shared" si="6">IF(OR($G33="",$H33="",$H33&lt;$G33),"",IF(AND(T$9&lt;=$H33,T$9+6&gt;=$G33),1,""))</x:f>
      </x:c>
      <x:c r="U33" s="12" t="str">
        <x:f t="shared" si="7">IF(OR($G33="",$H33="",$H33&lt;$G33),"",IF(AND(U$9&lt;=$H33,U$9+6&gt;=$G33),1,""))</x:f>
      </x:c>
      <x:c r="V33" s="13" t="str">
        <x:f t="shared" si="7">IF(OR($G33="",$H33="",$H33&lt;$G33),"",IF(AND(V$9&lt;=$H33,V$9+6&gt;=$G33),1,""))</x:f>
      </x:c>
      <x:c r="W33" s="12" t="str">
        <x:f t="shared" si="7">IF(OR($G33="",$H33="",$H33&lt;$G33),"",IF(AND(W$9&lt;=$H33,W$9+6&gt;=$G33),1,""))</x:f>
      </x:c>
      <x:c r="X33" s="13" t="str">
        <x:f t="shared" si="7">IF(OR($G33="",$H33="",$H33&lt;$G33),"",IF(AND(X$9&lt;=$H33,X$9+6&gt;=$G33),1,""))</x:f>
      </x:c>
      <x:c r="Y33" s="12" t="str">
        <x:f t="shared" si="7">IF(OR($G33="",$H33="",$H33&lt;$G33),"",IF(AND(Y$9&lt;=$H33,Y$9+6&gt;=$G33),1,""))</x:f>
      </x:c>
      <x:c r="Z33" s="13" t="str">
        <x:f t="shared" si="7">IF(OR($G33="",$H33="",$H33&lt;$G33),"",IF(AND(Z$9&lt;=$H33,Z$9+6&gt;=$G33),1,""))</x:f>
      </x:c>
      <x:c r="AA33" s="12" t="str">
        <x:f t="shared" si="7">IF(OR($G33="",$H33="",$H33&lt;$G33),"",IF(AND(AA$9&lt;=$H33,AA$9+6&gt;=$G33),1,""))</x:f>
      </x:c>
      <x:c r="AB33" s="13" t="str">
        <x:f t="shared" si="7">IF(OR($G33="",$H33="",$H33&lt;$G33),"",IF(AND(AB$9&lt;=$H33,AB$9+6&gt;=$G33),1,""))</x:f>
      </x:c>
      <x:c r="AC33" s="12" t="str">
        <x:f t="shared" si="7">IF(OR($G33="",$H33="",$H33&lt;$G33),"",IF(AND(AC$9&lt;=$H33,AC$9+6&gt;=$G33),1,""))</x:f>
      </x:c>
      <x:c r="AD33" s="13" t="str">
        <x:f t="shared" si="7">IF(OR($G33="",$H33="",$H33&lt;$G33),"",IF(AND(AD$9&lt;=$H33,AD$9+6&gt;=$G33),1,""))</x:f>
      </x:c>
    </x:row>
    <x:row r="34" ht="48" customHeight="1">
      <x:c r="B34" s="65" t="str">
        <x:v>Research</x:v>
      </x:c>
      <x:c r="C34" s="66" t="str">
        <x:v>KSE-001 Research źródeł i granic dokładności</x:v>
      </x:c>
      <x:c r="D34" s="67" t="str">
        <x:v>Codex</x:v>
      </x:c>
      <x:c r="E34" s="67" t="str">
        <x:v>Complete</x:v>
      </x:c>
      <x:c r="F34" s="67" t="str">
        <x:v>P0</x:v>
      </x:c>
      <x:c r="G34" s="74"/>
      <x:c r="H34" s="74" t="n">
        <x:v>46275</x:v>
      </x:c>
      <x:c r="I34" s="11" t="str">
        <x:f t="shared" si="1">IF(OR(G34="",H34="",H34&lt;G34),"",H34-G34+1)</x:f>
      </x:c>
      <x:c r="J34" s="15"/>
      <x:c r="K34" s="12" t="str">
        <x:f t="shared" si="6">IF(OR($G34="",$H34="",$H34&lt;$G34),"",IF(AND(K$9&lt;=$H34,K$9+6&gt;=$G34),1,""))</x:f>
      </x:c>
      <x:c r="L34" s="13" t="str">
        <x:f t="shared" si="6">IF(OR($G34="",$H34="",$H34&lt;$G34),"",IF(AND(L$9&lt;=$H34,L$9+6&gt;=$G34),1,""))</x:f>
      </x:c>
      <x:c r="M34" s="12" t="str">
        <x:f t="shared" si="6">IF(OR($G34="",$H34="",$H34&lt;$G34),"",IF(AND(M$9&lt;=$H34,M$9+6&gt;=$G34),1,""))</x:f>
      </x:c>
      <x:c r="N34" s="13" t="str">
        <x:f t="shared" si="6">IF(OR($G34="",$H34="",$H34&lt;$G34),"",IF(AND(N$9&lt;=$H34,N$9+6&gt;=$G34),1,""))</x:f>
      </x:c>
      <x:c r="O34" s="12" t="str">
        <x:f t="shared" si="6">IF(OR($G34="",$H34="",$H34&lt;$G34),"",IF(AND(O$9&lt;=$H34,O$9+6&gt;=$G34),1,""))</x:f>
      </x:c>
      <x:c r="P34" s="13" t="str">
        <x:f t="shared" si="6">IF(OR($G34="",$H34="",$H34&lt;$G34),"",IF(AND(P$9&lt;=$H34,P$9+6&gt;=$G34),1,""))</x:f>
      </x:c>
      <x:c r="Q34" s="12" t="str">
        <x:f t="shared" si="6">IF(OR($G34="",$H34="",$H34&lt;$G34),"",IF(AND(Q$9&lt;=$H34,Q$9+6&gt;=$G34),1,""))</x:f>
      </x:c>
      <x:c r="R34" s="13" t="str">
        <x:f t="shared" si="6">IF(OR($G34="",$H34="",$H34&lt;$G34),"",IF(AND(R$9&lt;=$H34,R$9+6&gt;=$G34),1,""))</x:f>
      </x:c>
      <x:c r="S34" s="12" t="str">
        <x:f t="shared" si="6">IF(OR($G34="",$H34="",$H34&lt;$G34),"",IF(AND(S$9&lt;=$H34,S$9+6&gt;=$G34),1,""))</x:f>
      </x:c>
      <x:c r="T34" s="13" t="str">
        <x:f t="shared" si="6">IF(OR($G34="",$H34="",$H34&lt;$G34),"",IF(AND(T$9&lt;=$H34,T$9+6&gt;=$G34),1,""))</x:f>
      </x:c>
      <x:c r="U34" s="12" t="str">
        <x:f t="shared" si="7">IF(OR($G34="",$H34="",$H34&lt;$G34),"",IF(AND(U$9&lt;=$H34,U$9+6&gt;=$G34),1,""))</x:f>
      </x:c>
      <x:c r="V34" s="13" t="str">
        <x:f t="shared" si="7">IF(OR($G34="",$H34="",$H34&lt;$G34),"",IF(AND(V$9&lt;=$H34,V$9+6&gt;=$G34),1,""))</x:f>
      </x:c>
      <x:c r="W34" s="12" t="str">
        <x:f t="shared" si="7">IF(OR($G34="",$H34="",$H34&lt;$G34),"",IF(AND(W$9&lt;=$H34,W$9+6&gt;=$G34),1,""))</x:f>
      </x:c>
      <x:c r="X34" s="13" t="str">
        <x:f t="shared" si="7">IF(OR($G34="",$H34="",$H34&lt;$G34),"",IF(AND(X$9&lt;=$H34,X$9+6&gt;=$G34),1,""))</x:f>
      </x:c>
      <x:c r="Y34" s="12" t="str">
        <x:f t="shared" si="7">IF(OR($G34="",$H34="",$H34&lt;$G34),"",IF(AND(Y$9&lt;=$H34,Y$9+6&gt;=$G34),1,""))</x:f>
      </x:c>
      <x:c r="Z34" s="13" t="str">
        <x:f t="shared" si="7">IF(OR($G34="",$H34="",$H34&lt;$G34),"",IF(AND(Z$9&lt;=$H34,Z$9+6&gt;=$G34),1,""))</x:f>
      </x:c>
      <x:c r="AA34" s="12" t="str">
        <x:f t="shared" si="7">IF(OR($G34="",$H34="",$H34&lt;$G34),"",IF(AND(AA$9&lt;=$H34,AA$9+6&gt;=$G34),1,""))</x:f>
      </x:c>
      <x:c r="AB34" s="13" t="str">
        <x:f t="shared" si="7">IF(OR($G34="",$H34="",$H34&lt;$G34),"",IF(AND(AB$9&lt;=$H34,AB$9+6&gt;=$G34),1,""))</x:f>
      </x:c>
      <x:c r="AC34" s="12" t="str">
        <x:f t="shared" si="7">IF(OR($G34="",$H34="",$H34&lt;$G34),"",IF(AND(AC$9&lt;=$H34,AC$9+6&gt;=$G34),1,""))</x:f>
      </x:c>
      <x:c r="AD34" s="13" t="str">
        <x:f t="shared" si="7">IF(OR($G34="",$H34="",$H34&lt;$G34),"",IF(AND(AD$9&lt;=$H34,AD$9+6&gt;=$G34),1,""))</x:f>
      </x:c>
    </x:row>
    <x:row r="35" ht="48" customHeight="1">
      <x:c r="B35" s="69" t="str">
        <x:v>Research</x:v>
      </x:c>
      <x:c r="C35" s="70" t="str">
        <x:v>KSE-002 Katalog i kontrola próbek źródłowych</x:v>
      </x:c>
      <x:c r="D35" s="71" t="str">
        <x:v>Codex</x:v>
      </x:c>
      <x:c r="E35" s="71" t="str">
        <x:v>Complete</x:v>
      </x:c>
      <x:c r="F35" s="71" t="str">
        <x:v>P0</x:v>
      </x:c>
      <x:c r="G35" s="73"/>
      <x:c r="H35" s="73" t="n">
        <x:v>46275</x:v>
      </x:c>
      <x:c r="I35" s="11" t="str">
        <x:f t="shared" si="1">IF(OR(G35="",H35="",H35&lt;G35),"",H35-G35+1)</x:f>
      </x:c>
      <x:c r="J35" s="15"/>
      <x:c r="K35" s="12" t="str">
        <x:f t="shared" si="6">IF(OR($G35="",$H35="",$H35&lt;$G35),"",IF(AND(K$9&lt;=$H35,K$9+6&gt;=$G35),1,""))</x:f>
      </x:c>
      <x:c r="L35" s="13" t="str">
        <x:f t="shared" si="6">IF(OR($G35="",$H35="",$H35&lt;$G35),"",IF(AND(L$9&lt;=$H35,L$9+6&gt;=$G35),1,""))</x:f>
      </x:c>
      <x:c r="M35" s="12" t="str">
        <x:f t="shared" si="6">IF(OR($G35="",$H35="",$H35&lt;$G35),"",IF(AND(M$9&lt;=$H35,M$9+6&gt;=$G35),1,""))</x:f>
      </x:c>
      <x:c r="N35" s="13" t="str">
        <x:f t="shared" si="6">IF(OR($G35="",$H35="",$H35&lt;$G35),"",IF(AND(N$9&lt;=$H35,N$9+6&gt;=$G35),1,""))</x:f>
      </x:c>
      <x:c r="O35" s="12" t="str">
        <x:f t="shared" si="6">IF(OR($G35="",$H35="",$H35&lt;$G35),"",IF(AND(O$9&lt;=$H35,O$9+6&gt;=$G35),1,""))</x:f>
      </x:c>
      <x:c r="P35" s="13" t="str">
        <x:f t="shared" si="6">IF(OR($G35="",$H35="",$H35&lt;$G35),"",IF(AND(P$9&lt;=$H35,P$9+6&gt;=$G35),1,""))</x:f>
      </x:c>
      <x:c r="Q35" s="12" t="str">
        <x:f t="shared" si="6">IF(OR($G35="",$H35="",$H35&lt;$G35),"",IF(AND(Q$9&lt;=$H35,Q$9+6&gt;=$G35),1,""))</x:f>
      </x:c>
      <x:c r="R35" s="13" t="str">
        <x:f t="shared" si="6">IF(OR($G35="",$H35="",$H35&lt;$G35),"",IF(AND(R$9&lt;=$H35,R$9+6&gt;=$G35),1,""))</x:f>
      </x:c>
      <x:c r="S35" s="12" t="str">
        <x:f t="shared" si="6">IF(OR($G35="",$H35="",$H35&lt;$G35),"",IF(AND(S$9&lt;=$H35,S$9+6&gt;=$G35),1,""))</x:f>
      </x:c>
      <x:c r="T35" s="13" t="str">
        <x:f t="shared" si="6">IF(OR($G35="",$H35="",$H35&lt;$G35),"",IF(AND(T$9&lt;=$H35,T$9+6&gt;=$G35),1,""))</x:f>
      </x:c>
      <x:c r="U35" s="12" t="str">
        <x:f t="shared" si="7">IF(OR($G35="",$H35="",$H35&lt;$G35),"",IF(AND(U$9&lt;=$H35,U$9+6&gt;=$G35),1,""))</x:f>
      </x:c>
      <x:c r="V35" s="13" t="str">
        <x:f t="shared" si="7">IF(OR($G35="",$H35="",$H35&lt;$G35),"",IF(AND(V$9&lt;=$H35,V$9+6&gt;=$G35),1,""))</x:f>
      </x:c>
      <x:c r="W35" s="12" t="str">
        <x:f t="shared" si="7">IF(OR($G35="",$H35="",$H35&lt;$G35),"",IF(AND(W$9&lt;=$H35,W$9+6&gt;=$G35),1,""))</x:f>
      </x:c>
      <x:c r="X35" s="13" t="str">
        <x:f t="shared" si="7">IF(OR($G35="",$H35="",$H35&lt;$G35),"",IF(AND(X$9&lt;=$H35,X$9+6&gt;=$G35),1,""))</x:f>
      </x:c>
      <x:c r="Y35" s="12" t="str">
        <x:f t="shared" si="7">IF(OR($G35="",$H35="",$H35&lt;$G35),"",IF(AND(Y$9&lt;=$H35,Y$9+6&gt;=$G35),1,""))</x:f>
      </x:c>
      <x:c r="Z35" s="13" t="str">
        <x:f t="shared" si="7">IF(OR($G35="",$H35="",$H35&lt;$G35),"",IF(AND(Z$9&lt;=$H35,Z$9+6&gt;=$G35),1,""))</x:f>
      </x:c>
      <x:c r="AA35" s="12" t="str">
        <x:f t="shared" si="7">IF(OR($G35="",$H35="",$H35&lt;$G35),"",IF(AND(AA$9&lt;=$H35,AA$9+6&gt;=$G35),1,""))</x:f>
      </x:c>
      <x:c r="AB35" s="13" t="str">
        <x:f t="shared" si="7">IF(OR($G35="",$H35="",$H35&lt;$G35),"",IF(AND(AB$9&lt;=$H35,AB$9+6&gt;=$G35),1,""))</x:f>
      </x:c>
      <x:c r="AC35" s="12" t="str">
        <x:f t="shared" si="7">IF(OR($G35="",$H35="",$H35&lt;$G35),"",IF(AND(AC$9&lt;=$H35,AC$9+6&gt;=$G35),1,""))</x:f>
      </x:c>
      <x:c r="AD35" s="13" t="str">
        <x:f t="shared" si="7">IF(OR($G35="",$H35="",$H35&lt;$G35),"",IF(AND(AD$9&lt;=$H35,AD$9+6&gt;=$G35),1,""))</x:f>
      </x:c>
    </x:row>
    <x:row r="36" ht="48" customHeight="1">
      <x:c r="B36" s="65" t="str">
        <x:v>Organizacja</x:v>
      </x:c>
      <x:c r="C36" s="66" t="str">
        <x:v>KSE-003 Git i odtwarzanie snapshotów</x:v>
      </x:c>
      <x:c r="D36" s="67" t="str">
        <x:v>Codex</x:v>
      </x:c>
      <x:c r="E36" s="67" t="str">
        <x:v>Complete</x:v>
      </x:c>
      <x:c r="F36" s="67" t="str">
        <x:v>P0</x:v>
      </x:c>
      <x:c r="G36" s="74"/>
      <x:c r="H36" s="74" t="n">
        <x:v>46275</x:v>
      </x:c>
      <x:c r="I36" s="11" t="str">
        <x:f t="shared" si="1">IF(OR(G36="",H36="",H36&lt;G36),"",H36-G36+1)</x:f>
      </x:c>
      <x:c r="J36" s="15"/>
      <x:c r="K36" s="12" t="str">
        <x:f t="shared" si="6">IF(OR($G36="",$H36="",$H36&lt;$G36),"",IF(AND(K$9&lt;=$H36,K$9+6&gt;=$G36),1,""))</x:f>
      </x:c>
      <x:c r="L36" s="13" t="str">
        <x:f t="shared" si="6">IF(OR($G36="",$H36="",$H36&lt;$G36),"",IF(AND(L$9&lt;=$H36,L$9+6&gt;=$G36),1,""))</x:f>
      </x:c>
      <x:c r="M36" s="12" t="str">
        <x:f t="shared" si="6">IF(OR($G36="",$H36="",$H36&lt;$G36),"",IF(AND(M$9&lt;=$H36,M$9+6&gt;=$G36),1,""))</x:f>
      </x:c>
      <x:c r="N36" s="13" t="str">
        <x:f t="shared" si="6">IF(OR($G36="",$H36="",$H36&lt;$G36),"",IF(AND(N$9&lt;=$H36,N$9+6&gt;=$G36),1,""))</x:f>
      </x:c>
      <x:c r="O36" s="12" t="str">
        <x:f t="shared" si="6">IF(OR($G36="",$H36="",$H36&lt;$G36),"",IF(AND(O$9&lt;=$H36,O$9+6&gt;=$G36),1,""))</x:f>
      </x:c>
      <x:c r="P36" s="13" t="str">
        <x:f t="shared" si="6">IF(OR($G36="",$H36="",$H36&lt;$G36),"",IF(AND(P$9&lt;=$H36,P$9+6&gt;=$G36),1,""))</x:f>
      </x:c>
      <x:c r="Q36" s="12" t="str">
        <x:f t="shared" si="6">IF(OR($G36="",$H36="",$H36&lt;$G36),"",IF(AND(Q$9&lt;=$H36,Q$9+6&gt;=$G36),1,""))</x:f>
      </x:c>
      <x:c r="R36" s="13" t="str">
        <x:f t="shared" si="6">IF(OR($G36="",$H36="",$H36&lt;$G36),"",IF(AND(R$9&lt;=$H36,R$9+6&gt;=$G36),1,""))</x:f>
      </x:c>
      <x:c r="S36" s="12" t="str">
        <x:f t="shared" si="6">IF(OR($G36="",$H36="",$H36&lt;$G36),"",IF(AND(S$9&lt;=$H36,S$9+6&gt;=$G36),1,""))</x:f>
      </x:c>
      <x:c r="T36" s="13" t="str">
        <x:f t="shared" si="6">IF(OR($G36="",$H36="",$H36&lt;$G36),"",IF(AND(T$9&lt;=$H36,T$9+6&gt;=$G36),1,""))</x:f>
      </x:c>
      <x:c r="U36" s="12" t="str">
        <x:f t="shared" si="7">IF(OR($G36="",$H36="",$H36&lt;$G36),"",IF(AND(U$9&lt;=$H36,U$9+6&gt;=$G36),1,""))</x:f>
      </x:c>
      <x:c r="V36" s="13" t="str">
        <x:f t="shared" si="7">IF(OR($G36="",$H36="",$H36&lt;$G36),"",IF(AND(V$9&lt;=$H36,V$9+6&gt;=$G36),1,""))</x:f>
      </x:c>
      <x:c r="W36" s="12" t="str">
        <x:f t="shared" si="7">IF(OR($G36="",$H36="",$H36&lt;$G36),"",IF(AND(W$9&lt;=$H36,W$9+6&gt;=$G36),1,""))</x:f>
      </x:c>
      <x:c r="X36" s="13" t="str">
        <x:f t="shared" si="7">IF(OR($G36="",$H36="",$H36&lt;$G36),"",IF(AND(X$9&lt;=$H36,X$9+6&gt;=$G36),1,""))</x:f>
      </x:c>
      <x:c r="Y36" s="12" t="str">
        <x:f t="shared" si="7">IF(OR($G36="",$H36="",$H36&lt;$G36),"",IF(AND(Y$9&lt;=$H36,Y$9+6&gt;=$G36),1,""))</x:f>
      </x:c>
      <x:c r="Z36" s="13" t="str">
        <x:f t="shared" si="7">IF(OR($G36="",$H36="",$H36&lt;$G36),"",IF(AND(Z$9&lt;=$H36,Z$9+6&gt;=$G36),1,""))</x:f>
      </x:c>
      <x:c r="AA36" s="12" t="str">
        <x:f t="shared" si="7">IF(OR($G36="",$H36="",$H36&lt;$G36),"",IF(AND(AA$9&lt;=$H36,AA$9+6&gt;=$G36),1,""))</x:f>
      </x:c>
      <x:c r="AB36" s="13" t="str">
        <x:f t="shared" si="7">IF(OR($G36="",$H36="",$H36&lt;$G36),"",IF(AND(AB$9&lt;=$H36,AB$9+6&gt;=$G36),1,""))</x:f>
      </x:c>
      <x:c r="AC36" s="12" t="str">
        <x:f t="shared" si="7">IF(OR($G36="",$H36="",$H36&lt;$G36),"",IF(AND(AC$9&lt;=$H36,AC$9+6&gt;=$G36),1,""))</x:f>
      </x:c>
      <x:c r="AD36" s="13" t="str">
        <x:f t="shared" si="7">IF(OR($G36="",$H36="",$H36&lt;$G36),"",IF(AND(AD$9&lt;=$H36,AD$9+6&gt;=$G36),1,""))</x:f>
      </x:c>
    </x:row>
    <x:row r="37" ht="48" customHeight="1">
      <x:c r="B37" s="69" t="str">
        <x:v>Organizacja</x:v>
      </x:c>
      <x:c r="C37" s="70" t="str">
        <x:v>KSE-004 Wykluczenie lokalnych sekretów z Git</x:v>
      </x:c>
      <x:c r="D37" s="71" t="str">
        <x:v>Codex</x:v>
      </x:c>
      <x:c r="E37" s="71" t="str">
        <x:v>Complete</x:v>
      </x:c>
      <x:c r="F37" s="71" t="str">
        <x:v>P0</x:v>
      </x:c>
      <x:c r="G37" s="73"/>
      <x:c r="H37" s="73" t="n">
        <x:v>46275</x:v>
      </x:c>
      <x:c r="I37" s="11" t="str">
        <x:f t="shared" si="1">IF(OR(G37="",H37="",H37&lt;G37),"",H37-G37+1)</x:f>
      </x:c>
      <x:c r="J37" s="15"/>
      <x:c r="K37" s="12" t="str">
        <x:f t="shared" si="6">IF(OR($G37="",$H37="",$H37&lt;$G37),"",IF(AND(K$9&lt;=$H37,K$9+6&gt;=$G37),1,""))</x:f>
      </x:c>
      <x:c r="L37" s="13" t="str">
        <x:f t="shared" si="6">IF(OR($G37="",$H37="",$H37&lt;$G37),"",IF(AND(L$9&lt;=$H37,L$9+6&gt;=$G37),1,""))</x:f>
      </x:c>
      <x:c r="M37" s="12" t="str">
        <x:f t="shared" si="6">IF(OR($G37="",$H37="",$H37&lt;$G37),"",IF(AND(M$9&lt;=$H37,M$9+6&gt;=$G37),1,""))</x:f>
      </x:c>
      <x:c r="N37" s="13" t="str">
        <x:f t="shared" si="6">IF(OR($G37="",$H37="",$H37&lt;$G37),"",IF(AND(N$9&lt;=$H37,N$9+6&gt;=$G37),1,""))</x:f>
      </x:c>
      <x:c r="O37" s="12" t="str">
        <x:f t="shared" si="6">IF(OR($G37="",$H37="",$H37&lt;$G37),"",IF(AND(O$9&lt;=$H37,O$9+6&gt;=$G37),1,""))</x:f>
      </x:c>
      <x:c r="P37" s="13" t="str">
        <x:f t="shared" si="6">IF(OR($G37="",$H37="",$H37&lt;$G37),"",IF(AND(P$9&lt;=$H37,P$9+6&gt;=$G37),1,""))</x:f>
      </x:c>
      <x:c r="Q37" s="12" t="str">
        <x:f t="shared" si="6">IF(OR($G37="",$H37="",$H37&lt;$G37),"",IF(AND(Q$9&lt;=$H37,Q$9+6&gt;=$G37),1,""))</x:f>
      </x:c>
      <x:c r="R37" s="13" t="str">
        <x:f t="shared" si="6">IF(OR($G37="",$H37="",$H37&lt;$G37),"",IF(AND(R$9&lt;=$H37,R$9+6&gt;=$G37),1,""))</x:f>
      </x:c>
      <x:c r="S37" s="12" t="str">
        <x:f t="shared" si="6">IF(OR($G37="",$H37="",$H37&lt;$G37),"",IF(AND(S$9&lt;=$H37,S$9+6&gt;=$G37),1,""))</x:f>
      </x:c>
      <x:c r="T37" s="13" t="str">
        <x:f t="shared" si="6">IF(OR($G37="",$H37="",$H37&lt;$G37),"",IF(AND(T$9&lt;=$H37,T$9+6&gt;=$G37),1,""))</x:f>
      </x:c>
      <x:c r="U37" s="12" t="str">
        <x:f t="shared" si="7">IF(OR($G37="",$H37="",$H37&lt;$G37),"",IF(AND(U$9&lt;=$H37,U$9+6&gt;=$G37),1,""))</x:f>
      </x:c>
      <x:c r="V37" s="13" t="str">
        <x:f t="shared" si="7">IF(OR($G37="",$H37="",$H37&lt;$G37),"",IF(AND(V$9&lt;=$H37,V$9+6&gt;=$G37),1,""))</x:f>
      </x:c>
      <x:c r="W37" s="12" t="str">
        <x:f t="shared" si="7">IF(OR($G37="",$H37="",$H37&lt;$G37),"",IF(AND(W$9&lt;=$H37,W$9+6&gt;=$G37),1,""))</x:f>
      </x:c>
      <x:c r="X37" s="13" t="str">
        <x:f t="shared" si="7">IF(OR($G37="",$H37="",$H37&lt;$G37),"",IF(AND(X$9&lt;=$H37,X$9+6&gt;=$G37),1,""))</x:f>
      </x:c>
      <x:c r="Y37" s="12" t="str">
        <x:f t="shared" si="7">IF(OR($G37="",$H37="",$H37&lt;$G37),"",IF(AND(Y$9&lt;=$H37,Y$9+6&gt;=$G37),1,""))</x:f>
      </x:c>
      <x:c r="Z37" s="13" t="str">
        <x:f t="shared" si="7">IF(OR($G37="",$H37="",$H37&lt;$G37),"",IF(AND(Z$9&lt;=$H37,Z$9+6&gt;=$G37),1,""))</x:f>
      </x:c>
      <x:c r="AA37" s="12" t="str">
        <x:f t="shared" si="7">IF(OR($G37="",$H37="",$H37&lt;$G37),"",IF(AND(AA$9&lt;=$H37,AA$9+6&gt;=$G37),1,""))</x:f>
      </x:c>
      <x:c r="AB37" s="13" t="str">
        <x:f t="shared" si="7">IF(OR($G37="",$H37="",$H37&lt;$G37),"",IF(AND(AB$9&lt;=$H37,AB$9+6&gt;=$G37),1,""))</x:f>
      </x:c>
      <x:c r="AC37" s="12" t="str">
        <x:f t="shared" si="7">IF(OR($G37="",$H37="",$H37&lt;$G37),"",IF(AND(AC$9&lt;=$H37,AC$9+6&gt;=$G37),1,""))</x:f>
      </x:c>
      <x:c r="AD37" s="13" t="str">
        <x:f t="shared" si="7">IF(OR($G37="",$H37="",$H37&lt;$G37),"",IF(AND(AD$9&lt;=$H37,AD$9+6&gt;=$G37),1,""))</x:f>
      </x:c>
    </x:row>
    <x:row r="38" ht="48" customHeight="1">
      <x:c r="B38" s="65" t="str">
        <x:v>Produkt</x:v>
      </x:c>
      <x:c r="C38" s="66" t="str">
        <x:v>KSE-005 Specyfikacja pipeline wybranego GPZ</x:v>
      </x:c>
      <x:c r="D38" s="67" t="str">
        <x:v>Codex</x:v>
      </x:c>
      <x:c r="E38" s="67" t="str">
        <x:v>Complete</x:v>
      </x:c>
      <x:c r="F38" s="67" t="str">
        <x:v>P0</x:v>
      </x:c>
      <x:c r="G38" s="74"/>
      <x:c r="H38" s="74" t="n">
        <x:v>46275</x:v>
      </x:c>
      <x:c r="I38" s="11" t="str">
        <x:f t="shared" si="1">IF(OR(G38="",H38="",H38&lt;G38),"",H38-G38+1)</x:f>
      </x:c>
      <x:c r="J38" s="15"/>
      <x:c r="K38" s="12" t="str">
        <x:f t="shared" si="6">IF(OR($G38="",$H38="",$H38&lt;$G38),"",IF(AND(K$9&lt;=$H38,K$9+6&gt;=$G38),1,""))</x:f>
      </x:c>
      <x:c r="L38" s="13" t="str">
        <x:f t="shared" si="6">IF(OR($G38="",$H38="",$H38&lt;$G38),"",IF(AND(L$9&lt;=$H38,L$9+6&gt;=$G38),1,""))</x:f>
      </x:c>
      <x:c r="M38" s="12" t="str">
        <x:f t="shared" si="6">IF(OR($G38="",$H38="",$H38&lt;$G38),"",IF(AND(M$9&lt;=$H38,M$9+6&gt;=$G38),1,""))</x:f>
      </x:c>
      <x:c r="N38" s="13" t="str">
        <x:f t="shared" si="6">IF(OR($G38="",$H38="",$H38&lt;$G38),"",IF(AND(N$9&lt;=$H38,N$9+6&gt;=$G38),1,""))</x:f>
      </x:c>
      <x:c r="O38" s="12" t="str">
        <x:f t="shared" si="6">IF(OR($G38="",$H38="",$H38&lt;$G38),"",IF(AND(O$9&lt;=$H38,O$9+6&gt;=$G38),1,""))</x:f>
      </x:c>
      <x:c r="P38" s="13" t="str">
        <x:f t="shared" si="6">IF(OR($G38="",$H38="",$H38&lt;$G38),"",IF(AND(P$9&lt;=$H38,P$9+6&gt;=$G38),1,""))</x:f>
      </x:c>
      <x:c r="Q38" s="12" t="str">
        <x:f t="shared" si="6">IF(OR($G38="",$H38="",$H38&lt;$G38),"",IF(AND(Q$9&lt;=$H38,Q$9+6&gt;=$G38),1,""))</x:f>
      </x:c>
      <x:c r="R38" s="13" t="str">
        <x:f t="shared" si="6">IF(OR($G38="",$H38="",$H38&lt;$G38),"",IF(AND(R$9&lt;=$H38,R$9+6&gt;=$G38),1,""))</x:f>
      </x:c>
      <x:c r="S38" s="12" t="str">
        <x:f t="shared" si="6">IF(OR($G38="",$H38="",$H38&lt;$G38),"",IF(AND(S$9&lt;=$H38,S$9+6&gt;=$G38),1,""))</x:f>
      </x:c>
      <x:c r="T38" s="13" t="str">
        <x:f t="shared" si="6">IF(OR($G38="",$H38="",$H38&lt;$G38),"",IF(AND(T$9&lt;=$H38,T$9+6&gt;=$G38),1,""))</x:f>
      </x:c>
      <x:c r="U38" s="12" t="str">
        <x:f t="shared" si="7">IF(OR($G38="",$H38="",$H38&lt;$G38),"",IF(AND(U$9&lt;=$H38,U$9+6&gt;=$G38),1,""))</x:f>
      </x:c>
      <x:c r="V38" s="13" t="str">
        <x:f t="shared" si="7">IF(OR($G38="",$H38="",$H38&lt;$G38),"",IF(AND(V$9&lt;=$H38,V$9+6&gt;=$G38),1,""))</x:f>
      </x:c>
      <x:c r="W38" s="12" t="str">
        <x:f t="shared" si="7">IF(OR($G38="",$H38="",$H38&lt;$G38),"",IF(AND(W$9&lt;=$H38,W$9+6&gt;=$G38),1,""))</x:f>
      </x:c>
      <x:c r="X38" s="13" t="str">
        <x:f t="shared" si="7">IF(OR($G38="",$H38="",$H38&lt;$G38),"",IF(AND(X$9&lt;=$H38,X$9+6&gt;=$G38),1,""))</x:f>
      </x:c>
      <x:c r="Y38" s="12" t="str">
        <x:f t="shared" si="7">IF(OR($G38="",$H38="",$H38&lt;$G38),"",IF(AND(Y$9&lt;=$H38,Y$9+6&gt;=$G38),1,""))</x:f>
      </x:c>
      <x:c r="Z38" s="13" t="str">
        <x:f t="shared" si="7">IF(OR($G38="",$H38="",$H38&lt;$G38),"",IF(AND(Z$9&lt;=$H38,Z$9+6&gt;=$G38),1,""))</x:f>
      </x:c>
      <x:c r="AA38" s="12" t="str">
        <x:f t="shared" si="7">IF(OR($G38="",$H38="",$H38&lt;$G38),"",IF(AND(AA$9&lt;=$H38,AA$9+6&gt;=$G38),1,""))</x:f>
      </x:c>
      <x:c r="AB38" s="13" t="str">
        <x:f t="shared" si="7">IF(OR($G38="",$H38="",$H38&lt;$G38),"",IF(AND(AB$9&lt;=$H38,AB$9+6&gt;=$G38),1,""))</x:f>
      </x:c>
      <x:c r="AC38" s="12" t="str">
        <x:f t="shared" si="7">IF(OR($G38="",$H38="",$H38&lt;$G38),"",IF(AND(AC$9&lt;=$H38,AC$9+6&gt;=$G38),1,""))</x:f>
      </x:c>
      <x:c r="AD38" s="13" t="str">
        <x:f t="shared" si="7">IF(OR($G38="",$H38="",$H38&lt;$G38),"",IF(AND(AD$9&lt;=$H38,AD$9+6&gt;=$G38),1,""))</x:f>
      </x:c>
    </x:row>
    <x:row r="39" ht="48" customHeight="1">
      <x:c r="B39" s="69" t="str">
        <x:v>Organizacja</x:v>
      </x:c>
      <x:c r="C39" s="70" t="str">
        <x:v>KSE-006 TODO i generator pełnego raportu Excel</x:v>
      </x:c>
      <x:c r="D39" s="71" t="str">
        <x:v>Codex</x:v>
      </x:c>
      <x:c r="E39" s="71" t="str">
        <x:v>Complete</x:v>
      </x:c>
      <x:c r="F39" s="71" t="str">
        <x:v>P0</x:v>
      </x:c>
      <x:c r="G39" s="73" t="n">
        <x:v>46275</x:v>
      </x:c>
      <x:c r="H39" s="73" t="n">
        <x:v>46276</x:v>
      </x:c>
      <x:c r="I39" s="11" t="n">
        <x:f t="shared" si="1">IF(OR(G39="",H39="",H39&lt;G39),"",H39-G39+1)</x:f>
        <x:v>2</x:v>
      </x:c>
      <x:c r="J39" s="15"/>
      <x:c r="K39" s="12" t="str">
        <x:f t="shared" si="6">IF(OR($G39="",$H39="",$H39&lt;$G39),"",IF(AND(K$9&lt;=$H39,K$9+6&gt;=$G39),1,""))</x:f>
      </x:c>
      <x:c r="L39" s="13" t="str">
        <x:f t="shared" si="6">IF(OR($G39="",$H39="",$H39&lt;$G39),"",IF(AND(L$9&lt;=$H39,L$9+6&gt;=$G39),1,""))</x:f>
      </x:c>
      <x:c r="M39" s="12" t="str">
        <x:f t="shared" si="6">IF(OR($G39="",$H39="",$H39&lt;$G39),"",IF(AND(M$9&lt;=$H39,M$9+6&gt;=$G39),1,""))</x:f>
      </x:c>
      <x:c r="N39" s="13" t="str">
        <x:f t="shared" si="6">IF(OR($G39="",$H39="",$H39&lt;$G39),"",IF(AND(N$9&lt;=$H39,N$9+6&gt;=$G39),1,""))</x:f>
      </x:c>
      <x:c r="O39" s="12" t="str">
        <x:f t="shared" si="6">IF(OR($G39="",$H39="",$H39&lt;$G39),"",IF(AND(O$9&lt;=$H39,O$9+6&gt;=$G39),1,""))</x:f>
      </x:c>
      <x:c r="P39" s="13" t="str">
        <x:f t="shared" si="6">IF(OR($G39="",$H39="",$H39&lt;$G39),"",IF(AND(P$9&lt;=$H39,P$9+6&gt;=$G39),1,""))</x:f>
      </x:c>
      <x:c r="Q39" s="12" t="str">
        <x:f t="shared" si="6">IF(OR($G39="",$H39="",$H39&lt;$G39),"",IF(AND(Q$9&lt;=$H39,Q$9+6&gt;=$G39),1,""))</x:f>
      </x:c>
      <x:c r="R39" s="13" t="str">
        <x:f t="shared" si="6">IF(OR($G39="",$H39="",$H39&lt;$G39),"",IF(AND(R$9&lt;=$H39,R$9+6&gt;=$G39),1,""))</x:f>
      </x:c>
      <x:c r="S39" s="12" t="str">
        <x:f t="shared" si="6">IF(OR($G39="",$H39="",$H39&lt;$G39),"",IF(AND(S$9&lt;=$H39,S$9+6&gt;=$G39),1,""))</x:f>
      </x:c>
      <x:c r="T39" s="13" t="str">
        <x:f t="shared" si="6">IF(OR($G39="",$H39="",$H39&lt;$G39),"",IF(AND(T$9&lt;=$H39,T$9+6&gt;=$G39),1,""))</x:f>
      </x:c>
      <x:c r="U39" s="12" t="str">
        <x:f t="shared" si="7">IF(OR($G39="",$H39="",$H39&lt;$G39),"",IF(AND(U$9&lt;=$H39,U$9+6&gt;=$G39),1,""))</x:f>
      </x:c>
      <x:c r="V39" s="13" t="str">
        <x:f t="shared" si="7">IF(OR($G39="",$H39="",$H39&lt;$G39),"",IF(AND(V$9&lt;=$H39,V$9+6&gt;=$G39),1,""))</x:f>
      </x:c>
      <x:c r="W39" s="12" t="str">
        <x:f t="shared" si="7">IF(OR($G39="",$H39="",$H39&lt;$G39),"",IF(AND(W$9&lt;=$H39,W$9+6&gt;=$G39),1,""))</x:f>
      </x:c>
      <x:c r="X39" s="13" t="str">
        <x:f t="shared" si="7">IF(OR($G39="",$H39="",$H39&lt;$G39),"",IF(AND(X$9&lt;=$H39,X$9+6&gt;=$G39),1,""))</x:f>
      </x:c>
      <x:c r="Y39" s="12" t="str">
        <x:f t="shared" si="7">IF(OR($G39="",$H39="",$H39&lt;$G39),"",IF(AND(Y$9&lt;=$H39,Y$9+6&gt;=$G39),1,""))</x:f>
      </x:c>
      <x:c r="Z39" s="13" t="str">
        <x:f t="shared" si="7">IF(OR($G39="",$H39="",$H39&lt;$G39),"",IF(AND(Z$9&lt;=$H39,Z$9+6&gt;=$G39),1,""))</x:f>
      </x:c>
      <x:c r="AA39" s="12" t="str">
        <x:f t="shared" si="7">IF(OR($G39="",$H39="",$H39&lt;$G39),"",IF(AND(AA$9&lt;=$H39,AA$9+6&gt;=$G39),1,""))</x:f>
      </x:c>
      <x:c r="AB39" s="13" t="str">
        <x:f t="shared" si="7">IF(OR($G39="",$H39="",$H39&lt;$G39),"",IF(AND(AB$9&lt;=$H39,AB$9+6&gt;=$G39),1,""))</x:f>
      </x:c>
      <x:c r="AC39" s="12" t="str">
        <x:f t="shared" si="7">IF(OR($G39="",$H39="",$H39&lt;$G39),"",IF(AND(AC$9&lt;=$H39,AC$9+6&gt;=$G39),1,""))</x:f>
      </x:c>
      <x:c r="AD39" s="13" t="str">
        <x:f t="shared" si="7">IF(OR($G39="",$H39="",$H39&lt;$G39),"",IF(AND(AD$9&lt;=$H39,AD$9+6&gt;=$G39),1,""))</x:f>
      </x:c>
    </x:row>
    <x:row r="40">
      <x:c r="B40" s="15"/>
      <x:c r="C40" s="15"/>
      <x:c r="D40" s="15"/>
      <x:c r="E40" s="15"/>
      <x:c r="F40" s="15"/>
      <x:c r="G40" s="15"/>
      <x:c r="H40" s="15"/>
      <x:c r="I40" s="15"/>
      <x:c r="J40" s="15"/>
      <x:c r="K40" s="15"/>
      <x:c r="L40" s="15"/>
      <x:c r="M40" s="15"/>
      <x:c r="N40" s="15"/>
      <x:c r="O40" s="15"/>
      <x:c r="P40" s="15"/>
      <x:c r="Q40" s="15"/>
      <x:c r="R40" s="15"/>
      <x:c r="S40" s="15"/>
      <x:c r="T40" s="15"/>
      <x:c r="U40" s="15"/>
      <x:c r="V40" s="15"/>
      <x:c r="W40" s="15"/>
      <x:c r="X40" s="15"/>
      <x:c r="Y40" s="15"/>
      <x:c r="Z40" s="15"/>
      <x:c r="AA40" s="15"/>
      <x:c r="AB40" s="15"/>
      <x:c r="AC40" s="15"/>
      <x:c r="AD40" s="15"/>
    </x:row>
    <x:row r="41" ht="24" customHeight="1">
      <x:c r="B41" s="75" t="str">
        <x:v>Widok do 30 zadań. Pełny rejestr i zależności: TODO. Brak ustalonych dat oznacza brak paska. Zmiany trwałe zapisujemy w JSON i ponownie generujemy raport.</x:v>
      </x:c>
      <x:c r="C41" s="76" t="s">
        <x:v>14</x:v>
      </x:c>
      <x:c r="D41" s="76" t="s">
        <x:v>14</x:v>
      </x:c>
      <x:c r="E41" s="76" t="s">
        <x:v>14</x:v>
      </x:c>
      <x:c r="F41" s="76" t="s">
        <x:v>14</x:v>
      </x:c>
      <x:c r="G41" s="76" t="s">
        <x:v>14</x:v>
      </x:c>
      <x:c r="H41" s="76" t="s">
        <x:v>14</x:v>
      </x:c>
      <x:c r="I41" s="76" t="s">
        <x:v>14</x:v>
      </x:c>
      <x:c r="J41" s="76" t="s">
        <x:v>14</x:v>
      </x:c>
      <x:c r="K41" s="76" t="s">
        <x:v>14</x:v>
      </x:c>
      <x:c r="L41" s="76" t="s">
        <x:v>14</x:v>
      </x:c>
      <x:c r="M41" s="76" t="s">
        <x:v>14</x:v>
      </x:c>
      <x:c r="N41" s="76" t="s">
        <x:v>14</x:v>
      </x:c>
      <x:c r="O41" s="76" t="s">
        <x:v>14</x:v>
      </x:c>
      <x:c r="P41" s="76" t="s">
        <x:v>14</x:v>
      </x:c>
      <x:c r="Q41" s="76" t="s">
        <x:v>14</x:v>
      </x:c>
      <x:c r="R41" s="76" t="s">
        <x:v>14</x:v>
      </x:c>
      <x:c r="S41" s="76" t="s">
        <x:v>14</x:v>
      </x:c>
      <x:c r="T41" s="76" t="s">
        <x:v>14</x:v>
      </x:c>
      <x:c r="U41" s="76" t="s">
        <x:v>14</x:v>
      </x:c>
      <x:c r="V41" s="76" t="s">
        <x:v>14</x:v>
      </x:c>
      <x:c r="W41" s="76" t="s">
        <x:v>14</x:v>
      </x:c>
      <x:c r="X41" s="76" t="s">
        <x:v>14</x:v>
      </x:c>
      <x:c r="Y41" s="76" t="s">
        <x:v>14</x:v>
      </x:c>
      <x:c r="Z41" s="76" t="s">
        <x:v>14</x:v>
      </x:c>
      <x:c r="AA41" s="76" t="s">
        <x:v>14</x:v>
      </x:c>
      <x:c r="AB41" s="76" t="s">
        <x:v>14</x:v>
      </x:c>
      <x:c r="AC41" s="76" t="s">
        <x:v>14</x:v>
      </x:c>
      <x:c r="AD41" s="77" t="s">
        <x:v>14</x:v>
      </x:c>
    </x:row>
    <x:row r="42" ht="24" customHeight="1">
      <x:c r="B42" s="78" t="s">
        <x:v>14</x:v>
      </x:c>
      <x:c r="C42" s="79" t="s">
        <x:v>14</x:v>
      </x:c>
      <x:c r="D42" s="79" t="s">
        <x:v>14</x:v>
      </x:c>
      <x:c r="E42" s="79" t="s">
        <x:v>14</x:v>
      </x:c>
      <x:c r="F42" s="79" t="s">
        <x:v>14</x:v>
      </x:c>
      <x:c r="G42" s="79" t="s">
        <x:v>14</x:v>
      </x:c>
      <x:c r="H42" s="79" t="s">
        <x:v>14</x:v>
      </x:c>
      <x:c r="I42" s="79" t="s">
        <x:v>14</x:v>
      </x:c>
      <x:c r="J42" s="79" t="s">
        <x:v>14</x:v>
      </x:c>
      <x:c r="K42" s="79" t="s">
        <x:v>14</x:v>
      </x:c>
      <x:c r="L42" s="79" t="s">
        <x:v>14</x:v>
      </x:c>
      <x:c r="M42" s="79" t="s">
        <x:v>14</x:v>
      </x:c>
      <x:c r="N42" s="79" t="s">
        <x:v>14</x:v>
      </x:c>
      <x:c r="O42" s="79" t="s">
        <x:v>14</x:v>
      </x:c>
      <x:c r="P42" s="79" t="s">
        <x:v>14</x:v>
      </x:c>
      <x:c r="Q42" s="79" t="s">
        <x:v>14</x:v>
      </x:c>
      <x:c r="R42" s="79" t="s">
        <x:v>14</x:v>
      </x:c>
      <x:c r="S42" s="79" t="s">
        <x:v>14</x:v>
      </x:c>
      <x:c r="T42" s="79" t="s">
        <x:v>14</x:v>
      </x:c>
      <x:c r="U42" s="79" t="s">
        <x:v>14</x:v>
      </x:c>
      <x:c r="V42" s="79" t="s">
        <x:v>14</x:v>
      </x:c>
      <x:c r="W42" s="79" t="s">
        <x:v>14</x:v>
      </x:c>
      <x:c r="X42" s="79" t="s">
        <x:v>14</x:v>
      </x:c>
      <x:c r="Y42" s="79" t="s">
        <x:v>14</x:v>
      </x:c>
      <x:c r="Z42" s="79" t="s">
        <x:v>14</x:v>
      </x:c>
      <x:c r="AA42" s="79" t="s">
        <x:v>14</x:v>
      </x:c>
      <x:c r="AB42" s="79" t="s">
        <x:v>14</x:v>
      </x:c>
      <x:c r="AC42" s="79" t="s">
        <x:v>14</x:v>
      </x:c>
      <x:c r="AD42" s="80" t="s">
        <x:v>14</x:v>
      </x:c>
    </x:row>
  </x:sheetData>
  <x:mergeCells>
    <x:mergeCell ref="B8:I8"/>
    <x:mergeCell ref="K8:AD8"/>
    <x:mergeCell ref="B41:AD42"/>
    <x:mergeCell ref="S6:V6"/>
    <x:mergeCell ref="W5:Z5"/>
    <x:mergeCell ref="W6:Z6"/>
    <x:mergeCell ref="AA5:AD5"/>
    <x:mergeCell ref="AA6:AD6"/>
    <x:mergeCell ref="C6:E6"/>
    <x:mergeCell ref="H6:I6"/>
    <x:mergeCell ref="K5:N5"/>
    <x:mergeCell ref="K6:N6"/>
    <x:mergeCell ref="O5:R5"/>
    <x:mergeCell ref="O6:R6"/>
    <x:mergeCell ref="F6:G6"/>
    <x:mergeCell ref="B2:R2"/>
    <x:mergeCell ref="S2:AD2"/>
    <x:mergeCell ref="B4:I4"/>
    <x:mergeCell ref="K4:AD4"/>
    <x:mergeCell ref="C5:E5"/>
    <x:mergeCell ref="H5:I5"/>
    <x:mergeCell ref="S5:V5"/>
    <x:mergeCell ref="F5:G5"/>
  </x:mergeCells>
  <x:conditionalFormatting sqref="E10:E39">
    <x:cfRule type="expression" dxfId="10" priority="1">
      <x:formula>$E10="Complete"</x:formula>
    </x:cfRule>
    <x:cfRule type="expression" dxfId="9" priority="2">
      <x:formula>$E10="In Progress"</x:formula>
    </x:cfRule>
    <x:cfRule type="expression" dxfId="8" priority="3">
      <x:formula>$E10="At Risk"</x:formula>
    </x:cfRule>
    <x:cfRule type="expression" dxfId="7" priority="4">
      <x:formula>$E10="Not Started"</x:formula>
    </x:cfRule>
  </x:conditionalFormatting>
  <x:conditionalFormatting sqref="F10:F39">
    <x:cfRule type="expression" dxfId="6" priority="5">
      <x:formula>$F10="P0"</x:formula>
    </x:cfRule>
    <x:cfRule type="expression" dxfId="5" priority="6">
      <x:formula>$F10="P1"</x:formula>
    </x:cfRule>
    <x:cfRule type="expression" dxfId="4" priority="7">
      <x:formula>$F10="P2"</x:formula>
    </x:cfRule>
  </x:conditionalFormatting>
  <x:conditionalFormatting sqref="K10:AD39">
    <x:cfRule type="expression" dxfId="3" priority="8">
      <x:formula>AND(K10=1,$E10="Complete")</x:formula>
    </x:cfRule>
    <x:cfRule type="expression" dxfId="2" priority="9">
      <x:formula>AND(K10=1,$E10="In Progress")</x:formula>
    </x:cfRule>
    <x:cfRule type="expression" dxfId="1" priority="10">
      <x:formula>AND(K10=1,$E10="At Risk")</x:formula>
    </x:cfRule>
    <x:cfRule type="expression" dxfId="0" priority="11">
      <x:formula>AND(K10=1,$E10="Not Started")</x:formula>
    </x:cfRule>
  </x:conditionalFormatting>
  <x:dataValidations count="4">
    <x:dataValidation type="list" sqref="B10:B39">
      <x:formula1>"Research,Organizacja,Produkt,Dane,Model,Connectory,Topologia,GIS,Analityka,Walidacja,UI,V1,V2,Long-term,MVP UI,Data quality"</x:formula1>
    </x:dataValidation>
    <x:dataValidation type="list" sqref="D10:D39">
      <x:formula1>"Codex,Użytkownik + Codex,Użytkownik,Codex + Użytkownik"</x:formula1>
    </x:dataValidation>
    <x:dataValidation type="list" sqref="E10:E39">
      <x:formula1>"Not Started,In Progress,At Risk,Complete"</x:formula1>
    </x:dataValidation>
    <x:dataValidation type="list" sqref="F10:F39">
      <x:formula1>"P0,P1,P2"</x:formula1>
    </x:dataValidation>
  </x:dataValidations>
  <x:pageMargins left="0.7" right="0.7" top="0.75" bottom="0.75" header="0.3" footer="0.3"/>
</x:worksheet>
</file>

<file path=xl/worksheets/sheet2.xml><?xml version="1.0" encoding="utf-8"?>
<x:worksheet xmlns:x="http://schemas.openxmlformats.org/spreadsheetml/2006/main">
  <x:sheetPr>
    <x:tabColor rgb="FF44338F"/>
  </x:sheetPr>
  <x:sheetViews>
    <x:sheetView showGridLines="0" workbookViewId="0">
      <x:pane ySplit="6" topLeftCell="A7" activePane="bottomLeft" state="frozen"/>
    </x:sheetView>
  </x:sheetViews>
  <x:sheetFormatPr defaultRowHeight="15"/>
  <x:cols>
    <x:col min="1" max="1" width="35" hidden="0" customWidth="1"/>
    <x:col min="2" max="2" width="27" hidden="0" customWidth="1"/>
    <x:col min="3" max="3" width="125" hidden="0" customWidth="1"/>
  </x:cols>
  <x:sheetData>
    <x:row r="1">
      <x:c r="A1" s="49"/>
      <x:c r="B1" s="49"/>
      <x:c r="C1" s="49"/>
    </x:row>
    <x:row r="2" ht="30" customHeight="1">
      <x:c r="A2" s="50" t="str">
        <x:v>Stan projektu i najważniejsze wnioski</x:v>
      </x:c>
      <x:c r="B2" s="49"/>
      <x:c r="C2" s="49"/>
    </x:row>
    <x:row r="3">
      <x:c r="A3" s="51"/>
      <x:c r="B3" s="51"/>
      <x:c r="C3" s="51"/>
    </x:row>
    <x:row r="4">
      <x:c r="A4" s="52" t="str">
        <x:v>Raport wiedzy projektowej. Nie zawiera obliczonej rezerwy MW ani Grid Connection Score dla konkretnego GPZ.</x:v>
      </x:c>
      <x:c r="B4" s="49"/>
      <x:c r="C4" s="49"/>
    </x:row>
    <x:row r="5">
      <x:c r="A5" s="49"/>
      <x:c r="B5" s="49"/>
      <x:c r="C5" s="49"/>
    </x:row>
    <x:row r="6" ht="34" customHeight="1">
      <x:c r="A6" s="58" t="str">
        <x:v>Obszar</x:v>
      </x:c>
      <x:c r="B6" s="58" t="str">
        <x:v>Wynik</x:v>
      </x:c>
      <x:c r="C6" s="58" t="str">
        <x:v>Znaczenie i ograniczenia</x:v>
      </x:c>
    </x:row>
    <x:row r="7" ht="30" customHeight="1">
      <x:c r="A7" s="59" t="str">
        <x:v>Źródła w katalogu</x:v>
      </x:c>
      <x:c r="B7" s="59" t="n">
        <x:f>COUNTA('Źródła'!A7:A71)</x:f>
        <x:v>65</x:v>
      </x:c>
      <x:c r="C7" s="59" t="str">
        <x:v>Obejmuje próbki, przegląd treści/dokumentacji, wskazania i blokady.</x:v>
      </x:c>
    </x:row>
    <x:row r="8" ht="30" customHeight="1">
      <x:c r="A8" s="59" t="str">
        <x:v>Zadania w rejestrze</x:v>
      </x:c>
      <x:c r="B8" s="59" t="n">
        <x:f>'Project Plan'!K6</x:f>
        <x:v>38</x:v>
      </x:c>
      <x:c r="C8" s="59" t="str">
        <x:v>Pełna lista, także zakończone i dalsze etapy.</x:v>
      </x:c>
    </x:row>
    <x:row r="9" ht="30" customHeight="1">
      <x:c r="A9" s="59" t="str">
        <x:v>Zakończone zadania</x:v>
      </x:c>
      <x:c r="B9" s="59" t="n">
        <x:f>'Project Plan'!O6</x:f>
        <x:v>14</x:v>
      </x:c>
      <x:c r="C9" s="59" t="str">
        <x:v>Liczba zadań nie mierzy procentowej gotowości produktu.</x:v>
      </x:c>
    </x:row>
    <x:row r="10" ht="30" customHeight="1">
      <x:c r="A10" s="59" t="str">
        <x:v>Zadania w toku</x:v>
      </x:c>
      <x:c r="B10" s="59" t="n">
        <x:f>'Project Plan'!S6</x:f>
        <x:v>3</x:v>
      </x:c>
      <x:c r="C10" s="59" t="str">
        <x:v>Stan zapisany w rejestrze TODO.</x:v>
      </x:c>
    </x:row>
    <x:row r="11" ht="30" customHeight="1">
      <x:c r="A11" s="59" t="str">
        <x:v>Zadania zagrożone</x:v>
      </x:c>
      <x:c r="B11" s="59" t="n">
        <x:f>'Project Plan'!W6</x:f>
        <x:v>1</x:v>
      </x:c>
      <x:c r="C11" s="59" t="str">
        <x:v>Odrębne od nieukończonych zależności.</x:v>
      </x:c>
    </x:row>
    <x:row r="12" ht="30" customHeight="1">
      <x:c r="A12" s="59" t="str">
        <x:v>Data katalogu</x:v>
      </x:c>
      <x:c r="B12" s="60" t="n">
        <x:v>46282</x:v>
      </x:c>
      <x:c r="C12" s="59" t="str">
        <x:v>Data przeglądu źródeł; nie oznacza aktualnego stanu każdego dokumentu.</x:v>
      </x:c>
    </x:row>
    <x:row r="13" ht="38" customHeight="1">
      <x:c r="A13" s="59" t="str">
        <x:v>Potrzebne informacje</x:v>
      </x:c>
      <x:c r="B13" s="59" t="n">
        <x:v>14</x:v>
      </x:c>
      <x:c r="C13" s="59" t="str">
        <x:v>Zakładka Potrzebne informacje zawiera zakres, status i sposób pomocy. Obejmuje także materiały niedostępne i już otrzymane.</x:v>
      </x:c>
    </x:row>
    <x:row r="14" ht="80" customHeight="1">
      <x:c r="A14" s="59" t="str">
        <x:v>Wniosek z badań</x:v>
      </x:c>
      <x:c r="B14" s="59" t="str">
        <x:v>Ocena badawcza</x:v>
      </x:c>
      <x:c r="C14" s="59" t="str">
        <x:v>Tak — można zbudować wiarygodny system rozpoznania sytuacji przyłączeniowej, pod warunkiem ograniczenia jego obietnicy do tego, co potwierdzają źródła. Dostępne są informacje o projektach, ich etapach, wskazanych miejscach przyłączenia, publikowane przez operatorów moce przyłączeniowe, inwestycje sieciowe oraz część danych systemowych. Można je połączyć z geometrią infrastruktury i uwarunkowaniami przestrzennymi. Wynik powinien wyjaśniać fakty, konflikty i niewiadome dla konkretnego projektu.</x:v>
      </x:c>
    </x:row>
    <x:row r="15" ht="66" customHeight="1">
      <x:c r="A15" s="59" t="str">
        <x:v>Wniosek z badań</x:v>
      </x:c>
      <x:c r="B15" s="59" t="str">
        <x:v>Ocena badawcza</x:v>
      </x:c>
      <x:c r="C15" s="59" t="str">
        <x:v>Nie ma podstaw do obietnicy dokładnej wolnej mocy dowolnego GPZ ani liczbowego prawdopodobieństwa uzyskania WP. W sprawdzonych publicznych źródłach nie znaleziono kompletnego, aktualnego zestawu topologii ruchowej, parametrów elektrycznych, lokalnych profili obciążenia i ograniczeń niezbędnych do takiej oceny. Brak ten jest szczególnie dotkliwy na SN. Nie należy zamieniać niepełnej listy projektów i mocy znamionowej transformatora w pozornie dokładny bilans.</x:v>
      </x:c>
    </x:row>
    <x:row r="16" ht="30" customHeight="1">
      <x:c r="A16" s="59" t="str">
        <x:v>Wniosek z badań</x:v>
      </x:c>
      <x:c r="B16" s="59" t="str">
        <x:v>Ocena badawcza</x:v>
      </x:c>
      <x:c r="C16" s="59" t="str">
        <x:v>Poziom sieci / Realistyczny produkt z danych publicznych / Granica dokładności</x:v>
      </x:c>
    </x:row>
    <x:row r="17" ht="52" customHeight="1">
      <x:c r="A17" s="59" t="str">
        <x:v>Wniosek z badań</x:v>
      </x:c>
      <x:c r="B17" s="59" t="str">
        <x:v>Ocena badawcza</x:v>
      </x:c>
      <x:c r="C17" s="59" t="str">
        <x:v>SN / Rozpoznanie GPZ i udokumentowanych projektów; lokalne warunki/ograniczenia opublikowane przez OSD; analiza przestrzenna kandydatów / Zwykle brak pewnego przypisania do odpływu, aktualnego układu przełączeń, impedancji i profilu obciążenia. Ocena jakościowa, miejscami konkretna informacja operatora; bez wiarygodnej ogólnej estymacji dostępnych MW</x:v>
      </x:c>
    </x:row>
    <x:row r="18" ht="52" customHeight="1">
      <x:c r="A18" s="59" t="str">
        <x:v>Wniosek z badań</x:v>
      </x:c>
      <x:c r="B18" s="59" t="str">
        <x:v>Ocena badawcza</x:v>
      </x:c>
      <x:c r="C18" s="59" t="str">
        <x:v>110 kV / Częściowy graf stacji i korytarzy, wskazane miejsca przyłączeń, znany pipeline, ograniczenia obszarowe i plany inwestycji / Możliwe użyteczne analizy lokalne. Niepełna topologia i parametry uniemożliwiają zagwarantowanie przepustowości linii lub transformatora. Moce dla grup stacji nie są niezależnymi mocami każdej stacji</x:v>
      </x:c>
    </x:row>
    <x:row r="19" ht="52" customHeight="1">
      <x:c r="A19" s="59" t="str">
        <x:v>Wniosek z badań</x:v>
      </x:c>
      <x:c r="B19" s="59" t="str">
        <x:v>Ocena badawcza</x:v>
      </x:c>
      <x:c r="C19" s="59" t="str">
        <x:v>220/400 kV PSE / Najlepsza podstawa do identyfikacji węzłów, planów rozbudowy, pipeline i interpretacji raportowanych mocy dla wskazanych horyzontów / Nadal nie jest to aktualny model operacyjny. Dane systemowe i transgraniczne nie dostarczają obciążeń wszystkich wewnętrznych elementów. Ocena techniczna konkretnego przyłączenia wymaga danych/studium operatora</x:v>
      </x:c>
    </x:row>
    <x:row r="20" ht="52" customHeight="1">
      <x:c r="A20" s="59" t="str">
        <x:v>Wniosek z badań</x:v>
      </x:c>
      <x:c r="B20" s="59" t="str">
        <x:v>Ocena badawcza</x:v>
      </x:c>
      <x:c r="C20" s="59" t="str">
        <x:v>Nie podajemy procentowej „dokładności” dla tych poziomów. Do jej zmierzenia potrzebny jest zbiór referencyjny rzeczywistych obiektów, połączeń i wyników analiz operatora. Dokładność odczytu dokumentu, kompletność pokrycia sieci i trafność oceny przyłączenia to trzy różne miary.</x:v>
      </x:c>
    </x:row>
    <x:row r="21" ht="80" customHeight="1">
      <x:c r="A21" s="59" t="str">
        <x:v>Wniosek z badań</x:v>
      </x:c>
      <x:c r="B21" s="59" t="str">
        <x:v>Ocena badawcza</x:v>
      </x:c>
      <x:c r="C21" s="59" t="str">
        <x:v>W przeprowadzonych próbach PSE ma najsilniejszą podstawę do automatyzacji: otwarte API z dokumentacją oraz rzeczywisty plik XLSX dotyczący przyłączeń. Energa i Stoen udostępniają rozdzielone publikacje dla poboru i wytwarzania; ENEA oferuje przydatne mapy i kryteria SN; TAURON — obszerny wykaz przyłączeń. Dostęp do PGE był blokowany, dlatego jego pokrycia nie można uczciwie ocenić na równi z pobranymi dokumentami. Podstawy tych ocen opisano w rozdziałach 3–4 i w katalogu źródeł (data_sources.md).</x:v>
      </x:c>
    </x:row>
    <x:row r="22" ht="52" customHeight="1">
      <x:c r="A22" s="59" t="str">
        <x:v>Wniosek z badań</x:v>
      </x:c>
      <x:c r="B22" s="59" t="str">
        <x:v>Ocena badawcza</x:v>
      </x:c>
      <x:c r="C22" s="59" t="str">
        <x:v>Rekomendacja: przejść następnie do wąskiego pilota dokumentacyjnego, poprzedzonego zamknięciem kwestii licencyjnych i wyborem stacji na podstawie kompletności dowodów. Na tym etapie raportować przesłanki i ryzyka; Grid Connection Score oraz prawdopodobieństwo pozostawić nieokreślone, dopóki nie powstanie uzasadniona i sprawdzona metodologia.</x:v>
      </x:c>
    </x:row>
  </x:sheetData>
  <x:pageMargins left="0.7" right="0.7" top="0.75" bottom="0.75" header="0.3" footer="0.3"/>
  <x:tableParts count="1">
    <x:tablePart xmlns:r="http://schemas.openxmlformats.org/officeDocument/2006/relationships" r:id="Rd5a45cfef5bb493b"/>
  </x:tableParts>
</x:worksheet>
</file>

<file path=xl/worksheets/sheet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6" hidden="0" customWidth="1"/>
    <x:col min="2" max="2" width="12" hidden="0" customWidth="1"/>
    <x:col min="3" max="3" width="42" hidden="0" customWidth="1"/>
    <x:col min="4" max="4" width="30" hidden="0" customWidth="1"/>
    <x:col min="5" max="5" width="65" hidden="0" customWidth="1"/>
    <x:col min="6" max="6" width="65" hidden="0" customWidth="1"/>
    <x:col min="7" max="7" width="65" hidden="0" customWidth="1"/>
    <x:col min="8" max="8" width="65" hidden="0" customWidth="1"/>
    <x:col min="9" max="9" width="38" hidden="0" customWidth="1"/>
    <x:col min="10" max="10" width="18" hidden="0" customWidth="1"/>
    <x:col min="11" max="11" width="55" hidden="0" customWidth="1"/>
    <x:col min="12" max="12" width="55" hidden="0" customWidth="1"/>
  </x:cols>
  <x:sheetData>
    <x:row r="1">
      <x:c r="A1" s="49"/>
      <x:c r="B1" s="49"/>
      <x:c r="C1" s="49"/>
      <x:c r="D1" s="49"/>
      <x:c r="E1" s="49"/>
      <x:c r="F1" s="49"/>
      <x:c r="G1" s="49"/>
      <x:c r="H1" s="49"/>
      <x:c r="I1" s="49"/>
      <x:c r="J1" s="49"/>
      <x:c r="K1" s="49"/>
      <x:c r="L1" s="49"/>
    </x:row>
    <x:row r="2" ht="30" customHeight="1">
      <x:c r="A2" s="50" t="str">
        <x:v>Dokumenty i informacje do pozyskania</x:v>
      </x:c>
      <x:c r="B2" s="49"/>
      <x:c r="C2" s="49"/>
      <x:c r="D2" s="49"/>
      <x:c r="E2" s="49"/>
      <x:c r="F2" s="49"/>
      <x:c r="G2" s="49"/>
      <x:c r="H2" s="49"/>
      <x:c r="I2" s="49"/>
      <x:c r="J2" s="49"/>
      <x:c r="K2" s="49"/>
      <x:c r="L2" s="49"/>
    </x:row>
    <x:row r="3">
      <x:c r="A3" s="51"/>
      <x:c r="B3" s="51"/>
      <x:c r="C3" s="51"/>
      <x:c r="D3" s="51"/>
      <x:c r="E3" s="51"/>
      <x:c r="F3" s="51"/>
      <x:c r="G3" s="51"/>
      <x:c r="H3" s="51"/>
      <x:c r="I3" s="51"/>
      <x:c r="J3" s="51"/>
      <x:c r="K3" s="51"/>
      <x:c r="L3" s="51"/>
    </x:row>
    <x:row r="4">
      <x:c r="A4" s="52" t="str">
        <x:v>Rejestr potrzeb. Otrzymanie dokumentu nie oznacza potwierdzenia wszystkich tez. Niedostępne pozycje zachowujemy bez ponawiania próśb.</x:v>
      </x:c>
      <x:c r="B4" s="49"/>
      <x:c r="C4" s="49"/>
      <x:c r="D4" s="49"/>
      <x:c r="E4" s="49"/>
      <x:c r="F4" s="49"/>
      <x:c r="G4" s="49"/>
      <x:c r="H4" s="49"/>
      <x:c r="I4" s="49"/>
      <x:c r="J4" s="49"/>
      <x:c r="K4" s="49"/>
      <x:c r="L4" s="49"/>
    </x:row>
    <x:row r="5">
      <x:c r="A5" s="49"/>
      <x:c r="B5" s="49"/>
      <x:c r="C5" s="49"/>
      <x:c r="D5" s="49"/>
      <x:c r="E5" s="49"/>
      <x:c r="F5" s="49"/>
      <x:c r="G5" s="49"/>
      <x:c r="H5" s="49"/>
      <x:c r="I5" s="49"/>
      <x:c r="J5" s="49"/>
      <x:c r="K5" s="49"/>
      <x:c r="L5" s="49"/>
    </x:row>
    <x:row r="6" ht="34" customHeight="1">
      <x:c r="A6" s="58" t="str">
        <x:v>ID</x:v>
      </x:c>
      <x:c r="B6" s="58" t="str">
        <x:v>Priorytet</x:v>
      </x:c>
      <x:c r="C6" s="58" t="str">
        <x:v>Dokument / informacja</x:v>
      </x:c>
      <x:c r="D6" s="58" t="str">
        <x:v>Status</x:v>
      </x:c>
      <x:c r="E6" s="58" t="str">
        <x:v>Potrzebny zakres</x:v>
      </x:c>
      <x:c r="F6" s="58" t="str">
        <x:v>Co umożliwi</x:v>
      </x:c>
      <x:c r="G6" s="58" t="str">
        <x:v>Następny krok</x:v>
      </x:c>
      <x:c r="H6" s="58" t="str">
        <x:v>Praca bez tych danych</x:v>
      </x:c>
      <x:c r="I6" s="58" t="str">
        <x:v>Kto może pomóc</x:v>
      </x:c>
      <x:c r="J6" s="58" t="str">
        <x:v>Aktualizacja</x:v>
      </x:c>
      <x:c r="K6" s="58" t="str">
        <x:v>Podstawa wpisu</x:v>
      </x:c>
      <x:c r="L6" s="58" t="str">
        <x:v>Potwierdzenie otrzymania</x:v>
      </x:c>
    </x:row>
    <x:row r="7" ht="66" customHeight="1">
      <x:c r="A7" s="59" t="str">
        <x:v>NEED-001</x:v>
      </x:c>
      <x:c r="B7" s="59" t="str">
        <x:v>P0</x:v>
      </x:c>
      <x:c r="C7" s="59" t="str">
        <x:v>Projekt techniczny mostu przyłączeniowego</x:v>
      </x:c>
      <x:c r="D7" s="59" t="str">
        <x:v>Otrzymano — do oceny zakresu</x:v>
      </x:c>
      <x:c r="E7" s="59" t="str">
        <x:v>Rysunki z rewizją i datą, identyfikatory miejsc, granice opracowania, parametry znamionowe i status projekt/as-built.</x:v>
      </x:c>
      <x:c r="F7" s="59" t="str">
        <x:v>Potwierdzenie konstrukcji i parametrów wspólnego przyłącza. Sam projekt nie dowodzi obsadzenia ani uruchomienia.</x:v>
      </x:c>
      <x:c r="G7" s="59" t="str">
        <x:v>Pakiet dokumentacji otrzymano 16.09.2026; wykonano pierwszy prywatny przegląd. Ustalić zatwierdzoną rewizję wykonawczą i dokumentację powykonawczą. Nie prosić ponownie o ten sam pakiet.</x:v>
      </x:c>
      <x:c r="H7" s="59" t="str">
        <x:v>Kontynuować model dokumentacyjny. Parametry bez dowodu pozostają UNKNOWN.</x:v>
      </x:c>
      <x:c r="I7" s="59" t="str">
        <x:v>Użytkownik; projektant lub inwestor</x:v>
      </x:c>
      <x:c r="J7" s="60" t="n">
        <x:v>46281</x:v>
      </x:c>
      <x:c r="K7" s="59" t="str">
        <x:v>Informacja użytkownika w rozmowie; docs/13_shared_connection_model.md; PSE 205815-2025, s.29; docs/16_radkowice_public_followup.md</x:v>
      </x:c>
      <x:c r="L7" s="59" t="str">
        <x:v>Potwierdzenie użytkownika w rozmowie 2026-09-16; lokalny prywatny przegląd, bez treści dokumentów w raporcie ogólnym.</x:v>
      </x:c>
    </x:row>
    <x:row r="8" ht="66" customHeight="1">
      <x:c r="A8" s="59" t="str">
        <x:v>NEED-002</x:v>
      </x:c>
      <x:c r="B8" s="59" t="str">
        <x:v>P0</x:v>
      </x:c>
      <x:c r="C8" s="59" t="str">
        <x:v>Potwierdzenie przypisań projektów do miejsc</x:v>
      </x:c>
      <x:c r="D8" s="59" t="str">
        <x:v>Do sprawdzenia</x:v>
      </x:c>
      <x:c r="E8" s="59" t="str">
        <x:v>Wykaz miejsca–projekt–PCC, status planowany/rzeczywisty, daty ważności, źródło i jawny zakres kompletności.</x:v>
      </x:c>
      <x:c r="F8" s="59" t="str">
        <x:v>Odtworzenie obsadzenia mostu. Lista projektów przy stacji nie potwierdza przypisania do mostu.</x:v>
      </x:c>
      <x:c r="G8" s="59" t="str">
        <x:v>Jeśli dostępne, dostarczyć zestawienie lub odpowiednie fragmenty uzgodnień z identyfikatorami miejsc. Uwzględnić zakres materiałów otrzymanych 16.09.2026; szczegóły przeglądu pozostają prywatne.</x:v>
      </x:c>
      <x:c r="H8" s="59" t="str">
        <x:v>Pokazywać znane projekty przy stacji osobno; nie wyliczać wolnych miejsc.</x:v>
      </x:c>
      <x:c r="I8" s="59" t="str">
        <x:v>Użytkownik; inwestor lub zarządca przyłącza</x:v>
      </x:c>
      <x:c r="J8" s="60" t="n">
        <x:v>46281</x:v>
      </x:c>
      <x:c r="K8" s="59" t="str">
        <x:v>docs/14_observation_history.md</x:v>
      </x:c>
      <x:c r="L8" s="59" t="str">
        <x:v>Nie otrzymano</x:v>
      </x:c>
    </x:row>
    <x:row r="9" ht="66" customHeight="1">
      <x:c r="A9" s="59" t="str">
        <x:v>NEED-003</x:v>
      </x:c>
      <x:c r="B9" s="59" t="str">
        <x:v>P1</x:v>
      </x:c>
      <x:c r="C9" s="59" t="str">
        <x:v>Granica własności PSE/PGE i schemat stacji</x:v>
      </x:c>
      <x:c r="D9" s="59" t="str">
        <x:v>Do sprawdzenia</x:v>
      </x:c>
      <x:c r="E9" s="59" t="str">
        <x:v>Aktualny schemat 220/110 kV i dokument rozgraniczenia własności/eksploatacji, z oznaczeniem transformatorów i datą.</x:v>
      </x:c>
      <x:c r="F9" s="59" t="str">
        <x:v>Rozdzielenie aktywów i odpowiedzialności operatorów bez zgadywania granicy na transformatorze.</x:v>
      </x:c>
      <x:c r="G9" s="59" t="str">
        <x:v>Jeśli można pozyskać, udostępnić dokument granic PSE/PGE. Potwierdzenie ustne zachować jako twierdzenie użytkownika. Uwzględnić zakres materiałów otrzymanych 16.09.2026; szczegóły przeglądu pozostają prywatne.</x:v>
      </x:c>
      <x:c r="H9" s="59" t="str">
        <x:v>Utrzymać niezweryfikowaną granicę własności i oddzielne poziomy napięcia.</x:v>
      </x:c>
      <x:c r="I9" s="59" t="str">
        <x:v>Użytkownik; PSE/PGE</x:v>
      </x:c>
      <x:c r="J9" s="60" t="n">
        <x:v>46281</x:v>
      </x:c>
      <x:c r="K9" s="59" t="str">
        <x:v>Informacja użytkownika w rozmowie; docs/10_radkowice_pilot.md</x:v>
      </x:c>
      <x:c r="L9" s="59" t="str">
        <x:v>Nie otrzymano</x:v>
      </x:c>
    </x:row>
    <x:row r="10" ht="38" customHeight="1">
      <x:c r="A10" s="59" t="str">
        <x:v>NEED-004</x:v>
      </x:c>
      <x:c r="B10" s="59" t="str">
        <x:v>P1</x:v>
      </x:c>
      <x:c r="C10" s="59" t="str">
        <x:v>Statusy i wykaz wniosków bez odpowiedzi</x:v>
      </x:c>
      <x:c r="D10" s="59" t="str">
        <x:v>Do sprawdzenia</x:v>
      </x:c>
      <x:c r="E10" s="59" t="str">
        <x:v>Rejestr ze stanem na dzień, ID wniosków/projektów, punktem przyłączenia, osobno import/eksport i statusem odpowiedzi.</x:v>
      </x:c>
      <x:c r="F10" s="59" t="str">
        <x:v>Rozróżnienie projektów operacyjnych, planowanych oraz faktycznie oczekujących na odpowiedź.</x:v>
      </x:c>
      <x:c r="G10" s="59" t="str">
        <x:v>Jeśli dostępne, przekazać oficjalny wyciąg lub potwierdzenia statusu dla pilota z datą.</x:v>
      </x:c>
      <x:c r="H10" s="59" t="str">
        <x:v>Nie interpretować braku publikacji jako braku projektów ani oczekującego wniosku.</x:v>
      </x:c>
      <x:c r="I10" s="59" t="str">
        <x:v>Użytkownik; operator lub inwestor</x:v>
      </x:c>
      <x:c r="J10" s="60" t="n">
        <x:v>46280</x:v>
      </x:c>
      <x:c r="K10" s="59" t="str">
        <x:v>docs/gpz_pipeline.md</x:v>
      </x:c>
      <x:c r="L10" s="59" t="str">
        <x:v>Nie otrzymano</x:v>
      </x:c>
    </x:row>
    <x:row r="11" ht="52" customHeight="1">
      <x:c r="A11" s="59" t="str">
        <x:v>NEED-005</x:v>
      </x:c>
      <x:c r="B11" s="59" t="str">
        <x:v>P1</x:v>
      </x:c>
      <x:c r="C11" s="59" t="str">
        <x:v>Historyczne obciążenia i ograniczenia</x:v>
      </x:c>
      <x:c r="D11" s="59" t="str">
        <x:v>Do sprawdzenia</x:v>
      </x:c>
      <x:c r="E11" s="59" t="str">
        <x:v>Serie czasowe przepływów P/Q, obciążeń linii i transformatorów, kierunki, jednostki, rozdzielczość, okres i identyfikatory elementów.</x:v>
      </x:c>
      <x:c r="F11" s="59" t="str">
        <x:v>Ocena rzeczywistego wykorzystania i ograniczeń. Same znamionowe MVA nie określają dostępnych MW.</x:v>
      </x:c>
      <x:c r="G11" s="59" t="str">
        <x:v>Sprawdzić możliwość udostępnienia uzgodnionego zakresu danych przez operatora. Nie zakładamy ich dostępności.</x:v>
      </x:c>
      <x:c r="H11" s="59" t="str">
        <x:v>Analiza dowodów bez wiarygodnego wyniku wykorzystania elementów.</x:v>
      </x:c>
      <x:c r="I11" s="59" t="str">
        <x:v>Użytkownik; PSE/PGE</x:v>
      </x:c>
      <x:c r="J11" s="60" t="n">
        <x:v>46280</x:v>
      </x:c>
      <x:c r="K11" s="59" t="str">
        <x:v>docs/02_feasibility_matrix.md</x:v>
      </x:c>
      <x:c r="L11" s="59" t="str">
        <x:v>Nie otrzymano</x:v>
      </x:c>
    </x:row>
    <x:row r="12" ht="94" customHeight="1">
      <x:c r="A12" s="59" t="str">
        <x:v>NEED-006</x:v>
      </x:c>
      <x:c r="B12" s="59" t="str">
        <x:v>P1</x:v>
      </x:c>
      <x:c r="C12" s="59" t="str">
        <x:v>Stan realizacji inwestycji sieciowych</x:v>
      </x:c>
      <x:c r="D12" s="59" t="str">
        <x:v>Do sprawdzenia</x:v>
      </x:c>
      <x:c r="E12" s="59" t="str">
        <x:v>Potwierdzenie uruchomienia lub aktualny harmonogram, zakres zadania, data i źródło. Oddzielnie dokumentacja powykonawcza.</x:v>
      </x:c>
      <x:c r="F12" s="59" t="str">
        <x:v>Rozdzielenie sieci istniejącej i planowanej; pozwolenie nie dowodzi zakończenia prac.</x:v>
      </x:c>
      <x:c r="G12" s="59" t="str">
        <x:v>Pozyskać aktualny schemat lub protokół potwierdzający wykonanie przełączenia linii Kielce Piaski z pola 8 do 6. Decyzja RDOŚ WOO-I.420.7.2025.PJ/PP.14 z 04.12.2025, s.3, opisuje plan, nie ukończenie; statusy etapów PSE nie wystarczają. Uwzględnić zakres materiałów otrzymanych 16.09.2026; szczegóły przeglądu pozostają prywatne.</x:v>
      </x:c>
      <x:c r="H12" s="59" t="str">
        <x:v>Zachować inwestycje jako planowane bez przenoszenia ich parametrów do CURRENT.</x:v>
      </x:c>
      <x:c r="I12" s="59" t="str">
        <x:v>Codex szuka publicznie; użytkownik może uzupełnić</x:v>
      </x:c>
      <x:c r="J12" s="60" t="n">
        <x:v>46281</x:v>
      </x:c>
      <x:c r="K12" s="59" t="str">
        <x:v>docs/12_radkowice_110kv_research.md; RDOŚ WOO-I.420.7.2025.PJ/PP.14; portal PSE odczytany 15.09.2026; pełna decyzja RDOS_RADK_PIASKI_DECISION_2025, s.3; docs/16_radkowice_public_followup.md</x:v>
      </x:c>
      <x:c r="L12" s="59" t="str">
        <x:v>Nie otrzymano</x:v>
      </x:c>
    </x:row>
    <x:row r="13" ht="38" customHeight="1">
      <x:c r="A13" s="59" t="str">
        <x:v>NEED-007</x:v>
      </x:c>
      <x:c r="B13" s="59" t="str">
        <x:v>P2</x:v>
      </x:c>
      <x:c r="C13" s="59" t="str">
        <x:v>Parametry elektryczne i model ruchowy</x:v>
      </x:c>
      <x:c r="D13" s="59" t="str">
        <x:v>Do sprawdzenia</x:v>
      </x:c>
      <x:c r="E13" s="59" t="str">
        <x:v>Impedancje i limity linii, parametry transformatorów, stan łączeń, profile generacji/poboru i założenia N-1.</x:v>
      </x:c>
      <x:c r="F13" s="59" t="str">
        <x:v>Warunek rozważenia rozpływu mocy. Schemat topologii sam nie wystarcza.</x:v>
      </x:c>
      <x:c r="G13" s="59" t="str">
        <x:v>Sprawdzić możliwość pozyskania modelu lub uzgodnionego zestawu parametrów wraz z prawami użycia.</x:v>
      </x:c>
      <x:c r="H13" s="59" t="str">
        <x:v>Nie uruchamiać pozornego power-flow; kontynuować screening dokumentacyjny.</x:v>
      </x:c>
      <x:c r="I13" s="59" t="str">
        <x:v>Użytkownik; operator lub uprawniony projektant</x:v>
      </x:c>
      <x:c r="J13" s="60" t="n">
        <x:v>46280</x:v>
      </x:c>
      <x:c r="K13" s="59" t="str">
        <x:v>docs/05_grid_capacity_methodology.md</x:v>
      </x:c>
      <x:c r="L13" s="59" t="str">
        <x:v>Nie otrzymano</x:v>
      </x:c>
    </x:row>
    <x:row r="14" ht="38" customHeight="1">
      <x:c r="A14" s="59" t="str">
        <x:v>NEED-008</x:v>
      </x:c>
      <x:c r="B14" s="59" t="str">
        <x:v>P2</x:v>
      </x:c>
      <x:c r="C14" s="59" t="str">
        <x:v>Ekspertyza wpływu na sieć</x:v>
      </x:c>
      <x:c r="D14" s="59" t="str">
        <x:v>Niedostępne</x:v>
      </x:c>
      <x:c r="E14" s="59" t="str">
        <x:v>Ekspertyza i założenia analiz, gdyby dostępność zmieniła się w przyszłości.</x:v>
      </x:c>
      <x:c r="F14" s="59" t="str">
        <x:v>Niezależne odniesienie dla ograniczeń sieciowych i scenariuszy.</x:v>
      </x:c>
      <x:c r="G14" s="59" t="str">
        <x:v>Użytkownik poinformował, że dokumentu nie otrzyma. Nie ponawiać prośby; zachować brak i jego konsekwencje.</x:v>
      </x:c>
      <x:c r="H14" s="59" t="str">
        <x:v>Brak nie blokuje researchu, ewidencji, historii ani raportów. Ogranicza wnioski elektryczne.</x:v>
      </x:c>
      <x:c r="I14" s="59" t="str">
        <x:v>Brak aktywnej prośby do użytkownika</x:v>
      </x:c>
      <x:c r="J14" s="60" t="n">
        <x:v>46280</x:v>
      </x:c>
      <x:c r="K14" s="59" t="str">
        <x:v>Informacja użytkownika w rozmowie</x:v>
      </x:c>
      <x:c r="L14" s="59" t="str">
        <x:v>Nie otrzymano</x:v>
      </x:c>
    </x:row>
    <x:row r="15" ht="38" customHeight="1">
      <x:c r="A15" s="59" t="str">
        <x:v>NEED-009</x:v>
      </x:c>
      <x:c r="B15" s="59" t="str">
        <x:v>P0</x:v>
      </x:c>
      <x:c r="C15" s="59" t="str">
        <x:v>Przekazane warunki przyłączenia</x:v>
      </x:c>
      <x:c r="D15" s="59" t="str">
        <x:v>Otrzymano — do oceny zakresu</x:v>
      </x:c>
      <x:c r="E15" s="59" t="str">
        <x:v>Materiał już otrzymany lokalnie. Każdą tezę ocenić osobno pod kątem zakresu, dat i klasyfikacji.</x:v>
      </x:c>
      <x:c r="F15" s="59" t="str">
        <x:v>Dokument jest dowodem w swoim zakresie, lecz nie potwierdza automatycznie wszystkich miejsc, projektów ani stanu obecnego.</x:v>
      </x:c>
      <x:c r="G15" s="59" t="str">
        <x:v>Nie prosić ponownie o ten sam plik. Ewentualne uzupełnienia zapisać jako oddzielne potrzeby.</x:v>
      </x:c>
      <x:c r="H15" s="59" t="str">
        <x:v>Treść i pochodne ustalenia przechowywać prywatnie; do raportu trafia wyłącznie stan procesu.</x:v>
      </x:c>
      <x:c r="I15" s="59" t="str">
        <x:v>Codex; materiał użytkownika</x:v>
      </x:c>
      <x:c r="J15" s="60" t="n">
        <x:v>46280</x:v>
      </x:c>
      <x:c r="K15" s="59" t="str">
        <x:v>Informacja użytkownika o przekazaniu dokumentu; docs/private_sources.md</x:v>
      </x:c>
      <x:c r="L15" s="59" t="str">
        <x:v>Prywatny materiał przekazany przez użytkownika; szczegóły poza raportem</x:v>
      </x:c>
    </x:row>
    <x:row r="16" ht="66" customHeight="1">
      <x:c r="A16" s="59" t="str">
        <x:v>NEED-010</x:v>
      </x:c>
      <x:c r="B16" s="59" t="str">
        <x:v>P1</x:v>
      </x:c>
      <x:c r="C16" s="59" t="str">
        <x:v>Potwierdzenie niezależnej kopii archiwum</x:v>
      </x:c>
      <x:c r="D16" s="59" t="str">
        <x:v>Do sprawdzenia</x:v>
      </x:c>
      <x:c r="E16" s="59" t="str">
        <x:v>Potwierdzenie wykonania i sprawdzenia kopii źródeł oraz prywatnych dokumentów poza tym komputerem. Bez haseł i tokenów.</x:v>
      </x:c>
      <x:c r="F16" s="59" t="str">
        <x:v>Odtwarzalność po utracie lokalnych plików. Git i hashe nie zastępują źródłowych bajtów.</x:v>
      </x:c>
      <x:c r="G16" s="59" t="str">
        <x:v>Zachować siedem publicznych archiwów wymienionych w docs/reproducibility.md poza komputerem i sprawdzić --verify-only; prywatne materiały skopiować osobno. Potwierdzić datę i zakres kopii, bez danych logowania.</x:v>
      </x:c>
      <x:c r="H16" s="59" t="str">
        <x:v>Utrzymać lokalne archiwum; nie deklarować istnienia niezależnej kopii.</x:v>
      </x:c>
      <x:c r="I16" s="59" t="str">
        <x:v>Użytkownik</x:v>
      </x:c>
      <x:c r="J16" s="60" t="n">
        <x:v>46282</x:v>
      </x:c>
      <x:c r="K16" s="59" t="str">
        <x:v>docs/reproducibility.md</x:v>
      </x:c>
      <x:c r="L16" s="59" t="str">
        <x:v>Nie otrzymano</x:v>
      </x:c>
    </x:row>
    <x:row r="17" ht="80" customHeight="1">
      <x:c r="A17" s="59" t="str">
        <x:v>NEED-011</x:v>
      </x:c>
      <x:c r="B17" s="59" t="str">
        <x:v>P0</x:v>
      </x:c>
      <x:c r="C17" s="59" t="str">
        <x:v>Publiczne PDF PGE: moce i plan rozwoju</x:v>
      </x:c>
      <x:c r="D17" s="59" t="str">
        <x:v>Do sprawdzenia</x:v>
      </x:c>
      <x:c r="E17" s="59" t="str">
        <x:v>Oryginalne pliki: Dostępne moce PGE I kw. 2026 oraz projekt planu rozwoju 2026–2031 do konsultacji, albo ich oficjalne nowsze wersje; zachować URL i datę pobrania.</x:v>
      </x:c>
      <x:c r="F17" s="59" t="str">
        <x:v>Odczyt grup mocy i inwestycji PGE wokół Radkowic. Nie zapewnia kompletnej listy projektów ani bieżącej mocy konkretnego GPZ.</x:v>
      </x:c>
      <x:c r="G17" s="59" t="str">
        <x:v>Jeśli pliki otwierają się w Twojej przeglądarce, pobrać je do osobnego folderu wejściowego projektu i podać lokalizację. Adresy obu dokumentów w docs/01_data_research.md, sekcja 16.09.2026. Bez logowania w moim imieniu i bez udostępniania haseł.</x:v>
      </x:c>
      <x:c r="H17" s="59" t="str">
        <x:v>Kontynuować PSE i BIP; dane PGE pozostają niezweryfikowane, brakujące moce UNKNOWN.</x:v>
      </x:c>
      <x:c r="I17" s="59" t="str">
        <x:v>Użytkownik; PGE</x:v>
      </x:c>
      <x:c r="J17" s="60" t="n">
        <x:v>46281</x:v>
      </x:c>
      <x:c r="K17" s="59" t="str">
        <x:v>data/catalog/pge_radkowice_access_2026-09-16.json; PGE_EXPORT_DISCOVERY; PGE_PLAN_DISCOVERY</x:v>
      </x:c>
      <x:c r="L17" s="59" t="str">
        <x:v>Nie otrzymano</x:v>
      </x:c>
    </x:row>
    <x:row r="18" ht="52" customHeight="1">
      <x:c r="A18" s="59" t="str">
        <x:v>NEED-012</x:v>
      </x:c>
      <x:c r="B18" s="59" t="str">
        <x:v>P1</x:v>
      </x:c>
      <x:c r="C18" s="59" t="str">
        <x:v>Pochodzenie i zasady użycia opracowania GIS</x:v>
      </x:c>
      <x:c r="D18" s="59" t="str">
        <x:v>Do sprawdzenia</x:v>
      </x:c>
      <x:c r="E18" s="59" t="str">
        <x:v>Autor kompilacji, licencja lub zgoda na wykorzystanie, zakres i daty pierwotnych danych.</x:v>
      </x:c>
      <x:c r="F18" s="59" t="str">
        <x:v>Ustalenie zasad wykorzystania historycznej warstwy w aplikacji.</x:v>
      </x:c>
      <x:c r="G18" s="59" t="str">
        <x:v>Użytkownik potwierdził, że to zebrane dane publiczne. Autor i warunki opracowania nieustalone; kontynuować lokalną analizę i sprawdzanie linków pierwotnych.</x:v>
      </x:c>
      <x:c r="H18" s="59" t="str">
        <x:v>Zachować niepewność, historię i ograniczony zakres wykorzystania.</x:v>
      </x:c>
      <x:c r="I18" s="59" t="str">
        <x:v>Użytkownik; autor opracowania lub projektant</x:v>
      </x:c>
      <x:c r="J18" s="60" t="n">
        <x:v>46281</x:v>
      </x:c>
      <x:c r="K18" s="59" t="str">
        <x:v>Rozmowa i przegląd materiałów otrzymanych 2026-09-16; docs/private_sources.md</x:v>
      </x:c>
      <x:c r="L18" s="59" t="str">
        <x:v>Nie otrzymano</x:v>
      </x:c>
    </x:row>
    <x:row r="19" ht="80" customHeight="1">
      <x:c r="A19" s="59" t="str">
        <x:v>NEED-013</x:v>
      </x:c>
      <x:c r="B19" s="59" t="str">
        <x:v>P1</x:v>
      </x:c>
      <x:c r="C19" s="59" t="str">
        <x:v>Obowiązujące rewizje dokumentacji mostu</x:v>
      </x:c>
      <x:c r="D19" s="59" t="str">
        <x:v>Do sprawdzenia</x:v>
      </x:c>
      <x:c r="E19" s="59" t="str">
        <x:v>Wykaz rewizji, zatwierdzeń, odstępstw i dokumentów nadrzędnych; uzgodniony projekt wykonawczy.</x:v>
      </x:c>
      <x:c r="F19" s="59" t="str">
        <x:v>Rozstrzygnięcie różnic między dokumentacją poglądową, wzorcową i docelową.</x:v>
      </x:c>
      <x:c r="G19" s="59" t="str">
        <x:v>Jeśli dostępne, przekazać wykaz aktualnych uzgodnień, zatwierdzoną specyfikację oraz spójne przypisanie pól między schematem, przekrojami i zestawieniem szaf. Szczegóły w prywatnym uzupełnieniu przeglądu z 17.09.2026; nie przesyłać ponownie całego pakietu.</x:v>
      </x:c>
      <x:c r="H19" s="59" t="str">
        <x:v>Zachować niepewność, historię i ograniczony zakres wykorzystania.</x:v>
      </x:c>
      <x:c r="I19" s="59" t="str">
        <x:v>Użytkownik; autor opracowania lub projektant</x:v>
      </x:c>
      <x:c r="J19" s="60" t="n">
        <x:v>46282</x:v>
      </x:c>
      <x:c r="K19" s="59" t="str">
        <x:v>Rozmowa i przegląd materiałów otrzymanych 2026-09-16; docs/private_sources.md</x:v>
      </x:c>
      <x:c r="L19" s="59" t="str">
        <x:v>Nie otrzymano</x:v>
      </x:c>
    </x:row>
    <x:row r="20" ht="52" customHeight="1">
      <x:c r="A20" s="59" t="str">
        <x:v>NEED-014</x:v>
      </x:c>
      <x:c r="B20" s="59" t="str">
        <x:v>P1</x:v>
      </x:c>
      <x:c r="C20" s="59" t="str">
        <x:v>Zakres i odbiór wymiany transformatora w Radkowicach</x:v>
      </x:c>
      <x:c r="D20" s="59" t="str">
        <x:v>Do sprawdzenia</x:v>
      </x:c>
      <x:c r="E20" s="59" t="str">
        <x:v>Identyfikator jednostki i zadania, zakres odbioru oraz potwierdzona data załączenia. Wyjaśnienie lat 2023 i 2025 w publikacjach PSE.</x:v>
      </x:c>
      <x:c r="F20" s="59" t="str">
        <x:v>Rozdzielenie zakończenia robót, formalnego zamknięcia i eksploatacji; nadal bez automatycznej rezerwy MW.</x:v>
      </x:c>
      <x:c r="G20" s="59" t="str">
        <x:v>Jeżeli dostępne, dostarczyć potwierdzenie operatora lub protokół odbioru z oznaczeniem jednostki; nie ponawiać prośby o analizę wpływu.</x:v>
      </x:c>
      <x:c r="H20" s="59" t="str">
        <x:v>Zachować obie deklaracje, nie wybierać daty ani dodatkowej mocy.</x:v>
      </x:c>
      <x:c r="I20" s="59" t="str">
        <x:v>Użytkownik; PSE</x:v>
      </x:c>
      <x:c r="J20" s="60" t="n">
        <x:v>46282</x:v>
      </x:c>
      <x:c r="K20" s="59" t="str">
        <x:v>PSE_IMPACT_REPORT_2023; PSE_INVESTMENTS_RADK; docs/16_radkowice_public_followup.md</x:v>
      </x:c>
      <x:c r="L20" s="59" t="str">
        <x:v>Nie otrzymano</x:v>
      </x:c>
    </x:row>
  </x:sheetData>
  <x:pageMargins left="0.7" right="0.7" top="0.75" bottom="0.75" header="0.3" footer="0.3"/>
  <x:tableParts count="1">
    <x:tablePart xmlns:r="http://schemas.openxmlformats.org/officeDocument/2006/relationships" r:id="Rf00eb43a8ffe47ad"/>
  </x:tableParts>
</x:worksheet>
</file>

<file path=xl/worksheets/sheet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4" hidden="0" customWidth="1"/>
    <x:col min="2" max="2" width="48" hidden="0" customWidth="1"/>
    <x:col min="3" max="3" width="18" hidden="0" customWidth="1"/>
    <x:col min="4" max="4" width="11" hidden="0" customWidth="1"/>
    <x:col min="5" max="5" width="18" hidden="0" customWidth="1"/>
    <x:col min="6" max="6" width="26" hidden="0" customWidth="1"/>
    <x:col min="7" max="7" width="28" hidden="0" customWidth="1"/>
    <x:col min="8" max="8" width="28" hidden="0" customWidth="1"/>
    <x:col min="9" max="9" width="65" hidden="0" customWidth="1"/>
    <x:col min="10" max="10" width="75" hidden="0" customWidth="1"/>
    <x:col min="11" max="11" width="65" hidden="0" customWidth="1"/>
    <x:col min="12" max="12" width="18" hidden="0" customWidth="1"/>
    <x:col min="13" max="13" width="18" hidden="0" customWidth="1"/>
    <x:col min="14" max="14" width="60" hidden="0" customWidth="1"/>
  </x:cols>
  <x:sheetData>
    <x:row r="1">
      <x:c r="A1" s="49"/>
      <x:c r="B1" s="49"/>
      <x:c r="C1" s="49"/>
      <x:c r="D1" s="49"/>
      <x:c r="E1" s="49"/>
      <x:c r="F1" s="49"/>
      <x:c r="G1" s="49"/>
      <x:c r="H1" s="49"/>
      <x:c r="I1" s="49"/>
      <x:c r="J1" s="49"/>
      <x:c r="K1" s="49"/>
      <x:c r="L1" s="49"/>
      <x:c r="M1" s="49"/>
      <x:c r="N1" s="49"/>
    </x:row>
    <x:row r="2" ht="30" customHeight="1">
      <x:c r="A2" s="50" t="str">
        <x:v>Rejestr zadań</x:v>
      </x:c>
      <x:c r="B2" s="49"/>
      <x:c r="C2" s="49"/>
      <x:c r="D2" s="49"/>
      <x:c r="E2" s="49"/>
      <x:c r="F2" s="49"/>
      <x:c r="G2" s="49"/>
      <x:c r="H2" s="49"/>
      <x:c r="I2" s="49"/>
      <x:c r="J2" s="49"/>
      <x:c r="K2" s="49"/>
      <x:c r="L2" s="49"/>
      <x:c r="M2" s="49"/>
      <x:c r="N2" s="49"/>
    </x:row>
    <x:row r="3">
      <x:c r="A3" s="51"/>
      <x:c r="B3" s="51"/>
      <x:c r="C3" s="51"/>
      <x:c r="D3" s="51"/>
      <x:c r="E3" s="51"/>
      <x:c r="F3" s="51"/>
      <x:c r="G3" s="51"/>
      <x:c r="H3" s="51"/>
      <x:c r="I3" s="51"/>
      <x:c r="J3" s="51"/>
      <x:c r="K3" s="51"/>
      <x:c r="L3" s="51"/>
      <x:c r="M3" s="51"/>
      <x:c r="N3" s="51"/>
    </x:row>
    <x:row r="4">
      <x:c r="A4" s="52" t="str">
        <x:v>Statusy: Complete = zrobione; In Progress = w toku; Not Started = do zrobienia; At Risk = zagrożone.</x:v>
      </x:c>
      <x:c r="B4" s="49"/>
      <x:c r="C4" s="49"/>
      <x:c r="D4" s="49"/>
      <x:c r="E4" s="49"/>
      <x:c r="F4" s="49"/>
      <x:c r="G4" s="49"/>
      <x:c r="H4" s="49"/>
      <x:c r="I4" s="49"/>
      <x:c r="J4" s="49"/>
      <x:c r="K4" s="49"/>
      <x:c r="L4" s="49"/>
      <x:c r="M4" s="49"/>
      <x:c r="N4" s="49"/>
    </x:row>
    <x:row r="5">
      <x:c r="A5" s="49"/>
      <x:c r="B5" s="49"/>
      <x:c r="C5" s="49"/>
      <x:c r="D5" s="49"/>
      <x:c r="E5" s="49"/>
      <x:c r="F5" s="49"/>
      <x:c r="G5" s="49"/>
      <x:c r="H5" s="49"/>
      <x:c r="I5" s="49"/>
      <x:c r="J5" s="49"/>
      <x:c r="K5" s="49"/>
      <x:c r="L5" s="49"/>
      <x:c r="M5" s="49"/>
      <x:c r="N5" s="49"/>
    </x:row>
    <x:row r="6" ht="34" customHeight="1">
      <x:c r="A6" s="58" t="str">
        <x:v>ID</x:v>
      </x:c>
      <x:c r="B6" s="58" t="str">
        <x:v>Zadanie</x:v>
      </x:c>
      <x:c r="C6" s="58" t="str">
        <x:v>Status</x:v>
      </x:c>
      <x:c r="D6" s="58" t="str">
        <x:v>Priorytet</x:v>
      </x:c>
      <x:c r="E6" s="58" t="str">
        <x:v>Etap</x:v>
      </x:c>
      <x:c r="F6" s="58" t="str">
        <x:v>Odpowiedzialność</x:v>
      </x:c>
      <x:c r="G6" s="58" t="str">
        <x:v>Zależności</x:v>
      </x:c>
      <x:c r="H6" s="58" t="str">
        <x:v>Nieukończone zależności</x:v>
      </x:c>
      <x:c r="I6" s="58" t="str">
        <x:v>Następny krok</x:v>
      </x:c>
      <x:c r="J6" s="58" t="str">
        <x:v>Kryterium zakończenia</x:v>
      </x:c>
      <x:c r="K6" s="58" t="str">
        <x:v>Ryzyko / uwaga</x:v>
      </x:c>
      <x:c r="L6" s="58" t="str">
        <x:v>Termin docelowy</x:v>
      </x:c>
      <x:c r="M6" s="58" t="str">
        <x:v>Zakończono</x:v>
      </x:c>
      <x:c r="N6" s="58" t="str">
        <x:v>Dowody i kontekst</x:v>
      </x:c>
    </x:row>
    <x:row r="7" ht="38" customHeight="1">
      <x:c r="A7" s="59" t="str">
        <x:v>KSE-001</x:v>
      </x:c>
      <x:c r="B7" s="59" t="str">
        <x:v>Research źródeł i granic dokładności</x:v>
      </x:c>
      <x:c r="C7" s="59" t="str">
        <x:v>Complete</x:v>
      </x:c>
      <x:c r="D7" s="59" t="str">
        <x:v>P0</x:v>
      </x:c>
      <x:c r="E7" s="59" t="str">
        <x:v>Research</x:v>
      </x:c>
      <x:c r="F7" s="59" t="str">
        <x:v>Codex</x:v>
      </x:c>
      <x:c r="G7" s="59" t="str">
        <x:v>Brak</x:v>
      </x:c>
      <x:c r="H7" s="59" t="str">
        <x:v>Brak</x:v>
      </x:c>
      <x:c r="I7" s="59" t="str">
        <x:v>Uzupełniać badanie po nowych ustaleniach.</x:v>
      </x:c>
      <x:c r="J7" s="59" t="str">
        <x:v>Raport odpowiada osobno dla SN, 110 i 220/400 kV; zawiera źródła i niewiadome.</x:v>
      </x:c>
      <x:c r="K7" s="59" t="str">
        <x:v>Brak dodatkowej uwagi</x:v>
      </x:c>
      <x:c r="L7" s="60"/>
      <x:c r="M7" s="60" t="n">
        <x:v>46275</x:v>
      </x:c>
      <x:c r="N7" s="59" t="str">
        <x:v>docs/01_data_research.md</x:v>
      </x:c>
    </x:row>
    <x:row r="8" ht="38" customHeight="1">
      <x:c r="A8" s="59" t="str">
        <x:v>KSE-002</x:v>
      </x:c>
      <x:c r="B8" s="59" t="str">
        <x:v>Katalog i kontrola próbek źródłowych</x:v>
      </x:c>
      <x:c r="C8" s="59" t="str">
        <x:v>Complete</x:v>
      </x:c>
      <x:c r="D8" s="59" t="str">
        <x:v>P0</x:v>
      </x:c>
      <x:c r="E8" s="59" t="str">
        <x:v>Research</x:v>
      </x:c>
      <x:c r="F8" s="59" t="str">
        <x:v>Codex</x:v>
      </x:c>
      <x:c r="G8" s="59" t="str">
        <x:v>KSE-001</x:v>
      </x:c>
      <x:c r="H8" s="59" t="str">
        <x:v>Brak</x:v>
      </x:c>
      <x:c r="I8" s="59" t="str">
        <x:v>Zachować historię kolejnych publikacji.</x:v>
      </x:c>
      <x:c r="J8" s="59" t="str">
        <x:v>Rejestr źródeł, status dostępu, daty, hashe próbek i raport kontroli są zapisane.</x:v>
      </x:c>
      <x:c r="K8" s="59" t="str">
        <x:v>Brak dodatkowej uwagi</x:v>
      </x:c>
      <x:c r="L8" s="60"/>
      <x:c r="M8" s="60" t="n">
        <x:v>46275</x:v>
      </x:c>
      <x:c r="N8" s="59" t="str">
        <x:v>data/catalog/data_sources.json
data/catalog/research_validation.json</x:v>
      </x:c>
    </x:row>
    <x:row r="9" ht="52" customHeight="1">
      <x:c r="A9" s="59" t="str">
        <x:v>KSE-003</x:v>
      </x:c>
      <x:c r="B9" s="59" t="str">
        <x:v>Git i odtwarzanie snapshotów</x:v>
      </x:c>
      <x:c r="C9" s="59" t="str">
        <x:v>Complete</x:v>
      </x:c>
      <x:c r="D9" s="59" t="str">
        <x:v>P0</x:v>
      </x:c>
      <x:c r="E9" s="59" t="str">
        <x:v>Organizacja</x:v>
      </x:c>
      <x:c r="F9" s="59" t="str">
        <x:v>Codex</x:v>
      </x:c>
      <x:c r="G9" s="59" t="str">
        <x:v>Brak</x:v>
      </x:c>
      <x:c r="H9" s="59" t="str">
        <x:v>Brak</x:v>
      </x:c>
      <x:c r="I9" s="59" t="str">
        <x:v>Utrzymywać pary ZIP–manifest. 16.09 sprawdzono odtwarzanie sześciu archiwów (42 elementy), wybór manifestu i kontrolę bez zapisu; kopia zewnętrzna osobno w KSE-030.</x:v>
      </x:c>
      <x:c r="J9" s="59" t="str">
        <x:v>Lokalna historia Git i archiwum z hashami; test odtworzenia przechodzi. Nie oznacza wykonania zewnętrznej kopii.</x:v>
      </x:c>
      <x:c r="K9" s="59" t="str">
        <x:v>Brak dodatkowej uwagi</x:v>
      </x:c>
      <x:c r="L9" s="60"/>
      <x:c r="M9" s="60" t="n">
        <x:v>46275</x:v>
      </x:c>
      <x:c r="N9" s="59" t="str">
        <x:v>docs/reproducibility.md
scripts/research_archive.py
tests/test_research_archive.py</x:v>
      </x:c>
    </x:row>
    <x:row r="10" ht="38" customHeight="1">
      <x:c r="A10" s="59" t="str">
        <x:v>KSE-004</x:v>
      </x:c>
      <x:c r="B10" s="59" t="str">
        <x:v>Wykluczenie lokalnych sekretów z Git</x:v>
      </x:c>
      <x:c r="C10" s="59" t="str">
        <x:v>Complete</x:v>
      </x:c>
      <x:c r="D10" s="59" t="str">
        <x:v>P0</x:v>
      </x:c>
      <x:c r="E10" s="59" t="str">
        <x:v>Organizacja</x:v>
      </x:c>
      <x:c r="F10" s="59" t="str">
        <x:v>Codex</x:v>
      </x:c>
      <x:c r="G10" s="59" t="str">
        <x:v>Brak</x:v>
      </x:c>
      <x:c r="H10" s="59" t="str">
        <x:v>Brak</x:v>
      </x:c>
      <x:c r="I10" s="59" t="str">
        <x:v>Utrzymać wykluczenie w raportach i backupach źródeł.</x:v>
      </x:c>
      <x:c r="J10" s="59" t="str">
        <x:v>_secrets nie jest śledzony ani automatycznie odczytywany przez generatory.</x:v>
      </x:c>
      <x:c r="K10" s="59" t="str">
        <x:v>Brak dodatkowej uwagi</x:v>
      </x:c>
      <x:c r="L10" s="60"/>
      <x:c r="M10" s="60" t="n">
        <x:v>46275</x:v>
      </x:c>
      <x:c r="N10" s="59" t="str">
        <x:v>.gitignore</x:v>
      </x:c>
    </x:row>
    <x:row r="11" ht="38" customHeight="1">
      <x:c r="A11" s="59" t="str">
        <x:v>KSE-005</x:v>
      </x:c>
      <x:c r="B11" s="59" t="str">
        <x:v>Specyfikacja pipeline wybranego GPZ</x:v>
      </x:c>
      <x:c r="C11" s="59" t="str">
        <x:v>Complete</x:v>
      </x:c>
      <x:c r="D11" s="59" t="str">
        <x:v>P0</x:v>
      </x:c>
      <x:c r="E11" s="59" t="str">
        <x:v>Produkt</x:v>
      </x:c>
      <x:c r="F11" s="59" t="str">
        <x:v>Codex</x:v>
      </x:c>
      <x:c r="G11" s="59" t="str">
        <x:v>KSE-001</x:v>
      </x:c>
      <x:c r="H11" s="59" t="str">
        <x:v>Brak</x:v>
      </x:c>
      <x:c r="I11" s="59" t="str">
        <x:v>Przenieść reguły do modelu i testów pilota.</x:v>
      </x:c>
      <x:c r="J11" s="59" t="str">
        <x:v>Grupy przyłączone / planowane / oczekujące, status nieznany, deduplikacja i kierunki są opisane.</x:v>
      </x:c>
      <x:c r="K11" s="59" t="str">
        <x:v>Brak dodatkowej uwagi</x:v>
      </x:c>
      <x:c r="L11" s="60"/>
      <x:c r="M11" s="60" t="n">
        <x:v>46275</x:v>
      </x:c>
      <x:c r="N11" s="59" t="str">
        <x:v>docs/gpz_pipeline.md</x:v>
      </x:c>
    </x:row>
    <x:row r="12" ht="52" customHeight="1">
      <x:c r="A12" s="59" t="str">
        <x:v>KSE-006</x:v>
      </x:c>
      <x:c r="B12" s="59" t="str">
        <x:v>TODO i generator pełnego raportu Excel</x:v>
      </x:c>
      <x:c r="C12" s="59" t="str">
        <x:v>Complete</x:v>
      </x:c>
      <x:c r="D12" s="59" t="str">
        <x:v>P0</x:v>
      </x:c>
      <x:c r="E12" s="59" t="str">
        <x:v>Organizacja</x:v>
      </x:c>
      <x:c r="F12" s="59" t="str">
        <x:v>Codex</x:v>
      </x:c>
      <x:c r="G12" s="59" t="str">
        <x:v>KSE-002</x:v>
      </x:c>
      <x:c r="H12" s="59" t="str">
        <x:v>Brak</x:v>
      </x:c>
      <x:c r="I12" s="59" t="str">
        <x:v>Aktualizować rejestr po wykonanych pracach i generować raport po ważnych zmianach.</x:v>
      </x:c>
      <x:c r="J12" s="59" t="str">
        <x:v>TODO ma stabilne ID i zależności; skrypt tworzy szczegółowy XLSX z bieżących plików bez sekretów; testy przechodzą.</x:v>
      </x:c>
      <x:c r="K12" s="59" t="str">
        <x:v>Brak dodatkowej uwagi</x:v>
      </x:c>
      <x:c r="L12" s="60"/>
      <x:c r="M12" s="60" t="n">
        <x:v>46276</x:v>
      </x:c>
      <x:c r="N12" s="59" t="str">
        <x:v>scripts/generate_project_report.ps1
scripts/validate_project_report.py
tests/test_report_data.mjs
docs/project_reporting.md</x:v>
      </x:c>
    </x:row>
    <x:row r="13" ht="38" customHeight="1">
      <x:c r="A13" s="59" t="str">
        <x:v>KSE-007</x:v>
      </x:c>
      <x:c r="B13" s="59" t="str">
        <x:v>Ustalić zakres i kryteria MVP</x:v>
      </x:c>
      <x:c r="C13" s="59" t="str">
        <x:v>Complete</x:v>
      </x:c>
      <x:c r="D13" s="59" t="str">
        <x:v>P0</x:v>
      </x:c>
      <x:c r="E13" s="59" t="str">
        <x:v>Produkt</x:v>
      </x:c>
      <x:c r="F13" s="59" t="str">
        <x:v>Użytkownik + Codex</x:v>
      </x:c>
      <x:c r="G13" s="59" t="str">
        <x:v>KSE-001, KSE-005</x:v>
      </x:c>
      <x:c r="H13" s="59" t="str">
        <x:v>Brak</x:v>
      </x:c>
      <x:c r="I13" s="59" t="str">
        <x:v>Realizować pilot dokumentacyjny Radkowic według zapisanych kryteriów; rozszerzenia uzgadniać osobno.</x:v>
      </x:c>
      <x:c r="J13" s="59" t="str">
        <x:v>Zapisany zakres pilota, mierzalne kryteria odbioru i wyłączenia bez obietnicy nieuzasadnionych MW/probability.</x:v>
      </x:c>
      <x:c r="K13" s="59" t="str">
        <x:v>Brak dodatkowej uwagi</x:v>
      </x:c>
      <x:c r="L13" s="60"/>
      <x:c r="M13" s="60" t="n">
        <x:v>46276</x:v>
      </x:c>
      <x:c r="N13" s="59" t="str">
        <x:v>docs/02_feasibility_matrix.md
docs/08_roadmap.md
docs/09_pilot_scope.md</x:v>
      </x:c>
    </x:row>
    <x:row r="14" ht="52" customHeight="1">
      <x:c r="A14" s="59" t="str">
        <x:v>KSE-008</x:v>
      </x:c>
      <x:c r="B14" s="59" t="str">
        <x:v>Wyjaśnić konflikt dat Energi</x:v>
      </x:c>
      <x:c r="C14" s="59" t="str">
        <x:v>Complete</x:v>
      </x:c>
      <x:c r="D14" s="59" t="str">
        <x:v>P0</x:v>
      </x:c>
      <x:c r="E14" s="59" t="str">
        <x:v>Dane</x:v>
      </x:c>
      <x:c r="F14" s="59" t="str">
        <x:v>Codex</x:v>
      </x:c>
      <x:c r="G14" s="59" t="str">
        <x:v>KSE-002</x:v>
      </x:c>
      <x:c r="H14" s="59" t="str">
        <x:v>Brak</x:v>
      </x:c>
      <x:c r="I14" s="59" t="str">
        <x:v>Utrzymać kwarantannę do uzyskania spójnej publikacji lub wyjaśnienia operatora.</x:v>
      </x:c>
      <x:c r="J14" s="59" t="str">
        <x:v>Udokumentowane rozstrzygnięcie lub kwarantanna konfliktowej daty, bez nadpisania źródła.</x:v>
      </x:c>
      <x:c r="K14" s="59" t="str">
        <x:v>Konflikt dat pozostaje nierozstrzygnięty; ukończono kontrolę i kwarantannę.</x:v>
      </x:c>
      <x:c r="L14" s="60"/>
      <x:c r="M14" s="60" t="n">
        <x:v>46276</x:v>
      </x:c>
      <x:c r="N14" s="59" t="str">
        <x:v>docs/07_data_quality.md
connectors/energa/date_quality.py
tests/test_energa_date_quality.py
data/catalog/energa_date_review_2026-09-11.json</x:v>
      </x:c>
    </x:row>
    <x:row r="15" ht="52" customHeight="1">
      <x:c r="A15" s="59" t="str">
        <x:v>KSE-009</x:v>
      </x:c>
      <x:c r="B15" s="59" t="str">
        <x:v>Zweryfikować dostęp do publikacji PGE</x:v>
      </x:c>
      <x:c r="C15" s="59" t="str">
        <x:v>At Risk</x:v>
      </x:c>
      <x:c r="D15" s="59" t="str">
        <x:v>P0</x:v>
      </x:c>
      <x:c r="E15" s="59" t="str">
        <x:v>Dane</x:v>
      </x:c>
      <x:c r="F15" s="59" t="str">
        <x:v>Codex</x:v>
      </x:c>
      <x:c r="G15" s="59" t="str">
        <x:v>KSE-002</x:v>
      </x:c>
      <x:c r="H15" s="59" t="str">
        <x:v>Brak</x:v>
      </x:c>
      <x:c r="I15" s="59" t="str">
        <x:v>16.09 ponownie otrzymano HTML zamiast dwóch PDF. Konkretna pomoc zapisana jako NEED-011; nadal bez danych mocy PGE w modelu.</x:v>
      </x:c>
      <x:c r="J15" s="59" t="str">
        <x:v>Odczytana próbka z datą i prawami albo udokumentowane utrzymanie blokady.</x:v>
      </x:c>
      <x:c r="K15" s="59" t="str">
        <x:v>HTTP 200 zwracał stronę odrzucenia zamiast danych.</x:v>
      </x:c>
      <x:c r="L15" s="60"/>
      <x:c r="M15" s="60"/>
      <x:c r="N15" s="59" t="str">
        <x:v>docs/discovery_log.md
data/catalog/pge_radkowice_access_2026-09-11.json</x:v>
      </x:c>
    </x:row>
    <x:row r="16" ht="38" customHeight="1">
      <x:c r="A16" s="59" t="str">
        <x:v>KSE-010</x:v>
      </x:c>
      <x:c r="B16" s="59" t="str">
        <x:v>Ustalić prawa źródeł wybranych do pilota</x:v>
      </x:c>
      <x:c r="C16" s="59" t="str">
        <x:v>Not Started</x:v>
      </x:c>
      <x:c r="D16" s="59" t="str">
        <x:v>P0</x:v>
      </x:c>
      <x:c r="E16" s="59" t="str">
        <x:v>Dane</x:v>
      </x:c>
      <x:c r="F16" s="59" t="str">
        <x:v>Użytkownik + Codex</x:v>
      </x:c>
      <x:c r="G16" s="59" t="str">
        <x:v>KSE-007</x:v>
      </x:c>
      <x:c r="H16" s="59" t="str">
        <x:v>Brak</x:v>
      </x:c>
      <x:c r="I16" s="59" t="str">
        <x:v>Sprawdzić podstawę wykorzystania XLSX PSE, portalu inwestycji i BIP Chęcin dla pilota Radkowic.</x:v>
      </x:c>
      <x:c r="J16" s="59" t="str">
        <x:v>Każde źródło pilota ma rozstrzygniętą podstawę użycia lub jest wyłączone. Kontakt z operatorem wymaga zlecenia użytkownika.</x:v>
      </x:c>
      <x:c r="K16" s="59" t="str">
        <x:v>Publiczny dostęp nie rozstrzyga komercyjnego wykorzystania; zastrzeżenia Stoen.</x:v>
      </x:c>
      <x:c r="L16" s="60"/>
      <x:c r="M16" s="60"/>
      <x:c r="N16" s="59" t="str">
        <x:v>docs/01_data_research.md</x:v>
      </x:c>
    </x:row>
    <x:row r="17" ht="38" customHeight="1">
      <x:c r="A17" s="59" t="str">
        <x:v>KSE-011</x:v>
      </x:c>
      <x:c r="B17" s="59" t="str">
        <x:v>Przetestować uwierzytelnione API ENTSO-E</x:v>
      </x:c>
      <x:c r="C17" s="59" t="str">
        <x:v>Not Started</x:v>
      </x:c>
      <x:c r="D17" s="59" t="str">
        <x:v>P1</x:v>
      </x:c>
      <x:c r="E17" s="59" t="str">
        <x:v>Dane</x:v>
      </x:c>
      <x:c r="F17" s="59" t="str">
        <x:v>Codex</x:v>
      </x:c>
      <x:c r="G17" s="59" t="str">
        <x:v>KSE-004</x:v>
      </x:c>
      <x:c r="H17" s="59" t="str">
        <x:v>Brak</x:v>
      </x:c>
      <x:c r="I17" s="59" t="str">
        <x:v>W odrębnym kroku wykonać małe zapytanie z lokalnym poświadczeniem, bez logowania tokenu.</x:v>
      </x:c>
      <x:c r="J17" s="59" t="str">
        <x:v>Próbka XML i opis zakresu, dat, limitów i praw; żadnych sekretów w URL manifestu, logach ani Git.</x:v>
      </x:c>
      <x:c r="K17" s="59" t="str">
        <x:v>Dostarczenie klucza nie jest dowodem jego działania; test jeszcze niewykonany.</x:v>
      </x:c>
      <x:c r="L17" s="60"/>
      <x:c r="M17" s="60"/>
      <x:c r="N17" s="59" t="str">
        <x:v>docs/01_data_research.md</x:v>
      </x:c>
    </x:row>
    <x:row r="18" ht="38" customHeight="1">
      <x:c r="A18" s="59" t="str">
        <x:v>KSE-012</x:v>
      </x:c>
      <x:c r="B18" s="59" t="str">
        <x:v>Potwierdzić eksport ENEA i TAURON</x:v>
      </x:c>
      <x:c r="C18" s="59" t="str">
        <x:v>Not Started</x:v>
      </x:c>
      <x:c r="D18" s="59" t="str">
        <x:v>P1</x:v>
      </x:c>
      <x:c r="E18" s="59" t="str">
        <x:v>Dane</x:v>
      </x:c>
      <x:c r="F18" s="59" t="str">
        <x:v>Codex</x:v>
      </x:c>
      <x:c r="G18" s="59" t="str">
        <x:v>KSE-002</x:v>
      </x:c>
      <x:c r="H18" s="59" t="str">
        <x:v>Brak</x:v>
      </x:c>
      <x:c r="I18" s="59" t="str">
        <x:v>Sprawdzić dokumentowane pliki/API portali i dopuszczalny sposób pobierania.</x:v>
      </x:c>
      <x:c r="J18" s="59" t="str">
        <x:v>Mała poprawna próbka z trwałego kanału lub jawny brak potwierdzonego eksportu.</x:v>
      </x:c>
      <x:c r="K18" s="59" t="str">
        <x:v>Brak dodatkowej uwagi</x:v>
      </x:c>
      <x:c r="L18" s="60"/>
      <x:c r="M18" s="60"/>
      <x:c r="N18" s="59" t="str">
        <x:v>docs/discovery_log.md</x:v>
      </x:c>
    </x:row>
    <x:row r="19" ht="66" customHeight="1">
      <x:c r="A19" s="59" t="str">
        <x:v>KSE-013</x:v>
      </x:c>
      <x:c r="B19" s="59" t="str">
        <x:v>Wybrać stację i obszar pilota</x:v>
      </x:c>
      <x:c r="C19" s="59" t="str">
        <x:v>In Progress</x:v>
      </x:c>
      <x:c r="D19" s="59" t="str">
        <x:v>P0</x:v>
      </x:c>
      <x:c r="E19" s="59" t="str">
        <x:v>Produkt</x:v>
      </x:c>
      <x:c r="F19" s="59" t="str">
        <x:v>Użytkownik + Codex</x:v>
      </x:c>
      <x:c r="G19" s="59" t="str">
        <x:v>KSE-007, KSE-010</x:v>
      </x:c>
      <x:c r="H19" s="59" t="str">
        <x:v>KSE-010</x:v>
      </x:c>
      <x:c r="I19" s="59" t="str">
        <x:v>Potwierdzić granice PSE/PGE i prawa źródeł; relacja 110 kV Radkowice–Wolica ma dowód administracyjny.</x:v>
      </x:c>
      <x:c r="J19" s="59" t="str">
        <x:v>Rzeczywisty GPZ, udokumentowane powiązania, projekty i inwestycje; wybór uzasadniony dowodami.</x:v>
      </x:c>
      <x:c r="K19" s="59" t="str">
        <x:v>Brak potwierdzonych granic własności i kompletnego pipeline PGE; prawa źródeł nadal otwarte.</x:v>
      </x:c>
      <x:c r="L19" s="60"/>
      <x:c r="M19" s="60"/>
      <x:c r="N19" s="59" t="str">
        <x:v>docs/08_roadmap.md
docs/10_radkowice_pilot.md
data/reference/radkowice_pse_projects_2026-07-31.json
docs/11_radkowice_evidence_model.md
docs/12_radkowice_110kv_research.md</x:v>
      </x:c>
    </x:row>
    <x:row r="20" ht="38" customHeight="1">
      <x:c r="A20" s="59" t="str">
        <x:v>KSE-014</x:v>
      </x:c>
      <x:c r="B20" s="59" t="str">
        <x:v>Zaprojektować model i architekturę pilota</x:v>
      </x:c>
      <x:c r="C20" s="59" t="str">
        <x:v>Not Started</x:v>
      </x:c>
      <x:c r="D20" s="59" t="str">
        <x:v>P0</x:v>
      </x:c>
      <x:c r="E20" s="59" t="str">
        <x:v>Model</x:v>
      </x:c>
      <x:c r="F20" s="59" t="str">
        <x:v>Codex</x:v>
      </x:c>
      <x:c r="G20" s="59" t="str">
        <x:v>KSE-013</x:v>
      </x:c>
      <x:c r="H20" s="59" t="str">
        <x:v>KSE-013</x:v>
      </x:c>
      <x:c r="I20" s="59" t="str">
        <x:v>Uszczegółowić obserwacje, wnioski, projekty, grupy mocy, historię i relacje.</x:v>
      </x:c>
      <x:c r="J20" s="59" t="str">
        <x:v>Schemat, kontrakty walidacji i decyzja architektury; BESS/PCC, statusy i daty rozdzielone.</x:v>
      </x:c>
      <x:c r="K20" s="59" t="str">
        <x:v>Brak dodatkowej uwagi</x:v>
      </x:c>
      <x:c r="L20" s="60"/>
      <x:c r="M20" s="60"/>
      <x:c r="N20" s="59" t="str">
        <x:v>docs/03_system_architecture.md
docs/04_data_model.md</x:v>
      </x:c>
    </x:row>
    <x:row r="21" ht="38" customHeight="1">
      <x:c r="A21" s="59" t="str">
        <x:v>KSE-015</x:v>
      </x:c>
      <x:c r="B21" s="59" t="str">
        <x:v>Connector pipeline PSE XLSX</x:v>
      </x:c>
      <x:c r="C21" s="59" t="str">
        <x:v>Not Started</x:v>
      </x:c>
      <x:c r="D21" s="59" t="str">
        <x:v>P0</x:v>
      </x:c>
      <x:c r="E21" s="59" t="str">
        <x:v>Connectory</x:v>
      </x:c>
      <x:c r="F21" s="59" t="str">
        <x:v>Codex</x:v>
      </x:c>
      <x:c r="G21" s="59" t="str">
        <x:v>KSE-014, KSE-010</x:v>
      </x:c>
      <x:c r="H21" s="59" t="str">
        <x:v>KSE-014, KSE-010</x:v>
      </x:c>
      <x:c r="I21" s="59" t="str">
        <x:v>Wdrożyć fetch/parse/normalize/validate/store na rzeczywistych próbkach.</x:v>
      </x:c>
      <x:c r="J21" s="59" t="str">
        <x:v>Testy nagłówków, jednostek, dat, braków i zmian formatu; każdy rekord wskazuje arkusz/wiersz i snapshot.</x:v>
      </x:c>
      <x:c r="K21" s="59" t="str">
        <x:v>Brak dodatkowej uwagi</x:v>
      </x:c>
      <x:c r="L21" s="60"/>
      <x:c r="M21" s="60"/>
      <x:c r="N21" s="59" t="str">
        <x:v>data/catalog/data_sources.json</x:v>
      </x:c>
    </x:row>
    <x:row r="22" ht="38" customHeight="1">
      <x:c r="A22" s="59" t="str">
        <x:v>KSE-016</x:v>
      </x:c>
      <x:c r="B22" s="59" t="str">
        <x:v>Connector dokumentów OSD pilota</x:v>
      </x:c>
      <x:c r="C22" s="59" t="str">
        <x:v>Not Started</x:v>
      </x:c>
      <x:c r="D22" s="59" t="str">
        <x:v>P0</x:v>
      </x:c>
      <x:c r="E22" s="59" t="str">
        <x:v>Connectory</x:v>
      </x:c>
      <x:c r="F22" s="59" t="str">
        <x:v>Codex</x:v>
      </x:c>
      <x:c r="G22" s="59" t="str">
        <x:v>KSE-014, KSE-010</x:v>
      </x:c>
      <x:c r="H22" s="59" t="str">
        <x:v>KSE-014, KSE-010</x:v>
      </x:c>
      <x:c r="I22" s="59" t="str">
        <x:v>Wybrać właściwe publikacje importu, eksportu i pipeline.</x:v>
      </x:c>
      <x:c r="J22" s="59" t="str">
        <x:v>Poprawny odczyt tabel i scenariuszy; konflikty dat i nieznane wartości nie trafiają po cichu do agregacji.</x:v>
      </x:c>
      <x:c r="K22" s="59" t="str">
        <x:v>Brak dodatkowej uwagi</x:v>
      </x:c>
      <x:c r="L22" s="60"/>
      <x:c r="M22" s="60"/>
      <x:c r="N22" s="59" t="str">
        <x:v>docs/07_data_quality.md</x:v>
      </x:c>
    </x:row>
    <x:row r="23" ht="38" customHeight="1">
      <x:c r="A23" s="59" t="str">
        <x:v>KSE-017</x:v>
      </x:c>
      <x:c r="B23" s="59" t="str">
        <x:v>Canonical ID i deduplikacja projektów</x:v>
      </x:c>
      <x:c r="C23" s="59" t="str">
        <x:v>Not Started</x:v>
      </x:c>
      <x:c r="D23" s="59" t="str">
        <x:v>P0</x:v>
      </x:c>
      <x:c r="E23" s="59" t="str">
        <x:v>Model</x:v>
      </x:c>
      <x:c r="F23" s="59" t="str">
        <x:v>Codex</x:v>
      </x:c>
      <x:c r="G23" s="59" t="str">
        <x:v>KSE-015, KSE-016</x:v>
      </x:c>
      <x:c r="H23" s="59" t="str">
        <x:v>KSE-015, KSE-016</x:v>
      </x:c>
      <x:c r="I23" s="59" t="str">
        <x:v>Rozdzielić inwestycję, wniosek i historię etapów; sprawdzać operatora, napięcie i aliasy.</x:v>
      </x:c>
      <x:c r="J23" s="59" t="str">
        <x:v>Przypadki wielu wniosków i nazw nie podwajają projektów; niejednoznaczne dopasowania pozostają jawne.</x:v>
      </x:c>
      <x:c r="K23" s="59" t="str">
        <x:v>Brak dodatkowej uwagi</x:v>
      </x:c>
      <x:c r="L23" s="60"/>
      <x:c r="M23" s="60"/>
      <x:c r="N23" s="59" t="str">
        <x:v>docs/gpz_pipeline.md</x:v>
      </x:c>
    </x:row>
    <x:row r="24" ht="38" customHeight="1">
      <x:c r="A24" s="59" t="str">
        <x:v>KSE-018</x:v>
      </x:c>
      <x:c r="B24" s="59" t="str">
        <x:v>Graf referencyjny pilota</x:v>
      </x:c>
      <x:c r="C24" s="59" t="str">
        <x:v>Not Started</x:v>
      </x:c>
      <x:c r="D24" s="59" t="str">
        <x:v>P0</x:v>
      </x:c>
      <x:c r="E24" s="59" t="str">
        <x:v>Topologia</x:v>
      </x:c>
      <x:c r="F24" s="59" t="str">
        <x:v>Codex</x:v>
      </x:c>
      <x:c r="G24" s="59" t="str">
        <x:v>KSE-017</x:v>
      </x:c>
      <x:c r="H24" s="59" t="str">
        <x:v>KSE-017</x:v>
      </x:c>
      <x:c r="I24" s="59" t="str">
        <x:v>Połączyć udokumentowane stacje, linie, transformację i projekty.</x:v>
      </x:c>
      <x:c r="J24" s="59" t="str">
        <x:v>Każda krawędź ma dowód, czas i pewność; brak sztucznego domykania grafu po odległości.</x:v>
      </x:c>
      <x:c r="K24" s="59" t="str">
        <x:v>Brak dodatkowej uwagi</x:v>
      </x:c>
      <x:c r="L24" s="60"/>
      <x:c r="M24" s="60"/>
      <x:c r="N24" s="59" t="str">
        <x:v>docs/04_data_model.md</x:v>
      </x:c>
    </x:row>
    <x:row r="25" ht="38" customHeight="1">
      <x:c r="A25" s="59" t="str">
        <x:v>KSE-019</x:v>
      </x:c>
      <x:c r="B25" s="59" t="str">
        <x:v>BIP i inwestycje w obszarze pilota</x:v>
      </x:c>
      <x:c r="C25" s="59" t="str">
        <x:v>Not Started</x:v>
      </x:c>
      <x:c r="D25" s="59" t="str">
        <x:v>P1</x:v>
      </x:c>
      <x:c r="E25" s="59" t="str">
        <x:v>Dane</x:v>
      </x:c>
      <x:c r="F25" s="59" t="str">
        <x:v>Codex</x:v>
      </x:c>
      <x:c r="G25" s="59" t="str">
        <x:v>KSE-013, KSE-010</x:v>
      </x:c>
      <x:c r="H25" s="59" t="str">
        <x:v>KSE-013, KSE-010</x:v>
      </x:c>
      <x:c r="I25" s="59" t="str">
        <x:v>Sprawdzić aktualne rejestry właściwych organów i dokumenty planów operatorów.</x:v>
      </x:c>
      <x:c r="J25" s="59" t="str">
        <x:v>Źródła z datami i prawami; etap administracyjny nie jest automatycznie WP ani budową.</x:v>
      </x:c>
      <x:c r="K25" s="59" t="str">
        <x:v>Brak dodatkowej uwagi</x:v>
      </x:c>
      <x:c r="L25" s="60"/>
      <x:c r="M25" s="60"/>
      <x:c r="N25" s="59" t="str">
        <x:v>docs/discovery_log.md</x:v>
      </x:c>
    </x:row>
    <x:row r="26" ht="38" customHeight="1">
      <x:c r="A26" s="59" t="str">
        <x:v>KSE-020</x:v>
      </x:c>
      <x:c r="B26" s="59" t="str">
        <x:v>Warstwy GIS i kontrola CRS</x:v>
      </x:c>
      <x:c r="C26" s="59" t="str">
        <x:v>Not Started</x:v>
      </x:c>
      <x:c r="D26" s="59" t="str">
        <x:v>P1</x:v>
      </x:c>
      <x:c r="E26" s="59" t="str">
        <x:v>GIS</x:v>
      </x:c>
      <x:c r="F26" s="59" t="str">
        <x:v>Codex</x:v>
      </x:c>
      <x:c r="G26" s="59" t="str">
        <x:v>KSE-013, KSE-010</x:v>
      </x:c>
      <x:c r="H26" s="59" t="str">
        <x:v>KSE-013, KSE-010</x:v>
      </x:c>
      <x:c r="I26" s="59" t="str">
        <x:v>Pobrać małe wycinki działek, topografii i ograniczeń przyrodniczych.</x:v>
      </x:c>
      <x:c r="J26" s="59" t="str">
        <x:v>GetFeature/pakiety sprawdzone, poprawne CRS i geometrie; prawa i daty zachowane.</x:v>
      </x:c>
      <x:c r="K26" s="59" t="str">
        <x:v>Brak dodatkowej uwagi</x:v>
      </x:c>
      <x:c r="L26" s="60"/>
      <x:c r="M26" s="60"/>
      <x:c r="N26" s="59" t="str">
        <x:v>docs/01_data_research.md</x:v>
      </x:c>
    </x:row>
    <x:row r="27" ht="66" customHeight="1">
      <x:c r="A27" s="59" t="str">
        <x:v>KSE-021</x:v>
      </x:c>
      <x:c r="B27" s="59" t="str">
        <x:v>Zestawienie projektów A/B/C dla GPZ</x:v>
      </x:c>
      <x:c r="C27" s="59" t="str">
        <x:v>Not Started</x:v>
      </x:c>
      <x:c r="D27" s="59" t="str">
        <x:v>P0</x:v>
      </x:c>
      <x:c r="E27" s="59" t="str">
        <x:v>Analityka</x:v>
      </x:c>
      <x:c r="F27" s="59" t="str">
        <x:v>Codex</x:v>
      </x:c>
      <x:c r="G27" s="59" t="str">
        <x:v>KSE-017, KSE-018</x:v>
      </x:c>
      <x:c r="H27" s="59" t="str">
        <x:v>KSE-017, KSE-018</x:v>
      </x:c>
      <x:c r="I27" s="59" t="str">
        <x:v>Uwzględnić rozróżnienie weryfikacji, analizy technicznej i wniosku niekompletnego. Audit PSE na 31.07: 17/97/1 wierszy w tych etapach, bez dodatkowych trafień Radkowic. Nadal potrzebne deduplikacja i źródła PGE.</x:v>
      </x:c>
      <x:c r="J27" s="59" t="str">
        <x:v>Potwierdzone przyłączenie, plan i oczekiwanie odróżnione; deduplikacja i kierunkowe sumy z pokryciem.</x:v>
      </x:c>
      <x:c r="K27" s="59" t="str">
        <x:v>Brak dodatkowej uwagi</x:v>
      </x:c>
      <x:c r="L27" s="60"/>
      <x:c r="M27" s="60"/>
      <x:c r="N27" s="59" t="str">
        <x:v>docs/gpz_pipeline.md
scripts/build_radkowice_pipeline.py
tests/test_radkowice_pipeline.py
data/reference/radkowice_pipeline_view_2026-07-31_v1.json</x:v>
      </x:c>
    </x:row>
    <x:row r="28" ht="38" customHeight="1">
      <x:c r="A28" s="59" t="str">
        <x:v>KSE-022</x:v>
      </x:c>
      <x:c r="B28" s="59" t="str">
        <x:v>Screening BESS i hybryd z PCC</x:v>
      </x:c>
      <x:c r="C28" s="59" t="str">
        <x:v>Not Started</x:v>
      </x:c>
      <x:c r="D28" s="59" t="str">
        <x:v>P0</x:v>
      </x:c>
      <x:c r="E28" s="59" t="str">
        <x:v>Analityka</x:v>
      </x:c>
      <x:c r="F28" s="59" t="str">
        <x:v>Codex</x:v>
      </x:c>
      <x:c r="G28" s="59" t="str">
        <x:v>KSE-021</x:v>
      </x:c>
      <x:c r="H28" s="59" t="str">
        <x:v>KSE-021</x:v>
      </x:c>
      <x:c r="I28" s="59" t="str">
        <x:v>Połączyć parametry projektu z faktami, ograniczeniami i niewiadomymi.</x:v>
      </x:c>
      <x:c r="J28" s="59" t="str">
        <x:v>Ładowanie/rozładowanie osobno; limity PCC zachowane; brak arbitralnej rezerwy MW i score.</x:v>
      </x:c>
      <x:c r="K28" s="59" t="str">
        <x:v>Brak dodatkowej uwagi</x:v>
      </x:c>
      <x:c r="L28" s="60"/>
      <x:c r="M28" s="60"/>
      <x:c r="N28" s="59" t="str">
        <x:v>docs/05_grid_capacity_methodology.md</x:v>
      </x:c>
    </x:row>
    <x:row r="29" ht="38" customHeight="1">
      <x:c r="A29" s="59" t="str">
        <x:v>KSE-023</x:v>
      </x:c>
      <x:c r="B29" s="59" t="str">
        <x:v>Walidacja pilota na niezależnych dowodach</x:v>
      </x:c>
      <x:c r="C29" s="59" t="str">
        <x:v>Not Started</x:v>
      </x:c>
      <x:c r="D29" s="59" t="str">
        <x:v>P0</x:v>
      </x:c>
      <x:c r="E29" s="59" t="str">
        <x:v>Walidacja</x:v>
      </x:c>
      <x:c r="F29" s="59" t="str">
        <x:v>Użytkownik + Codex</x:v>
      </x:c>
      <x:c r="G29" s="59" t="str">
        <x:v>KSE-022</x:v>
      </x:c>
      <x:c r="H29" s="59" t="str">
        <x:v>KSE-022</x:v>
      </x:c>
      <x:c r="I29" s="59" t="str">
        <x:v>Przygotować próbę referencyjną projektów i relacji oraz kryteria porównania.</x:v>
      </x:c>
      <x:c r="J29" s="59" t="str">
        <x:v>Oddzielnie zmierzona poprawność ekstrakcji, dopasowań, pokrycia i wniosków; błędy opisane.</x:v>
      </x:c>
      <x:c r="K29" s="59" t="str">
        <x:v>Brak dodatkowej uwagi</x:v>
      </x:c>
      <x:c r="L29" s="60"/>
      <x:c r="M29" s="60"/>
      <x:c r="N29" s="59" t="str">
        <x:v>docs/07_data_quality.md</x:v>
      </x:c>
    </x:row>
    <x:row r="30" ht="38" customHeight="1">
      <x:c r="A30" s="59" t="str">
        <x:v>KSE-024</x:v>
      </x:c>
      <x:c r="B30" s="59" t="str">
        <x:v>Pierwszy interfejs i mapa dowodów</x:v>
      </x:c>
      <x:c r="C30" s="59" t="str">
        <x:v>Not Started</x:v>
      </x:c>
      <x:c r="D30" s="59" t="str">
        <x:v>P1</x:v>
      </x:c>
      <x:c r="E30" s="59" t="str">
        <x:v>UI</x:v>
      </x:c>
      <x:c r="F30" s="59" t="str">
        <x:v>Codex</x:v>
      </x:c>
      <x:c r="G30" s="59" t="str">
        <x:v>KSE-023</x:v>
      </x:c>
      <x:c r="H30" s="59" t="str">
        <x:v>KSE-023</x:v>
      </x:c>
      <x:c r="I30" s="59" t="str">
        <x:v>Udostępnić wybór projektu/GPZ i czytelny raport zwalidowanych danych.</x:v>
      </x:c>
      <x:c r="J30" s="59" t="str">
        <x:v>Mapa z tekstowymi dowodami, datami i niewiadomymi; testy podstawowej ścieżki użytkownika.</x:v>
      </x:c>
      <x:c r="K30" s="59" t="str">
        <x:v>Brak dodatkowej uwagi</x:v>
      </x:c>
      <x:c r="L30" s="60"/>
      <x:c r="M30" s="60"/>
      <x:c r="N30" s="59" t="str">
        <x:v>docs/08_roadmap.md</x:v>
      </x:c>
    </x:row>
    <x:row r="31" ht="38" customHeight="1">
      <x:c r="A31" s="59" t="str">
        <x:v>KSE-025</x:v>
      </x:c>
      <x:c r="B31" s="59" t="str">
        <x:v>Cykliczne aktualizacje i historia zmian</x:v>
      </x:c>
      <x:c r="C31" s="59" t="str">
        <x:v>Not Started</x:v>
      </x:c>
      <x:c r="D31" s="59" t="str">
        <x:v>P1</x:v>
      </x:c>
      <x:c r="E31" s="59" t="str">
        <x:v>V1</x:v>
      </x:c>
      <x:c r="F31" s="59" t="str">
        <x:v>Codex</x:v>
      </x:c>
      <x:c r="G31" s="59" t="str">
        <x:v>KSE-015, KSE-016, KSE-023</x:v>
      </x:c>
      <x:c r="H31" s="59" t="str">
        <x:v>KSE-015, KSE-016, KSE-023</x:v>
      </x:c>
      <x:c r="I31" s="59" t="str">
        <x:v>Zaprojektować harmonogram, cache, limity, korekty i powiadomienia.</x:v>
      </x:c>
      <x:c r="J31" s="59" t="str">
        <x:v>Zmiana źródła wykrywana, historia zachowana, błąd parsera zatrzymuje promocję danych.</x:v>
      </x:c>
      <x:c r="K31" s="59" t="str">
        <x:v>Brak dodatkowej uwagi</x:v>
      </x:c>
      <x:c r="L31" s="60"/>
      <x:c r="M31" s="60"/>
      <x:c r="N31" s="59" t="str">
        <x:v>docs/03_system_architecture.md</x:v>
      </x:c>
    </x:row>
    <x:row r="32" ht="38" customHeight="1">
      <x:c r="A32" s="59" t="str">
        <x:v>KSE-026</x:v>
      </x:c>
      <x:c r="B32" s="59" t="str">
        <x:v>Rozszerzenie pokrycia OSD i regionów</x:v>
      </x:c>
      <x:c r="C32" s="59" t="str">
        <x:v>Not Started</x:v>
      </x:c>
      <x:c r="D32" s="59" t="str">
        <x:v>P2</x:v>
      </x:c>
      <x:c r="E32" s="59" t="str">
        <x:v>V1</x:v>
      </x:c>
      <x:c r="F32" s="59" t="str">
        <x:v>Codex</x:v>
      </x:c>
      <x:c r="G32" s="59" t="str">
        <x:v>KSE-023, KSE-025</x:v>
      </x:c>
      <x:c r="H32" s="59" t="str">
        <x:v>KSE-023, KSE-025</x:v>
      </x:c>
      <x:c r="I32" s="59" t="str">
        <x:v>Powtórzyć proces walidacji dla następnego operatora i regionu.</x:v>
      </x:c>
      <x:c r="J32" s="59" t="str">
        <x:v>Każdy nowy obszar ma jawny zakres i miary pokrycia; brak deklaracji kompletności kraju.</x:v>
      </x:c>
      <x:c r="K32" s="59" t="str">
        <x:v>Brak dodatkowej uwagi</x:v>
      </x:c>
      <x:c r="L32" s="60"/>
      <x:c r="M32" s="60"/>
      <x:c r="N32" s="59" t="str">
        <x:v>docs/08_roadmap.md</x:v>
      </x:c>
    </x:row>
    <x:row r="33" ht="38" customHeight="1">
      <x:c r="A33" s="59" t="str">
        <x:v>KSE-027</x:v>
      </x:c>
      <x:c r="B33" s="59" t="str">
        <x:v>Scenariusze przyszłej sieci i trasy</x:v>
      </x:c>
      <x:c r="C33" s="59" t="str">
        <x:v>Not Started</x:v>
      </x:c>
      <x:c r="D33" s="59" t="str">
        <x:v>P2</x:v>
      </x:c>
      <x:c r="E33" s="59" t="str">
        <x:v>V2</x:v>
      </x:c>
      <x:c r="F33" s="59" t="str">
        <x:v>Codex</x:v>
      </x:c>
      <x:c r="G33" s="59" t="str">
        <x:v>KSE-019, KSE-020, KSE-023</x:v>
      </x:c>
      <x:c r="H33" s="59" t="str">
        <x:v>KSE-019, KSE-020, KSE-023</x:v>
      </x:c>
      <x:c r="I33" s="59" t="str">
        <x:v>Opracować warianty inwestycji i osiągalności przestrzennej.</x:v>
      </x:c>
      <x:c r="J33" s="59" t="str">
        <x:v>Plany oddzielone od obecnej infrastruktury; zakresy i założenia uzasadnione danymi.</x:v>
      </x:c>
      <x:c r="K33" s="59" t="str">
        <x:v>Brak dodatkowej uwagi</x:v>
      </x:c>
      <x:c r="L33" s="60"/>
      <x:c r="M33" s="60"/>
      <x:c r="N33" s="59" t="str">
        <x:v>docs/05_grid_capacity_methodology.md</x:v>
      </x:c>
    </x:row>
    <x:row r="34" ht="38" customHeight="1">
      <x:c r="A34" s="59" t="str">
        <x:v>KSE-028</x:v>
      </x:c>
      <x:c r="B34" s="59" t="str">
        <x:v>Metodologia confidence i scoringu</x:v>
      </x:c>
      <x:c r="C34" s="59" t="str">
        <x:v>Not Started</x:v>
      </x:c>
      <x:c r="D34" s="59" t="str">
        <x:v>P2</x:v>
      </x:c>
      <x:c r="E34" s="59" t="str">
        <x:v>V2</x:v>
      </x:c>
      <x:c r="F34" s="59" t="str">
        <x:v>Użytkownik + Codex</x:v>
      </x:c>
      <x:c r="G34" s="59" t="str">
        <x:v>KSE-023, KSE-026</x:v>
      </x:c>
      <x:c r="H34" s="59" t="str">
        <x:v>KSE-023, KSE-026</x:v>
      </x:c>
      <x:c r="I34" s="59" t="str">
        <x:v>Zdefiniować cel wskaźnika i zbiór kalibracyjny przed wagami.</x:v>
      </x:c>
      <x:c r="J34" s="59" t="str">
        <x:v>Odrębne score/confidence, wyjaśnienia, walidacja; bez danych kalibracyjnych wynik pozostaje UNKNOWN.</x:v>
      </x:c>
      <x:c r="K34" s="59" t="str">
        <x:v>Brak dodatkowej uwagi</x:v>
      </x:c>
      <x:c r="L34" s="60"/>
      <x:c r="M34" s="60"/>
      <x:c r="N34" s="59" t="str">
        <x:v>docs/06_scoring_methodology.md</x:v>
      </x:c>
    </x:row>
    <x:row r="35" ht="52" customHeight="1">
      <x:c r="A35" s="59" t="str">
        <x:v>KSE-029</x:v>
      </x:c>
      <x:c r="B35" s="59" t="str">
        <x:v>Dane techniczne i model rozpływowy</x:v>
      </x:c>
      <x:c r="C35" s="59" t="str">
        <x:v>Not Started</x:v>
      </x:c>
      <x:c r="D35" s="59" t="str">
        <x:v>P2</x:v>
      </x:c>
      <x:c r="E35" s="59" t="str">
        <x:v>Long-term</x:v>
      </x:c>
      <x:c r="F35" s="59" t="str">
        <x:v>Użytkownik + Codex</x:v>
      </x:c>
      <x:c r="G35" s="59" t="str">
        <x:v>KSE-023</x:v>
      </x:c>
      <x:c r="H35" s="59" t="str">
        <x:v>KSE-023</x:v>
      </x:c>
      <x:c r="I35" s="59" t="str">
        <x:v>Ekspertyza wpływu nie będzie dostępna od użytkownika w tym pilocie. Oceniać inne źródła parametrów; nie uzależniać ewidencji i modelu dokumentacyjnego od power-flow.</x:v>
      </x:c>
      <x:c r="J35" s="59" t="str">
        <x:v>Kompletne wymagane wejścia i niezależna walidacja; w przeciwnym razie dokumentacja niewykonalności.</x:v>
      </x:c>
      <x:c r="K35" s="59" t="str">
        <x:v>Publiczne dane mogą nie wystarczyć; brak gwarancji osiągalności etapu.</x:v>
      </x:c>
      <x:c r="L35" s="60"/>
      <x:c r="M35" s="60"/>
      <x:c r="N35" s="59" t="str">
        <x:v>docs/05_grid_capacity_methodology.md</x:v>
      </x:c>
    </x:row>
    <x:row r="36" ht="52" customHeight="1">
      <x:c r="A36" s="59" t="str">
        <x:v>KSE-030</x:v>
      </x:c>
      <x:c r="B36" s="59" t="str">
        <x:v>Potwierdzić zewnętrzną kopię archiwum</x:v>
      </x:c>
      <x:c r="C36" s="59" t="str">
        <x:v>Not Started</x:v>
      </x:c>
      <x:c r="D36" s="59" t="str">
        <x:v>P0</x:v>
      </x:c>
      <x:c r="E36" s="59" t="str">
        <x:v>Organizacja</x:v>
      </x:c>
      <x:c r="F36" s="59" t="str">
        <x:v>Użytkownik</x:v>
      </x:c>
      <x:c r="G36" s="59" t="str">
        <x:v>KSE-003</x:v>
      </x:c>
      <x:c r="H36" s="59" t="str">
        <x:v>Brak</x:v>
      </x:c>
      <x:c r="I36" s="59" t="str">
        <x:v>Zachować sześć ZIP wymienionych w docs/reproducibility.md na niezależnym prywatnym nośniku i sprawdzić je z właściwymi manifestami przez --verify-only. Potwierdzić datę kopii.</x:v>
      </x:c>
      <x:c r="J36" s="59" t="str">
        <x:v>Istnieje niezależna kopia archiwum zgodna z manifestem. Sam lokalny ZIP i push nie spełniają warunku.</x:v>
      </x:c>
      <x:c r="K36" s="59" t="str">
        <x:v>Brak dodatkowej uwagi</x:v>
      </x:c>
      <x:c r="L36" s="60"/>
      <x:c r="M36" s="60"/>
      <x:c r="N36" s="59" t="str">
        <x:v>docs/reproducibility.md</x:v>
      </x:c>
    </x:row>
    <x:row r="37" ht="66" customHeight="1">
      <x:c r="A37" s="59" t="str">
        <x:v>KSE-031</x:v>
      </x:c>
      <x:c r="B37" s="59" t="str">
        <x:v>Eksperymentalny graf dowodów Radkowic</x:v>
      </x:c>
      <x:c r="C37" s="59" t="str">
        <x:v>Complete</x:v>
      </x:c>
      <x:c r="D37" s="59" t="str">
        <x:v>P0</x:v>
      </x:c>
      <x:c r="E37" s="59" t="str">
        <x:v>Model</x:v>
      </x:c>
      <x:c r="F37" s="59" t="str">
        <x:v>Codex</x:v>
      </x:c>
      <x:c r="G37" s="59" t="str">
        <x:v>KSE-002, KSE-007</x:v>
      </x:c>
      <x:c r="H37" s="59" t="str">
        <x:v>Brak</x:v>
      </x:c>
      <x:c r="I37" s="59" t="str">
        <x:v>Wykorzystać doświadczenia w pełnym modelu pilota; uzupełniać tylko udokumentowane relacje.</x:v>
      </x:c>
      <x:c r="J37" s="59" t="str">
        <x:v>Odtwarzalny graf źródłowy z testami, niepełnym pokryciem i jawnymi niewiadomymi; nie zastępuje KSE-014 ani KSE-018.</x:v>
      </x:c>
      <x:c r="K37" s="59" t="str">
        <x:v>Brak dodatkowej uwagi</x:v>
      </x:c>
      <x:c r="L37" s="60"/>
      <x:c r="M37" s="60" t="n">
        <x:v>46276</x:v>
      </x:c>
      <x:c r="N37" s="59" t="str">
        <x:v>docs/11_radkowice_evidence_model.md
scripts/build_radkowice_graph.py
grid_engine/evidence_graph.py
tests/test_evidence_graph.py
data/reference/radkowice_evidence_graph_v1.json</x:v>
      </x:c>
    </x:row>
    <x:row r="38" ht="38" customHeight="1">
      <x:c r="A38" s="59" t="str">
        <x:v>KSE-032</x:v>
      </x:c>
      <x:c r="B38" s="59" t="str">
        <x:v>Rozszerzenie dowodów 110 kV i przegląd materiału użytkownika</x:v>
      </x:c>
      <x:c r="C38" s="59" t="str">
        <x:v>Complete</x:v>
      </x:c>
      <x:c r="D38" s="59" t="str">
        <x:v>P0</x:v>
      </x:c>
      <x:c r="E38" s="59" t="str">
        <x:v>Research</x:v>
      </x:c>
      <x:c r="F38" s="59" t="str">
        <x:v>Codex</x:v>
      </x:c>
      <x:c r="G38" s="59" t="str">
        <x:v>KSE-031</x:v>
      </x:c>
      <x:c r="H38" s="59" t="str">
        <x:v>Brak</x:v>
      </x:c>
      <x:c r="I38" s="59" t="str">
        <x:v>Rozwinąć integrację prywatnych obserwacji osobno; nadal sprawdzać aktualny stan sieci.</x:v>
      </x:c>
      <x:c r="J38" s="59" t="str">
        <x:v>Publiczny dowód z zachowanym snapshotem i grafem v2; prywatny przegląd z proweniencją poza ogólnym eksportem.</x:v>
      </x:c>
      <x:c r="K38" s="59" t="str">
        <x:v>Brak dodatkowej uwagi</x:v>
      </x:c>
      <x:c r="L38" s="60"/>
      <x:c r="M38" s="60" t="n">
        <x:v>46276</x:v>
      </x:c>
      <x:c r="N38" s="59" t="str">
        <x:v>docs/12_radkowice_110kv_research.md
docs/private_sources.md
tests/test_wolica_evidence.py</x:v>
      </x:c>
    </x:row>
    <x:row r="39" ht="220" customHeight="1">
      <x:c r="A39" s="59" t="str">
        <x:v>KSE-033</x:v>
      </x:c>
      <x:c r="B39" s="59" t="str">
        <x:v>Prywatne obserwacje i wspólna infrastruktura przyłączeniowa</x:v>
      </x:c>
      <x:c r="C39" s="59" t="str">
        <x:v>In Progress</x:v>
      </x:c>
      <x:c r="D39" s="59" t="str">
        <x:v>P0</x:v>
      </x:c>
      <x:c r="E39" s="59" t="str">
        <x:v>Model</x:v>
      </x:c>
      <x:c r="F39" s="59" t="str">
        <x:v>Użytkownik + Codex</x:v>
      </x:c>
      <x:c r="G39" s="59" t="str">
        <x:v>KSE-032</x:v>
      </x:c>
      <x:c r="H39" s="59" t="str">
        <x:v>Brak</x:v>
      </x:c>
      <x:c r="I39" s="59" t="str">
        <x:v>Uwzględnić prywatny przegląd schematów i etapów, rozstrzygnąć rewizje oraz przypisania pól (NEED-013). Nie przenosić relacji projektowych do bieżącego modelu bez dowodu wykonania.</x:v>
      </x:c>
      <x:c r="J39" s="59" t="str">
        <x:v>Źródła prywatne i pochodne wyniki dziedziczą dostęp; miejsca nie są MW; konflikty danych i status planowany pozostają jawne.</x:v>
      </x:c>
      <x:c r="K39" s="59" t="str">
        <x:v>Brak ekspertyzy wpływu nie blokuje ewidencji. Brak danych sieciowych wyklucza wyliczanie rezerwy MW i częstości ograniczeń.</x:v>
      </x:c>
      <x:c r="L39" s="60"/>
      <x:c r="M39" s="60"/>
      <x:c r="N39" s="59" t="str">
        <x:v>docs/private_sources.md
docs/04_data_model.md
docs/13_shared_connection_model.md
grid_engine/shared_connection.py
tests/test_shared_connection.py
scripts/analyze_shared_connection.py
tests/test_shared_connection_replay.py
docs/14_observation_history.md
grid_engine/observation_history.py
tests/test_observation_history.py
scripts/build_radkowice_history.py
tests/test_radkowice_history.py
data/reference/radkowice_observation_history_v1.json
grid_engine/historical_assignments.py
tests/test_historical_assignments.py
scripts/analyze_historical_assignments.py
grid_engine/strict_json.py
tests/test_historical_assignment_replay.py
grid_engine/historical_connection_parameters.py
tests/test_historical_connection_parameters.py
data/project/information_requests.json
docs/15_information_requests.md
docs/16_radkowice_public_followup.md</x:v>
      </x:c>
    </x:row>
    <x:row r="40" ht="52" customHeight="1">
      <x:c r="A40" s="59" t="str">
        <x:v>KSE-034</x:v>
      </x:c>
      <x:c r="B40" s="59" t="str">
        <x:v>Lokalna aplikacja pilotażowa — ocena przesłanek Radkowic</x:v>
      </x:c>
      <x:c r="C40" s="59" t="str">
        <x:v>Complete</x:v>
      </x:c>
      <x:c r="D40" s="59" t="str">
        <x:v>P0</x:v>
      </x:c>
      <x:c r="E40" s="59" t="str">
        <x:v>MVP UI</x:v>
      </x:c>
      <x:c r="F40" s="59" t="str">
        <x:v>Codex</x:v>
      </x:c>
      <x:c r="G40" s="59" t="str">
        <x:v>KSE-032</x:v>
      </x:c>
      <x:c r="H40" s="59" t="str">
        <x:v>Brak</x:v>
      </x:c>
      <x:c r="I40" s="59" t="str">
        <x:v>Test użytkownika i rozwój pokrycia danych; zweryfikować pobieranie JSON poza przeglądarką Codex.</x:v>
      </x:c>
      <x:c r="J40" s="59" t="str">
        <x:v>Lokalny widok publicznych dowodów, osobne kierunki i napięcia, jawne braki, odtwarzalny wynik bez fikcyjnego scoringu.</x:v>
      </x:c>
      <x:c r="K40" s="59" t="str">
        <x:v>Pilot jakościowy, nie pełne MVP. Automatyczne potwierdzenie pobrania JSON w Codex nieudane; tekst raportu dostępny w widoku.</x:v>
      </x:c>
      <x:c r="L40" s="60"/>
      <x:c r="M40" s="60" t="n">
        <x:v>46281</x:v>
      </x:c>
      <x:c r="N40" s="59" t="str">
        <x:v>docs/17_local_application.md
backend/local_app.py
grid_engine/screening_opinion.py
tests/test_local_app.py</x:v>
      </x:c>
    </x:row>
    <x:row r="41" ht="38" customHeight="1">
      <x:c r="A41" s="59" t="str">
        <x:v>KSE-035</x:v>
      </x:c>
      <x:c r="B41" s="59" t="str">
        <x:v>Pierwszy prywatny przegląd pakietu mostu i historycznego GIS</x:v>
      </x:c>
      <x:c r="C41" s="59" t="str">
        <x:v>Complete</x:v>
      </x:c>
      <x:c r="D41" s="59" t="str">
        <x:v>P0</x:v>
      </x:c>
      <x:c r="E41" s="59" t="str">
        <x:v>Research</x:v>
      </x:c>
      <x:c r="F41" s="59" t="str">
        <x:v>Codex</x:v>
      </x:c>
      <x:c r="G41" s="59" t="str">
        <x:v>KSE-032</x:v>
      </x:c>
      <x:c r="H41" s="59" t="str">
        <x:v>Brak</x:v>
      </x:c>
      <x:c r="I41" s="59" t="str">
        <x:v>Rozstrzygnąć rewizje i pochodzenie; kontynuować weryfikację szczegółową, bez automatycznego importu do publicznego pilota.</x:v>
      </x:c>
      <x:c r="J41" s="59" t="str">
        <x:v>Inwentaryzacja i hashe, kontrola kluczowych rysunków i struktury GeoPackage, prywatne wnioski oraz jawne ograniczenia zakresu.</x:v>
      </x:c>
      <x:c r="K41" s="59" t="str">
        <x:v>Nie jest pełnym audytem wykonawczym, CAD, geometrii GIS ani praw wykorzystania.</x:v>
      </x:c>
      <x:c r="L41" s="60"/>
      <x:c r="M41" s="60" t="n">
        <x:v>46281</x:v>
      </x:c>
      <x:c r="N41" s="59" t="str">
        <x:v>docs/private_sources.md
scripts/inspect_private_materials.py
tests/test_private_material_inspection.py</x:v>
      </x:c>
    </x:row>
    <x:row r="42" ht="94" customHeight="1">
      <x:c r="A42" s="59" t="str">
        <x:v>KSE-036</x:v>
      </x:c>
      <x:c r="B42" s="59" t="str">
        <x:v>Weryfikacja i normalizacja historycznej warstwy GIS</x:v>
      </x:c>
      <x:c r="C42" s="59" t="str">
        <x:v>In Progress</x:v>
      </x:c>
      <x:c r="D42" s="59" t="str">
        <x:v>P1</x:v>
      </x:c>
      <x:c r="E42" s="59" t="str">
        <x:v>Data quality</x:v>
      </x:c>
      <x:c r="F42" s="59" t="str">
        <x:v>Codex + Użytkownik</x:v>
      </x:c>
      <x:c r="G42" s="59" t="str">
        <x:v>KSE-035</x:v>
      </x:c>
      <x:c r="H42" s="59" t="str">
        <x:v>Brak</x:v>
      </x:c>
      <x:c r="I42" s="59" t="str">
        <x:v>Weryfikować pierwotne publikacje i legendy, w tym kolejkę linków z rejestru inwestycji; rozstrzygnąć powiązania, rozbieżności eksportów i prawa wykorzystania. Historyczne rekordy nie stanowią aktualnej bazy infrastruktury.</x:v>
      </x:c>
      <x:c r="J42" s="59" t="str">
        <x:v>Udokumentowana proweniencja i dostęp; geometrie sprawdzone, duplikaty oznaczone, historia oddzielona od bieżących danych.</x:v>
      </x:c>
      <x:c r="K42" s="59" t="str">
        <x:v>Publiczne źródła składowe nie potwierdzają dokładności i licencji całego opracowania.</x:v>
      </x:c>
      <x:c r="L42" s="60"/>
      <x:c r="M42" s="60"/>
      <x:c r="N42" s="59" t="str">
        <x:v>docs/private_sources.md
scripts/audit_private_gis_geometry.py
scripts/normalize_private_gis_capacity.py
tests/test_gis_geometry.py
tests/test_historical_gis_capacity.py
scripts/compare_private_gis_tables.py
tests/test_gis_tables.py
connectors/gis/compound_groups.py
scripts/review_private_gis_groups.py
tests/test_compound_groups.py</x:v>
      </x:c>
    </x:row>
    <x:row r="43" ht="66" customHeight="1">
      <x:c r="A43" s="59" t="str">
        <x:v>KSE-037</x:v>
      </x:c>
      <x:c r="B43" s="59" t="str">
        <x:v>Rozbieżności dat inwestycji PSE w ocenie pilota</x:v>
      </x:c>
      <x:c r="C43" s="59" t="str">
        <x:v>Complete</x:v>
      </x:c>
      <x:c r="D43" s="59" t="str">
        <x:v>P0</x:v>
      </x:c>
      <x:c r="E43" s="59" t="str">
        <x:v>Data quality</x:v>
      </x:c>
      <x:c r="F43" s="59" t="str">
        <x:v>Codex</x:v>
      </x:c>
      <x:c r="G43" s="59" t="str">
        <x:v>KSE-034</x:v>
      </x:c>
      <x:c r="H43" s="59" t="str">
        <x:v>Brak</x:v>
      </x:c>
      <x:c r="I43" s="59" t="str">
        <x:v>Wyjaśnić zakres i odbiór zadania — NEED-014; rozszerzać ewidencję inwestycji.</x:v>
      </x:c>
      <x:c r="J43" s="59" t="str">
        <x:v>Oba publiczne snapshoty zachowane, ekstrakcja z testami, jawna rozbieżność w API i ocenie, bez automatycznego wybrania daty i mocy.</x:v>
      </x:c>
      <x:c r="K43" s="59" t="str">
        <x:v>Tożsamość zakresu i data fizycznego załączenia nadal nieustalone.</x:v>
      </x:c>
      <x:c r="L43" s="60"/>
      <x:c r="M43" s="60" t="n">
        <x:v>46282</x:v>
      </x:c>
      <x:c r="N43" s="59" t="str">
        <x:v>docs/16_radkowice_public_followup.md
connectors/pse/investment_dates.py
scripts/build_radkowice_investment_review.py
tests/test_pse_investment_dates.py
tests/test_local_app.py</x:v>
      </x:c>
    </x:row>
    <x:row r="44" ht="52" customHeight="1">
      <x:c r="A44" s="59" t="str">
        <x:v>KSE-038</x:v>
      </x:c>
      <x:c r="B44" s="59" t="str">
        <x:v>Historyczny rejestr wpisów o inwestycjach z GIS</x:v>
      </x:c>
      <x:c r="C44" s="59" t="str">
        <x:v>Complete</x:v>
      </x:c>
      <x:c r="D44" s="59" t="str">
        <x:v>P1</x:v>
      </x:c>
      <x:c r="E44" s="59" t="str">
        <x:v>Data quality</x:v>
      </x:c>
      <x:c r="F44" s="59" t="str">
        <x:v>Codex</x:v>
      </x:c>
      <x:c r="G44" s="59" t="str">
        <x:v>KSE-035</x:v>
      </x:c>
      <x:c r="H44" s="59" t="str">
        <x:v>Brak</x:v>
      </x:c>
      <x:c r="I44" s="59" t="str">
        <x:v>Weryfikować publikacje pierwotne z prywatnej kolejki; powiązania i bieżący status wymagają osobnych dowodów.</x:v>
      </x:c>
      <x:c r="J44" s="59" t="str">
        <x:v>Wersjonowany prywatny wynik, stabilne identyfikatory wpisów, oryginalne atrybuty i hashe; brak awansu planowanej daty do stanu istniejącego.</x:v>
      </x:c>
      <x:c r="K44" s="59" t="str">
        <x:v>Rekordy nie są unikalnymi inwestycjami. Linki z kompilacji nie zostały zbiorczo zweryfikowane; nieznane prawa i aktualność pozostają otwarte.</x:v>
      </x:c>
      <x:c r="L44" s="60"/>
      <x:c r="M44" s="60" t="n">
        <x:v>46282</x:v>
      </x:c>
      <x:c r="N44" s="59" t="str">
        <x:v>docs/private_sources.md
connectors/gis/historical_investments.py
scripts/normalize_private_gis_investments.py
tests/test_historical_gis_investments.py</x:v>
      </x:c>
    </x:row>
  </x:sheetData>
  <x:conditionalFormatting sqref="C7:C44">
    <x:cfRule type="containsText" dxfId="11" priority="1" operator="containsText" text="At Risk"/>
    <x:cfRule type="containsText" dxfId="12" priority="2" operator="containsText" text="In Progress"/>
    <x:cfRule type="containsText" dxfId="13" priority="3" operator="containsText" text="Complete"/>
  </x:conditionalFormatting>
  <x:dataValidations count="1">
    <x:dataValidation type="list" sqref="C7:C44">
      <x:formula1>"Not Started,In Progress,At Risk,Complete"</x:formula1>
    </x:dataValidation>
  </x:dataValidations>
  <x:pageMargins left="0.7" right="0.7" top="0.75" bottom="0.75" header="0.3" footer="0.3"/>
  <x:tableParts count="1">
    <x:tablePart xmlns:r="http://schemas.openxmlformats.org/officeDocument/2006/relationships" r:id="R16e0ff83f4464e1d"/>
  </x:tableParts>
</x:worksheet>
</file>

<file path=xl/worksheets/sheet5.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65" hidden="0" customWidth="1"/>
    <x:col min="2" max="2" width="34" hidden="0" customWidth="1"/>
    <x:col min="3" max="3" width="85" hidden="0" customWidth="1"/>
    <x:col min="4" max="4" width="85" hidden="0" customWidth="1"/>
  </x:cols>
  <x:sheetData>
    <x:row r="1">
      <x:c r="A1" s="49"/>
      <x:c r="B1" s="49"/>
      <x:c r="C1" s="49"/>
      <x:c r="D1" s="49"/>
    </x:row>
    <x:row r="2" ht="30" customHeight="1">
      <x:c r="A2" s="50" t="str">
        <x:v>Co można wiarygodnie ustalić</x:v>
      </x:c>
      <x:c r="B2" s="49"/>
      <x:c r="C2" s="49"/>
      <x:c r="D2" s="49"/>
    </x:row>
    <x:row r="3">
      <x:c r="A3" s="51"/>
      <x:c r="B3" s="51"/>
      <x:c r="C3" s="51"/>
      <x:c r="D3" s="51"/>
    </x:row>
    <x:row r="4">
      <x:c r="A4" s="52" t="str">
        <x:v>Ocena dostępności danych, nie lista wdrożonych funkcji.</x:v>
      </x:c>
      <x:c r="B4" s="49"/>
      <x:c r="C4" s="49"/>
      <x:c r="D4" s="49"/>
    </x:row>
    <x:row r="5">
      <x:c r="A5" s="49"/>
      <x:c r="B5" s="49"/>
      <x:c r="C5" s="49"/>
      <x:c r="D5" s="49"/>
    </x:row>
    <x:row r="6" ht="34" customHeight="1">
      <x:c r="A6" s="58" t="str">
        <x:v>Funkcja / wielkość</x:v>
      </x:c>
      <x:c r="B6" s="58" t="str">
        <x:v>Klasa</x:v>
      </x:c>
      <x:c r="C6" s="58" t="str">
        <x:v>Dowód i warunek</x:v>
      </x:c>
      <x:c r="D6" s="58" t="str">
        <x:v>Granica / brak danych</x:v>
      </x:c>
    </x:row>
    <x:row r="7" ht="30" customHeight="1">
      <x:c r="A7" s="59" t="str">
        <x:v>Wskazane stacje, rozdzielnie i szyny w publikacji PSE</x:v>
      </x:c>
      <x:c r="B7" s="59" t="str">
        <x:v>AVAILABLE_DIRECTLY</x:v>
      </x:c>
      <x:c r="C7" s="59" t="str">
        <x:v>PSE_API: próbka specwezlow</x:v>
      </x:c>
      <x:c r="D7" s="59" t="str">
        <x:v>Nie jest kompletnym grafem ani listą wszystkich GPZ</x:v>
      </x:c>
    </x:row>
    <x:row r="8" ht="30" customHeight="1">
      <x:c r="A8" s="59" t="str">
        <x:v>Opublikowane miejsce przyłączenia konkretnego projektu</x:v>
      </x:c>
      <x:c r="B8" s="59" t="str">
        <x:v>AVAILABLE_DIRECTLY</x:v>
      </x:c>
      <x:c r="C8" s="59" t="str">
        <x:v>PSE_PIPELINE, TAURON_PIPELINE; dokument wskazuje miejsce</x:v>
      </x:c>
      <x:c r="D8" s="59" t="str">
        <x:v>Może być nieustalone; WP nie oznacza fizycznego przyłączenia</x:v>
      </x:c>
    </x:row>
    <x:row r="9" ht="30" customHeight="1">
      <x:c r="A9" s="59" t="str">
        <x:v>Pełna liczba wszystkich projektów na dowolnym GPZ</x:v>
      </x:c>
      <x:c r="B9" s="59" t="str">
        <x:v>NOT_CURRENTLY_AVAILABLE</x:v>
      </x:c>
      <x:c r="C9" s="59" t="str">
        <x:v>Nie wykazano kompletności publicznych wykazów i przypisań</x:v>
      </x:c>
      <x:c r="D9" s="59" t="str">
        <x:v>Nie przedstawiać znanej części jako pełnej liczby</x:v>
      </x:c>
    </x:row>
    <x:row r="10" ht="30" customHeight="1">
      <x:c r="A10" s="59" t="str">
        <x:v>Liczba znanych projektów przypisanych dokumentem do punktu</x:v>
      </x:c>
      <x:c r="B10" s="59" t="str">
        <x:v>CALCULABLE</x:v>
      </x:c>
      <x:c r="C10" s="59" t="str">
        <x:v>Deduplikacja, spójny snapshot, status i pewność relacji</x:v>
      </x:c>
      <x:c r="D10" s="59" t="str">
        <x:v>Raportować pokrycie i projekty nieprzypisane</x:v>
      </x:c>
    </x:row>
    <x:row r="11" ht="30" customHeight="1">
      <x:c r="A11" s="59" t="str">
        <x:v>Moc znanych projektów na tym samym punkcie</x:v>
      </x:c>
      <x:c r="B11" s="59" t="str">
        <x:v>CALCULABLE</x:v>
      </x:c>
      <x:c r="C11" s="59" t="str">
        <x:v>Jawne MW i definicja mocy; PSE_PIPELINE / wykazy OSD</x:v>
      </x:c>
      <x:c r="D11" s="59" t="str">
        <x:v>Osobno kierunek, etap, zainstalowana moc i PCC; nie jest przepływem</x:v>
      </x:c>
    </x:row>
    <x:row r="12" ht="30" customHeight="1">
      <x:c r="A12" s="59" t="str">
        <x:v>Pełna istniejąca generacja danego GPZ</x:v>
      </x:c>
      <x:c r="B12" s="59" t="str">
        <x:v>NOT_CURRENTLY_AVAILABLE</x:v>
      </x:c>
      <x:c r="C12" s="59" t="str">
        <x:v>URE_REGISTERS i wykazy operatorów mają różne zakresy</x:v>
      </x:c>
      <x:c r="D12" s="59" t="str">
        <x:v>Możliwy częściowy udokumentowany inwentarz</x:v>
      </x:c>
    </x:row>
    <x:row r="13" ht="38" customHeight="1">
      <x:c r="A13" s="59" t="str">
        <x:v>Wskazana przez operatora moc przyłączeniowa w jego jednostce raportowania</x:v>
      </x:c>
      <x:c r="B13" s="59" t="str">
        <x:v>AVAILABLE_DIRECTLY</x:v>
      </x:c>
      <x:c r="C13" s="59" t="str">
        <x:v>PSE_CAPACITY, ENERGA_EXPORT/IMPORT, STOEN_EXPORT/IMPORT</x:v>
      </x:c>
      <x:c r="D13" s="59" t="str">
        <x:v>Horyzont, grupa ograniczeń, kierunek i założenia są częścią wartości</x:v>
      </x:c>
    </x:row>
    <x:row r="14" ht="30" customHeight="1">
      <x:c r="A14" s="59" t="str">
        <x:v>Niezależna bieżąca wolna moc dowolnego GPZ</x:v>
      </x:c>
      <x:c r="B14" s="59" t="str">
        <x:v>NOT_CURRENTLY_AVAILABLE</x:v>
      </x:c>
      <x:c r="C14" s="59" t="str">
        <x:v>Brak kompletnej topologii, lokalnych profili i parametrów</x:v>
      </x:c>
      <x:c r="D14" s="59" t="str">
        <x:v>value=null, classification=UNKNOWN</x:v>
      </x:c>
    </x:row>
    <x:row r="15" ht="38" customHeight="1">
      <x:c r="A15" s="59" t="str">
        <x:v>Moc znamionowa konkretnego transformatora opisana w dokumencie</x:v>
      </x:c>
      <x:c r="B15" s="59" t="str">
        <x:v>AVAILABLE_DIRECTLY</x:v>
      </x:c>
      <x:c r="C15" s="59" t="str">
        <x:v>Tylko jeśli właściwy dokument podaje parametr i obiekt</x:v>
      </x:c>
      <x:c r="D15" s="59" t="str">
        <x:v>Ten research nie zwalidował pełnego inwentarza; brak wartości = UNKNOWN</x:v>
      </x:c>
    </x:row>
    <x:row r="16" ht="30" customHeight="1">
      <x:c r="A16" s="59" t="str">
        <x:v>Krajowy kompletny rejestr mocy transformatorów GPZ</x:v>
      </x:c>
      <x:c r="B16" s="59" t="str">
        <x:v>NOT_CURRENTLY_AVAILABLE</x:v>
      </x:c>
      <x:c r="C16" s="59" t="str">
        <x:v>Nie znaleziono kompletnego otwartego zbioru w badanym zakresie</x:v>
      </x:c>
      <x:c r="D16" s="59" t="str">
        <x:v>Nie wnioskować z napięcia, zdjęcia lub typowej konstrukcji</x:v>
      </x:c>
    </x:row>
    <x:row r="17" ht="30" customHeight="1">
      <x:c r="A17" s="59" t="str">
        <x:v>Rzeczywiste obciążenie dowolnego transformatora GPZ</x:v>
      </x:c>
      <x:c r="B17" s="59" t="str">
        <x:v>NOT_CURRENTLY_AVAILABLE</x:v>
      </x:c>
      <x:c r="C17" s="59" t="str">
        <x:v>Brak publicznego pełnego pokrycia telemetrią</x:v>
      </x:c>
      <x:c r="D17" s="59" t="str">
        <x:v>Moc znamionowa i suma PV nie wystarczą</x:v>
      </x:c>
    </x:row>
    <x:row r="18" ht="30" customHeight="1">
      <x:c r="A18" s="59" t="str">
        <x:v>Obciążenie dowolnej linii 110 kV</x:v>
      </x:c>
      <x:c r="B18" s="59" t="str">
        <x:v>NOT_CURRENTLY_AVAILABLE</x:v>
      </x:c>
      <x:c r="C18" s="59" t="str">
        <x:v>Brak parametrów i bieżącego układu/profili</x:v>
      </x:c>
      <x:c r="D18" s="59" t="str">
        <x:v>Mapy linii nie pozwalają tego wyliczyć</x:v>
      </x:c>
    </x:row>
    <x:row r="19" ht="30" customHeight="1">
      <x:c r="A19" s="59" t="str">
        <x:v>Dane o bilansie i generacji na poziomie KSE</x:v>
      </x:c>
      <x:c r="B19" s="59" t="str">
        <x:v>AVAILABLE_DIRECTLY</x:v>
      </x:c>
      <x:c r="C19" s="59" t="str">
        <x:v>PSE_API; Energy-Charts jako dodatkowe źródło</x:v>
      </x:c>
      <x:c r="D19" s="59" t="str">
        <x:v>Nie przenosić na lokalny GPZ</x:v>
      </x:c>
    </x:row>
    <x:row r="20" ht="30" customHeight="1">
      <x:c r="A20" s="59" t="str">
        <x:v>Raportowane redysponowanie z rozróżnieniem przyczyny</x:v>
      </x:c>
      <x:c r="B20" s="59" t="str">
        <x:v>AVAILABLE_DIRECTLY</x:v>
      </x:c>
      <x:c r="C20" s="59" t="str">
        <x:v>PSE_API poze-redoze, schemat i próbka</x:v>
      </x:c>
      <x:c r="D20" s="59" t="str">
        <x:v>Lokalizacja ograniczenia nie wynika z agregatu; null nie jest zerem</x:v>
      </x:c>
    </x:row>
    <x:row r="21" ht="30" customHeight="1">
      <x:c r="A21" s="59" t="str">
        <x:v>Congestion konkretnego elementu w dowolnej lokalizacji</x:v>
      </x:c>
      <x:c r="B21" s="59" t="str">
        <x:v>NOT_CURRENTLY_AVAILABLE</x:v>
      </x:c>
      <x:c r="C21" s="59" t="str">
        <x:v>Brak powszechnego lokalnego dowodu</x:v>
      </x:c>
      <x:c r="D21" s="59" t="str">
        <x:v>Możliwy opis udokumentowanego ograniczenia, bez udawanej mapy przeciążeń</x:v>
      </x:c>
    </x:row>
    <x:row r="22" ht="30" customHeight="1">
      <x:c r="A22" s="59" t="str">
        <x:v>Moc eksportowa/importowa BESS jako osobne pola projektu</x:v>
      </x:c>
      <x:c r="B22" s="59" t="str">
        <x:v>AVAILABLE_DIRECTLY</x:v>
      </x:c>
      <x:c r="C22" s="59" t="str">
        <x:v>PSE_PIPELINE i kierunkowe wykazy w badanym zakresie</x:v>
      </x:c>
      <x:c r="D22" s="59" t="str">
        <x:v>Dostępność konkretnego pola zależy od rekordu; brak MWh nie uzupełniać domysłem</x:v>
      </x:c>
    </x:row>
    <x:row r="23" ht="30" customHeight="1">
      <x:c r="A23" s="59" t="str">
        <x:v>Czas magazynowania przy znanych MWh i mocy rozładowania</x:v>
      </x:c>
      <x:c r="B23" s="59" t="str">
        <x:v>CALCULABLE</x:v>
      </x:c>
      <x:c r="C23" s="59" t="str">
        <x:v>MWh / MW, dodatni mianownik, jawne znaczenie mocy i pojemności</x:v>
      </x:c>
      <x:c r="D23" s="59" t="str">
        <x:v>Wymaga zgodnych nominalnych/użytecznych wartości; nie oznacza profilu pracy</x:v>
      </x:c>
    </x:row>
    <x:row r="24" ht="30" customHeight="1">
      <x:c r="A24" s="59" t="str">
        <x:v>Techniczna możliwość przyłączenia dowolnego BESS</x:v>
      </x:c>
      <x:c r="B24" s="59" t="str">
        <x:v>NOT_CURRENTLY_AVAILABLE</x:v>
      </x:c>
      <x:c r="C24" s="59" t="str">
        <x:v>Osobne import/eksport nie zastępują pełnej analizy sieci</x:v>
      </x:c>
      <x:c r="D24" s="59" t="str">
        <x:v>Możliwy screening przesłanek dla obu kierunków</x:v>
      </x:c>
    </x:row>
    <x:row r="25" ht="30" customHeight="1">
      <x:c r="A25" s="59" t="str">
        <x:v>Scenariuszowy profil generacji PV/Wind</x:v>
      </x:c>
      <x:c r="B25" s="59" t="str">
        <x:v>ESTIMABLE</x:v>
      </x:c>
      <x:c r="C25" s="59" t="str">
        <x:v>Potrzebne parametry instalacji, pogoda, metoda i walidacja</x:v>
      </x:c>
      <x:c r="D25" s="59" t="str">
        <x:v>Jeszcze nie wdrożono ani nie zwalidowano lokalnego modelu profili</x:v>
      </x:c>
    </x:row>
    <x:row r="26" ht="30" customHeight="1">
      <x:c r="A26" s="59" t="str">
        <x:v>Zastępcza lokalizacja/relacja sieciowa</x:v>
      </x:c>
      <x:c r="B26" s="59" t="str">
        <x:v>ESTIMABLE</x:v>
      </x:c>
      <x:c r="C26" s="59" t="str">
        <x:v>Kilka zgodnych dowodów; wynik relacji oznaczony INFERRED</x:v>
      </x:c>
      <x:c r="D26" s="59" t="str">
        <x:v>Samo najbliższe GPZ nie wystarcza; konflikt zachować</x:v>
      </x:c>
    </x:row>
    <x:row r="27" ht="30" customHeight="1">
      <x:c r="A27" s="59" t="str">
        <x:v>Pełny łańcuch project–feeder–GPZ–PSE dla każdego projektu</x:v>
      </x:c>
      <x:c r="B27" s="59" t="str">
        <x:v>NOT_CURRENTLY_AVAILABLE</x:v>
      </x:c>
      <x:c r="C27" s="59" t="str">
        <x:v>Fragmenty dokumentacyjne + pomocnicza geometria</x:v>
      </x:c>
      <x:c r="D27" s="59" t="str">
        <x:v>Dopuszczalne nieznane odcinki grafu</x:v>
      </x:c>
    </x:row>
    <x:row r="28" ht="30" customHeight="1">
      <x:c r="A28" s="59" t="str">
        <x:v>Udokumentowane planowane inwestycje</x:v>
      </x:c>
      <x:c r="B28" s="59" t="str">
        <x:v>AVAILABLE_DIRECTLY</x:v>
      </x:c>
      <x:c r="C28" s="59" t="str">
        <x:v>PSE_PLAN, ENERGA_PLAN, ENEA_PLAN</x:v>
      </x:c>
      <x:c r="D28" s="59" t="str">
        <x:v>Projekt/uzgodnienie/realizacja to odrębne statusy</x:v>
      </x:c>
    </x:row>
    <x:row r="29" ht="30" customHeight="1">
      <x:c r="A29" s="59" t="str">
        <x:v>Przyszła dostępna moc z konkretnego wariantu publikacji</x:v>
      </x:c>
      <x:c r="B29" s="59" t="str">
        <x:v>AVAILABLE_DIRECTLY</x:v>
      </x:c>
      <x:c r="C29" s="59" t="str">
        <x:v>Jeśli operator podał wartość, datę i założenia; PSE_CAPACITY</x:v>
      </x:c>
      <x:c r="D29" s="59" t="str">
        <x:v>Nie wyliczać prostym dodaniem MVA inwestycji do obecnych MW</x:v>
      </x:c>
    </x:row>
    <x:row r="30" ht="30" customHeight="1">
      <x:c r="A30" s="59" t="str">
        <x:v>Przyszła fizyczna dostępność każdego punktu</x:v>
      </x:c>
      <x:c r="B30" s="59" t="str">
        <x:v>NOT_CURRENTLY_AVAILABLE</x:v>
      </x:c>
      <x:c r="C30" s="59" t="str">
        <x:v>Brak kompletnych przyszłych profili, topologii i realizacji planów</x:v>
      </x:c>
      <x:c r="D30" s="59" t="str">
        <x:v>Możliwa narracja wariantowa, nie gwarancja</x:v>
      </x:c>
    </x:row>
    <x:row r="31" ht="30" customHeight="1">
      <x:c r="A31" s="59" t="str">
        <x:v>Potencjalne korytarze i przecięcia ograniczeń GIS</x:v>
      </x:c>
      <x:c r="B31" s="59" t="str">
        <x:v>CALCULABLE</x:v>
      </x:c>
      <x:c r="C31" s="59" t="str">
        <x:v>Zweryfikowana geometria, CRS i aktualne warstwy</x:v>
      </x:c>
      <x:c r="D31" s="59" t="str">
        <x:v>Nie jest prawem do gruntu ani pełną wykonalnością trasy</x:v>
      </x:c>
    </x:row>
    <x:row r="32" ht="30" customHeight="1">
      <x:c r="A32" s="59" t="str">
        <x:v>Rzeczywista możliwość pozyskania trasy przyłącza</x:v>
      </x:c>
      <x:c r="B32" s="59" t="str">
        <x:v>NOT_CURRENTLY_AVAILABLE</x:v>
      </x:c>
      <x:c r="C32" s="59" t="str">
        <x:v>Potrzebne prawa do nieruchomości, uzgodnienia i projekt techniczny</x:v>
      </x:c>
      <x:c r="D32" s="59" t="str">
        <x:v>Publiczne działki i WMS nie wystarczą</x:v>
      </x:c>
    </x:row>
    <x:row r="33" ht="30" customHeight="1">
      <x:c r="A33" s="59" t="str">
        <x:v>Grid Connection Score 0–100 o zwalidowanej trafności</x:v>
      </x:c>
      <x:c r="B33" s="59" t="str">
        <x:v>NOT_CURRENTLY_AVAILABLE</x:v>
      </x:c>
      <x:c r="C33" s="59" t="str">
        <x:v>Nie skalibrowano wag, celu i zbioru referencyjnego</x:v>
      </x:c>
      <x:c r="D33" s="59" t="str">
        <x:v>Nie wyświetlać arbitralnej liczby</x:v>
      </x:c>
    </x:row>
    <x:row r="34" ht="30" customHeight="1">
      <x:c r="A34" s="59" t="str">
        <x:v>Procentowe prawdopodobieństwo uzyskania WP</x:v>
      </x:c>
      <x:c r="B34" s="59" t="str">
        <x:v>NOT_CURRENTLY_AVAILABLE</x:v>
      </x:c>
      <x:c r="C34" s="59" t="str">
        <x:v>Brak reprezentatywnych etykiet wyników i wystarczających predyktorów</x:v>
      </x:c>
      <x:c r="D34" s="59" t="str">
        <x:v>Nie utożsamiać historycznego udziału odmów z szansą konkretnego projektu</x:v>
      </x:c>
    </x:row>
    <x:row r="35" ht="30" customHeight="1">
      <x:c r="A35" s="59" t="str">
        <x:v>Historia wiedzy od rozpoczęcia archiwizacji</x:v>
      </x:c>
      <x:c r="B35" s="59" t="str">
        <x:v>CALCULABLE</x:v>
      </x:c>
      <x:c r="C35" s="59" t="str">
        <x:v>Snapshoty, manifesty, wersje normalizacji i metody</x:v>
      </x:c>
      <x:c r="D35" s="59" t="str">
        <x:v>Nie odtworzy brakujących historycznych źródeł sprzed archiwizacji</x:v>
      </x:c>
    </x:row>
  </x:sheetData>
  <x:pageMargins left="0.7" right="0.7" top="0.75" bottom="0.75" header="0.3" footer="0.3"/>
  <x:tableParts count="1">
    <x:tablePart xmlns:r="http://schemas.openxmlformats.org/officeDocument/2006/relationships" r:id="R0c70e7fe504443ae"/>
  </x:tableParts>
</x:worksheet>
</file>

<file path=xl/worksheets/sheet6.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29" hidden="0" customWidth="1"/>
    <x:col min="2" max="2" width="58" hidden="0" customWidth="1"/>
    <x:col min="3" max="3" width="35" hidden="0" customWidth="1"/>
    <x:col min="4" max="4" width="32" hidden="0" customWidth="1"/>
    <x:col min="5" max="5" width="29" hidden="0" customWidth="1"/>
    <x:col min="6" max="6" width="18" hidden="0" customWidth="1"/>
    <x:col min="7" max="7" width="28" hidden="0" customWidth="1"/>
    <x:col min="8" max="8" width="32" hidden="0" customWidth="1"/>
    <x:col min="9" max="9" width="38" hidden="0" customWidth="1"/>
    <x:col min="10" max="10" width="12" hidden="0" customWidth="1"/>
  </x:cols>
  <x:sheetData>
    <x:row r="1">
      <x:c r="A1" s="49"/>
      <x:c r="B1" s="49"/>
      <x:c r="C1" s="49"/>
      <x:c r="D1" s="49"/>
      <x:c r="E1" s="49"/>
      <x:c r="F1" s="49"/>
      <x:c r="G1" s="49"/>
      <x:c r="H1" s="49"/>
      <x:c r="I1" s="49"/>
      <x:c r="J1" s="49"/>
    </x:row>
    <x:row r="2" ht="30" customHeight="1">
      <x:c r="A2" s="50" t="str">
        <x:v>Katalog źródeł</x:v>
      </x:c>
      <x:c r="B2" s="49"/>
      <x:c r="C2" s="49"/>
      <x:c r="D2" s="49"/>
      <x:c r="E2" s="49"/>
      <x:c r="F2" s="49"/>
      <x:c r="G2" s="49"/>
      <x:c r="H2" s="49"/>
      <x:c r="I2" s="49"/>
      <x:c r="J2" s="49"/>
    </x:row>
    <x:row r="3">
      <x:c r="A3" s="51"/>
      <x:c r="B3" s="51"/>
      <x:c r="C3" s="51"/>
      <x:c r="D3" s="51"/>
      <x:c r="E3" s="51"/>
      <x:c r="F3" s="51"/>
      <x:c r="G3" s="51"/>
      <x:c r="H3" s="51"/>
      <x:c r="I3" s="51"/>
      <x:c r="J3" s="51"/>
    </x:row>
    <x:row r="4">
      <x:c r="A4" s="52" t="str">
        <x:v>Weryfikacja próbki nie oznacza pełnej walidacji zbioru. Linki i wszystkie pola: Źródła szczegóły.</x:v>
      </x:c>
      <x:c r="B4" s="49"/>
      <x:c r="C4" s="49"/>
      <x:c r="D4" s="49"/>
      <x:c r="E4" s="49"/>
      <x:c r="F4" s="49"/>
      <x:c r="G4" s="49"/>
      <x:c r="H4" s="49"/>
      <x:c r="I4" s="49"/>
      <x:c r="J4" s="49"/>
    </x:row>
    <x:row r="5">
      <x:c r="A5" s="49"/>
      <x:c r="B5" s="49"/>
      <x:c r="C5" s="49"/>
      <x:c r="D5" s="49"/>
      <x:c r="E5" s="49"/>
      <x:c r="F5" s="49"/>
      <x:c r="G5" s="49"/>
      <x:c r="H5" s="49"/>
      <x:c r="I5" s="49"/>
      <x:c r="J5" s="49"/>
    </x:row>
    <x:row r="6" ht="34" customHeight="1">
      <x:c r="A6" s="58" t="str">
        <x:v>ID źródła</x:v>
      </x:c>
      <x:c r="B6" s="58" t="str">
        <x:v>Źródło</x:v>
      </x:c>
      <x:c r="C6" s="58" t="str">
        <x:v>Operator / właściciel</x:v>
      </x:c>
      <x:c r="D6" s="58" t="str">
        <x:v>Kategoria</x:v>
      </x:c>
      <x:c r="E6" s="58" t="str">
        <x:v>Weryfikacja</x:v>
      </x:c>
      <x:c r="F6" s="58" t="str">
        <x:v>Sprawdzono</x:v>
      </x:c>
      <x:c r="G6" s="58" t="str">
        <x:v>API</x:v>
      </x:c>
      <x:c r="H6" s="58" t="str">
        <x:v>GIS</x:v>
      </x:c>
      <x:c r="I6" s="58" t="str">
        <x:v>Użycie komercyjne</x:v>
      </x:c>
      <x:c r="J6" s="58" t="str">
        <x:v>Priorytet</x:v>
      </x:c>
    </x:row>
    <x:row r="7" ht="38" customHeight="1">
      <x:c r="A7" s="59" t="str">
        <x:v>PSE_API</x:v>
      </x:c>
      <x:c r="B7" s="59" t="str">
        <x:v>API raportów PSE — OpenAPI</x:v>
      </x:c>
      <x:c r="C7" s="59" t="str">
        <x:v>PSE</x:v>
      </x:c>
      <x:c r="D7" s="59" t="str">
        <x:v>system_data_and_node_dictionary</x:v>
      </x:c>
      <x:c r="E7" s="59" t="str">
        <x:v>SAMPLE_VERIFIED</x:v>
      </x:c>
      <x:c r="F7" s="60" t="n">
        <x:v>46275</x:v>
      </x:c>
      <x:c r="G7" s="59" t="str">
        <x:v>YES</x:v>
      </x:c>
      <x:c r="H7" s="59" t="str">
        <x:v>UNKNOWN</x:v>
      </x:c>
      <x:c r="I7" s="59" t="str">
        <x:v>UNKNOWN</x:v>
      </x:c>
      <x:c r="J7" s="59" t="str">
        <x:v>P1</x:v>
      </x:c>
    </x:row>
    <x:row r="8" ht="30" customHeight="1">
      <x:c r="A8" s="59" t="str">
        <x:v>PSE_PIPELINE</x:v>
      </x:c>
      <x:c r="B8" s="59" t="str">
        <x:v>Podmioty ubiegające się o przyłączenie — XLSX</x:v>
      </x:c>
      <x:c r="C8" s="59" t="str">
        <x:v>PSE</x:v>
      </x:c>
      <x:c r="D8" s="59" t="str">
        <x:v>connection_pipeline</x:v>
      </x:c>
      <x:c r="E8" s="59" t="str">
        <x:v>SAMPLE_VERIFIED</x:v>
      </x:c>
      <x:c r="F8" s="60" t="n">
        <x:v>46275</x:v>
      </x:c>
      <x:c r="G8" s="59" t="str">
        <x:v>UNKNOWN</x:v>
      </x:c>
      <x:c r="H8" s="59" t="str">
        <x:v>UNKNOWN</x:v>
      </x:c>
      <x:c r="I8" s="59" t="str">
        <x:v>UNKNOWN</x:v>
      </x:c>
      <x:c r="J8" s="59" t="str">
        <x:v>P1</x:v>
      </x:c>
    </x:row>
    <x:row r="9" ht="30" customHeight="1">
      <x:c r="A9" s="59" t="str">
        <x:v>PSE_CAPACITY</x:v>
      </x:c>
      <x:c r="B9" s="59" t="str">
        <x:v>Dostępność mocy przyłączeniowej do sieci przesyłowej</x:v>
      </x:c>
      <x:c r="C9" s="59" t="str">
        <x:v>PSE</x:v>
      </x:c>
      <x:c r="D9" s="59" t="str">
        <x:v>reported_connection_capacity</x:v>
      </x:c>
      <x:c r="E9" s="59" t="str">
        <x:v>SAMPLE_VERIFIED</x:v>
      </x:c>
      <x:c r="F9" s="60" t="n">
        <x:v>46275</x:v>
      </x:c>
      <x:c r="G9" s="59" t="str">
        <x:v>UNKNOWN</x:v>
      </x:c>
      <x:c r="H9" s="59" t="str">
        <x:v>UNKNOWN</x:v>
      </x:c>
      <x:c r="I9" s="59" t="str">
        <x:v>UNKNOWN</x:v>
      </x:c>
      <x:c r="J9" s="59" t="str">
        <x:v>P1</x:v>
      </x:c>
    </x:row>
    <x:row r="10" ht="30" customHeight="1">
      <x:c r="A10" s="59" t="str">
        <x:v>PSE_PLAN</x:v>
      </x:c>
      <x:c r="B10" s="59" t="str">
        <x:v>PRSP 2027–2036 — projekt po konsultacjach</x:v>
      </x:c>
      <x:c r="C10" s="59" t="str">
        <x:v>PSE</x:v>
      </x:c>
      <x:c r="D10" s="59" t="str">
        <x:v>grid_investments</x:v>
      </x:c>
      <x:c r="E10" s="59" t="str">
        <x:v>CONTENT_REVIEWED</x:v>
      </x:c>
      <x:c r="F10" s="60" t="n">
        <x:v>46275</x:v>
      </x:c>
      <x:c r="G10" s="59" t="str">
        <x:v>UNKNOWN</x:v>
      </x:c>
      <x:c r="H10" s="59" t="str">
        <x:v>UNKNOWN</x:v>
      </x:c>
      <x:c r="I10" s="59" t="str">
        <x:v>UNKNOWN</x:v>
      </x:c>
      <x:c r="J10" s="59" t="str">
        <x:v>P1</x:v>
      </x:c>
    </x:row>
    <x:row r="11" ht="38" customHeight="1">
      <x:c r="A11" s="59" t="str">
        <x:v>PSE_STRUCT_B2B</x:v>
      </x:c>
      <x:c r="B11" s="59" t="str">
        <x:v>Dokumentacja grid-struct-api</x:v>
      </x:c>
      <x:c r="C11" s="59" t="str">
        <x:v>PSE</x:v>
      </x:c>
      <x:c r="D11" s="59" t="str">
        <x:v>topology_interface_documentation</x:v>
      </x:c>
      <x:c r="E11" s="59" t="str">
        <x:v>DISCOVERED</x:v>
      </x:c>
      <x:c r="F11" s="60" t="n">
        <x:v>46275</x:v>
      </x:c>
      <x:c r="G11" s="59" t="str">
        <x:v>UNKNOWN</x:v>
      </x:c>
      <x:c r="H11" s="59" t="str">
        <x:v>UNKNOWN</x:v>
      </x:c>
      <x:c r="I11" s="59" t="str">
        <x:v>UNKNOWN</x:v>
      </x:c>
      <x:c r="J11" s="59" t="str">
        <x:v>P3</x:v>
      </x:c>
    </x:row>
    <x:row r="12" ht="30" customHeight="1">
      <x:c r="A12" s="59" t="str">
        <x:v>ENERGA_LANDING</x:v>
      </x:c>
      <x:c r="B12" s="59" t="str">
        <x:v>Informacje o stanie przyłączeń</x:v>
      </x:c>
      <x:c r="C12" s="59" t="str">
        <x:v>Energa-Operator</x:v>
      </x:c>
      <x:c r="D12" s="59" t="str">
        <x:v>source_index</x:v>
      </x:c>
      <x:c r="E12" s="59" t="str">
        <x:v>CONTENT_REVIEWED</x:v>
      </x:c>
      <x:c r="F12" s="60" t="n">
        <x:v>46275</x:v>
      </x:c>
      <x:c r="G12" s="59" t="str">
        <x:v>UNKNOWN</x:v>
      </x:c>
      <x:c r="H12" s="59" t="str">
        <x:v>UNKNOWN</x:v>
      </x:c>
      <x:c r="I12" s="59" t="str">
        <x:v>UNKNOWN</x:v>
      </x:c>
      <x:c r="J12" s="59" t="str">
        <x:v>P1</x:v>
      </x:c>
    </x:row>
    <x:row r="13" ht="30" customHeight="1">
      <x:c r="A13" s="59" t="str">
        <x:v>ENERGA_EXPORT</x:v>
      </x:c>
      <x:c r="B13" s="59" t="str">
        <x:v>Dostępna moc wytwórcza — 31.08.2026</x:v>
      </x:c>
      <x:c r="C13" s="59" t="str">
        <x:v>Energa-Operator</x:v>
      </x:c>
      <x:c r="D13" s="59" t="str">
        <x:v>reported_export_capacity</x:v>
      </x:c>
      <x:c r="E13" s="59" t="str">
        <x:v>SAMPLE_VERIFIED</x:v>
      </x:c>
      <x:c r="F13" s="60" t="n">
        <x:v>46275</x:v>
      </x:c>
      <x:c r="G13" s="59" t="str">
        <x:v>UNKNOWN</x:v>
      </x:c>
      <x:c r="H13" s="59" t="str">
        <x:v>UNKNOWN</x:v>
      </x:c>
      <x:c r="I13" s="59" t="str">
        <x:v>UNKNOWN</x:v>
      </x:c>
      <x:c r="J13" s="59" t="str">
        <x:v>P1</x:v>
      </x:c>
    </x:row>
    <x:row r="14" ht="30" customHeight="1">
      <x:c r="A14" s="59" t="str">
        <x:v>ENERGA_IMPORT</x:v>
      </x:c>
      <x:c r="B14" s="59" t="str">
        <x:v>Dostępna moc odbiorcza — 31.08.2026</x:v>
      </x:c>
      <x:c r="C14" s="59" t="str">
        <x:v>Energa-Operator</x:v>
      </x:c>
      <x:c r="D14" s="59" t="str">
        <x:v>reported_import_capacity</x:v>
      </x:c>
      <x:c r="E14" s="59" t="str">
        <x:v>SAMPLE_VERIFIED</x:v>
      </x:c>
      <x:c r="F14" s="60" t="n">
        <x:v>46275</x:v>
      </x:c>
      <x:c r="G14" s="59" t="str">
        <x:v>UNKNOWN</x:v>
      </x:c>
      <x:c r="H14" s="59" t="str">
        <x:v>UNKNOWN</x:v>
      </x:c>
      <x:c r="I14" s="59" t="str">
        <x:v>UNKNOWN</x:v>
      </x:c>
      <x:c r="J14" s="59" t="str">
        <x:v>P1</x:v>
      </x:c>
    </x:row>
    <x:row r="15" ht="30" customHeight="1">
      <x:c r="A15" s="59" t="str">
        <x:v>ENERGA_PIPELINE</x:v>
      </x:c>
      <x:c r="B15" s="59" t="str">
        <x:v>Wnioski i odmowy — konflikt dat dokumentu</x:v>
      </x:c>
      <x:c r="C15" s="59" t="str">
        <x:v>Energa-Operator</x:v>
      </x:c>
      <x:c r="D15" s="59" t="str">
        <x:v>connection_pipeline</x:v>
      </x:c>
      <x:c r="E15" s="59" t="str">
        <x:v>SAMPLE_VERIFIED</x:v>
      </x:c>
      <x:c r="F15" s="60" t="n">
        <x:v>46275</x:v>
      </x:c>
      <x:c r="G15" s="59" t="str">
        <x:v>UNKNOWN</x:v>
      </x:c>
      <x:c r="H15" s="59" t="str">
        <x:v>UNKNOWN</x:v>
      </x:c>
      <x:c r="I15" s="59" t="str">
        <x:v>UNKNOWN</x:v>
      </x:c>
      <x:c r="J15" s="59" t="str">
        <x:v>P1</x:v>
      </x:c>
    </x:row>
    <x:row r="16" ht="30" customHeight="1">
      <x:c r="A16" s="59" t="str">
        <x:v>ENERGA_PLAN</x:v>
      </x:c>
      <x:c r="B16" s="59" t="str">
        <x:v>Uzgodniony plan rozwoju 2026–2031</x:v>
      </x:c>
      <x:c r="C16" s="59" t="str">
        <x:v>Energa-Operator</x:v>
      </x:c>
      <x:c r="D16" s="59" t="str">
        <x:v>grid_investments</x:v>
      </x:c>
      <x:c r="E16" s="59" t="str">
        <x:v>CONTENT_REVIEWED</x:v>
      </x:c>
      <x:c r="F16" s="60" t="n">
        <x:v>46275</x:v>
      </x:c>
      <x:c r="G16" s="59" t="str">
        <x:v>UNKNOWN</x:v>
      </x:c>
      <x:c r="H16" s="59" t="str">
        <x:v>UNKNOWN</x:v>
      </x:c>
      <x:c r="I16" s="59" t="str">
        <x:v>UNKNOWN</x:v>
      </x:c>
      <x:c r="J16" s="59" t="str">
        <x:v>P1</x:v>
      </x:c>
    </x:row>
    <x:row r="17" ht="38" customHeight="1">
      <x:c r="A17" s="59" t="str">
        <x:v>ENEA_PIPELINE</x:v>
      </x:c>
      <x:c r="B17" s="59" t="str">
        <x:v>Informacje o przyłączeniach i kryteria SN</x:v>
      </x:c>
      <x:c r="C17" s="59" t="str">
        <x:v>ENEA Operator</x:v>
      </x:c>
      <x:c r="D17" s="59" t="str">
        <x:v>connection_pipeline_and_criteria</x:v>
      </x:c>
      <x:c r="E17" s="59" t="str">
        <x:v>CONTENT_REVIEWED</x:v>
      </x:c>
      <x:c r="F17" s="60" t="n">
        <x:v>46275</x:v>
      </x:c>
      <x:c r="G17" s="59" t="str">
        <x:v>UNKNOWN</x:v>
      </x:c>
      <x:c r="H17" s="59" t="str">
        <x:v>UNKNOWN</x:v>
      </x:c>
      <x:c r="I17" s="59" t="str">
        <x:v>UNKNOWN</x:v>
      </x:c>
      <x:c r="J17" s="59" t="str">
        <x:v>P1</x:v>
      </x:c>
    </x:row>
    <x:row r="18" ht="30" customHeight="1">
      <x:c r="A18" s="59" t="str">
        <x:v>ENEA_MAP</x:v>
      </x:c>
      <x:c r="B18" s="59" t="str">
        <x:v>Mapy przyłączonych i dostępnych mocy OZE</x:v>
      </x:c>
      <x:c r="C18" s="59" t="str">
        <x:v>ENEA Operator</x:v>
      </x:c>
      <x:c r="D18" s="59" t="str">
        <x:v>connection_capacity_map</x:v>
      </x:c>
      <x:c r="E18" s="59" t="str">
        <x:v>CONTENT_REVIEWED</x:v>
      </x:c>
      <x:c r="F18" s="60" t="n">
        <x:v>46275</x:v>
      </x:c>
      <x:c r="G18" s="59" t="str">
        <x:v>UNKNOWN</x:v>
      </x:c>
      <x:c r="H18" s="59" t="str">
        <x:v>VIEWER_ONLY</x:v>
      </x:c>
      <x:c r="I18" s="59" t="str">
        <x:v>UNKNOWN</x:v>
      </x:c>
      <x:c r="J18" s="59" t="str">
        <x:v>P1</x:v>
      </x:c>
    </x:row>
    <x:row r="19" ht="30" customHeight="1">
      <x:c r="A19" s="59" t="str">
        <x:v>ENEA_PLAN</x:v>
      </x:c>
      <x:c r="B19" s="59" t="str">
        <x:v>Plan rozwoju 2026–2031</x:v>
      </x:c>
      <x:c r="C19" s="59" t="str">
        <x:v>ENEA Operator</x:v>
      </x:c>
      <x:c r="D19" s="59" t="str">
        <x:v>grid_investments</x:v>
      </x:c>
      <x:c r="E19" s="59" t="str">
        <x:v>CONTENT_REVIEWED</x:v>
      </x:c>
      <x:c r="F19" s="60" t="n">
        <x:v>46275</x:v>
      </x:c>
      <x:c r="G19" s="59" t="str">
        <x:v>UNKNOWN</x:v>
      </x:c>
      <x:c r="H19" s="59" t="str">
        <x:v>UNKNOWN</x:v>
      </x:c>
      <x:c r="I19" s="59" t="str">
        <x:v>UNKNOWN</x:v>
      </x:c>
      <x:c r="J19" s="59" t="str">
        <x:v>P1</x:v>
      </x:c>
    </x:row>
    <x:row r="20" ht="30" customHeight="1">
      <x:c r="A20" s="59" t="str">
        <x:v>TAURON_PIPELINE</x:v>
      </x:c>
      <x:c r="B20" s="59" t="str">
        <x:v>Przyłączane obiekty i wydane odmowy</x:v>
      </x:c>
      <x:c r="C20" s="59" t="str">
        <x:v>TAURON Dystrybucja</x:v>
      </x:c>
      <x:c r="D20" s="59" t="str">
        <x:v>connection_pipeline</x:v>
      </x:c>
      <x:c r="E20" s="59" t="str">
        <x:v>SAMPLE_VERIFIED</x:v>
      </x:c>
      <x:c r="F20" s="60" t="n">
        <x:v>46275</x:v>
      </x:c>
      <x:c r="G20" s="59" t="str">
        <x:v>UNKNOWN</x:v>
      </x:c>
      <x:c r="H20" s="59" t="str">
        <x:v>UNKNOWN</x:v>
      </x:c>
      <x:c r="I20" s="59" t="str">
        <x:v>UNKNOWN</x:v>
      </x:c>
      <x:c r="J20" s="59" t="str">
        <x:v>P1</x:v>
      </x:c>
    </x:row>
    <x:row r="21" ht="30" customHeight="1">
      <x:c r="A21" s="59" t="str">
        <x:v>TAURON_MAP</x:v>
      </x:c>
      <x:c r="B21" s="59" t="str">
        <x:v>Portal dostępnych mocy</x:v>
      </x:c>
      <x:c r="C21" s="59" t="str">
        <x:v>TAURON Dystrybucja</x:v>
      </x:c>
      <x:c r="D21" s="59" t="str">
        <x:v>connection_capacity_map</x:v>
      </x:c>
      <x:c r="E21" s="59" t="str">
        <x:v>CONTENT_REVIEWED</x:v>
      </x:c>
      <x:c r="F21" s="60" t="n">
        <x:v>46275</x:v>
      </x:c>
      <x:c r="G21" s="59" t="str">
        <x:v>UNKNOWN</x:v>
      </x:c>
      <x:c r="H21" s="59" t="str">
        <x:v>VIEWER_ONLY</x:v>
      </x:c>
      <x:c r="I21" s="59" t="str">
        <x:v>UNKNOWN</x:v>
      </x:c>
      <x:c r="J21" s="59" t="str">
        <x:v>P2</x:v>
      </x:c>
    </x:row>
    <x:row r="22" ht="30" customHeight="1">
      <x:c r="A22" s="59" t="str">
        <x:v>TAURON_PLAN</x:v>
      </x:c>
      <x:c r="B22" s="59" t="str">
        <x:v>Plan rozwoju — indeks operatora</x:v>
      </x:c>
      <x:c r="C22" s="59" t="str">
        <x:v>TAURON Dystrybucja</x:v>
      </x:c>
      <x:c r="D22" s="59" t="str">
        <x:v>grid_investments</x:v>
      </x:c>
      <x:c r="E22" s="59" t="str">
        <x:v>CONTENT_REVIEWED</x:v>
      </x:c>
      <x:c r="F22" s="60" t="n">
        <x:v>46275</x:v>
      </x:c>
      <x:c r="G22" s="59" t="str">
        <x:v>UNKNOWN</x:v>
      </x:c>
      <x:c r="H22" s="59" t="str">
        <x:v>UNKNOWN</x:v>
      </x:c>
      <x:c r="I22" s="59" t="str">
        <x:v>UNKNOWN</x:v>
      </x:c>
      <x:c r="J22" s="59" t="str">
        <x:v>P2</x:v>
      </x:c>
    </x:row>
    <x:row r="23" ht="30" customHeight="1">
      <x:c r="A23" s="59" t="str">
        <x:v>STOEN_LANDING</x:v>
      </x:c>
      <x:c r="B23" s="59" t="str">
        <x:v>Sieć — indeks dokumentów</x:v>
      </x:c>
      <x:c r="C23" s="59" t="str">
        <x:v>Stoen Operator</x:v>
      </x:c>
      <x:c r="D23" s="59" t="str">
        <x:v>source_index</x:v>
      </x:c>
      <x:c r="E23" s="59" t="str">
        <x:v>CONTENT_REVIEWED</x:v>
      </x:c>
      <x:c r="F23" s="60" t="n">
        <x:v>46275</x:v>
      </x:c>
      <x:c r="G23" s="59" t="str">
        <x:v>UNKNOWN</x:v>
      </x:c>
      <x:c r="H23" s="59" t="str">
        <x:v>UNKNOWN</x:v>
      </x:c>
      <x:c r="I23" s="59" t="str">
        <x:v>REQUIRES_PERMISSION_REVIEW</x:v>
      </x:c>
      <x:c r="J23" s="59" t="str">
        <x:v>P2</x:v>
      </x:c>
    </x:row>
    <x:row r="24" ht="30" customHeight="1">
      <x:c r="A24" s="59" t="str">
        <x:v>STOEN_EXPORT</x:v>
      </x:c>
      <x:c r="B24" s="59" t="str">
        <x:v>Dostępna moc źródeł — III kwartał 2026</x:v>
      </x:c>
      <x:c r="C24" s="59" t="str">
        <x:v>Stoen Operator</x:v>
      </x:c>
      <x:c r="D24" s="59" t="str">
        <x:v>reported_export_capacity</x:v>
      </x:c>
      <x:c r="E24" s="59" t="str">
        <x:v>SAMPLE_VERIFIED</x:v>
      </x:c>
      <x:c r="F24" s="60" t="n">
        <x:v>46275</x:v>
      </x:c>
      <x:c r="G24" s="59" t="str">
        <x:v>UNKNOWN</x:v>
      </x:c>
      <x:c r="H24" s="59" t="str">
        <x:v>UNKNOWN</x:v>
      </x:c>
      <x:c r="I24" s="59" t="str">
        <x:v>REQUIRES_PERMISSION_REVIEW</x:v>
      </x:c>
      <x:c r="J24" s="59" t="str">
        <x:v>P2</x:v>
      </x:c>
    </x:row>
    <x:row r="25" ht="30" customHeight="1">
      <x:c r="A25" s="59" t="str">
        <x:v>STOEN_IMPORT</x:v>
      </x:c>
      <x:c r="B25" s="59" t="str">
        <x:v>Dostępna moc odbiorców — 31.08.2026</x:v>
      </x:c>
      <x:c r="C25" s="59" t="str">
        <x:v>Stoen Operator</x:v>
      </x:c>
      <x:c r="D25" s="59" t="str">
        <x:v>reported_import_capacity</x:v>
      </x:c>
      <x:c r="E25" s="59" t="str">
        <x:v>SAMPLE_VERIFIED</x:v>
      </x:c>
      <x:c r="F25" s="60" t="n">
        <x:v>46275</x:v>
      </x:c>
      <x:c r="G25" s="59" t="str">
        <x:v>UNKNOWN</x:v>
      </x:c>
      <x:c r="H25" s="59" t="str">
        <x:v>UNKNOWN</x:v>
      </x:c>
      <x:c r="I25" s="59" t="str">
        <x:v>REQUIRES_PERMISSION_REVIEW</x:v>
      </x:c>
      <x:c r="J25" s="59" t="str">
        <x:v>P2</x:v>
      </x:c>
    </x:row>
    <x:row r="26" ht="30" customHeight="1">
      <x:c r="A26" s="59" t="str">
        <x:v>STOEN_PIPELINE</x:v>
      </x:c>
      <x:c r="B26" s="59" t="str">
        <x:v>Wykaz podmiotów powyżej 1 kV — link do PDF</x:v>
      </x:c>
      <x:c r="C26" s="59" t="str">
        <x:v>Stoen Operator</x:v>
      </x:c>
      <x:c r="D26" s="59" t="str">
        <x:v>connection_pipeline</x:v>
      </x:c>
      <x:c r="E26" s="59" t="str">
        <x:v>DISCOVERED</x:v>
      </x:c>
      <x:c r="F26" s="60" t="n">
        <x:v>46275</x:v>
      </x:c>
      <x:c r="G26" s="59" t="str">
        <x:v>UNKNOWN</x:v>
      </x:c>
      <x:c r="H26" s="59" t="str">
        <x:v>UNKNOWN</x:v>
      </x:c>
      <x:c r="I26" s="59" t="str">
        <x:v>REQUIRES_PERMISSION_REVIEW</x:v>
      </x:c>
      <x:c r="J26" s="59" t="str">
        <x:v>P2</x:v>
      </x:c>
    </x:row>
    <x:row r="27" ht="30" customHeight="1">
      <x:c r="A27" s="59" t="str">
        <x:v>STOEN_STORAGE</x:v>
      </x:c>
      <x:c r="B27" s="59" t="str">
        <x:v>Rejestr magazynów — link do PDF</x:v>
      </x:c>
      <x:c r="C27" s="59" t="str">
        <x:v>Stoen Operator</x:v>
      </x:c>
      <x:c r="D27" s="59" t="str">
        <x:v>storage_register</x:v>
      </x:c>
      <x:c r="E27" s="59" t="str">
        <x:v>DISCOVERED</x:v>
      </x:c>
      <x:c r="F27" s="60" t="n">
        <x:v>46275</x:v>
      </x:c>
      <x:c r="G27" s="59" t="str">
        <x:v>UNKNOWN</x:v>
      </x:c>
      <x:c r="H27" s="59" t="str">
        <x:v>UNKNOWN</x:v>
      </x:c>
      <x:c r="I27" s="59" t="str">
        <x:v>REQUIRES_PERMISSION_REVIEW</x:v>
      </x:c>
      <x:c r="J27" s="59" t="str">
        <x:v>P2</x:v>
      </x:c>
    </x:row>
    <x:row r="28" ht="30" customHeight="1">
      <x:c r="A28" s="59" t="str">
        <x:v>STOEN_PLAN</x:v>
      </x:c>
      <x:c r="B28" s="59" t="str">
        <x:v>Plan rozwoju 2026–2031</x:v>
      </x:c>
      <x:c r="C28" s="59" t="str">
        <x:v>Stoen Operator</x:v>
      </x:c>
      <x:c r="D28" s="59" t="str">
        <x:v>grid_investments</x:v>
      </x:c>
      <x:c r="E28" s="59" t="str">
        <x:v>DISCOVERED</x:v>
      </x:c>
      <x:c r="F28" s="60" t="n">
        <x:v>46275</x:v>
      </x:c>
      <x:c r="G28" s="59" t="str">
        <x:v>UNKNOWN</x:v>
      </x:c>
      <x:c r="H28" s="59" t="str">
        <x:v>UNKNOWN</x:v>
      </x:c>
      <x:c r="I28" s="59" t="str">
        <x:v>REQUIRES_PERMISSION_REVIEW</x:v>
      </x:c>
      <x:c r="J28" s="59" t="str">
        <x:v>P2</x:v>
      </x:c>
    </x:row>
    <x:row r="29" ht="30" customHeight="1">
      <x:c r="A29" s="59" t="str">
        <x:v>PGE_LANDING</x:v>
      </x:c>
      <x:c r="B29" s="59" t="str">
        <x:v>Dostępne moce dla źródeł wytwórczych</x:v>
      </x:c>
      <x:c r="C29" s="59" t="str">
        <x:v>PGE Dystrybucja</x:v>
      </x:c>
      <x:c r="D29" s="59" t="str">
        <x:v>connection_capacity</x:v>
      </x:c>
      <x:c r="E29" s="59" t="str">
        <x:v>BLOCKED</x:v>
      </x:c>
      <x:c r="F29" s="60" t="n">
        <x:v>46275</x:v>
      </x:c>
      <x:c r="G29" s="59" t="str">
        <x:v>UNKNOWN</x:v>
      </x:c>
      <x:c r="H29" s="59" t="str">
        <x:v>UNKNOWN</x:v>
      </x:c>
      <x:c r="I29" s="59" t="str">
        <x:v>UNKNOWN</x:v>
      </x:c>
      <x:c r="J29" s="59" t="str">
        <x:v>P1</x:v>
      </x:c>
    </x:row>
    <x:row r="30" ht="30" customHeight="1">
      <x:c r="A30" s="59" t="str">
        <x:v>PGE_EXPORT_DISCOVERY</x:v>
      </x:c>
      <x:c r="B30" s="59" t="str">
        <x:v>Dostępne moce I kwartał 2026 — wskazanie wyszukiwarki</x:v>
      </x:c>
      <x:c r="C30" s="59" t="str">
        <x:v>PGE Dystrybucja</x:v>
      </x:c>
      <x:c r="D30" s="59" t="str">
        <x:v>reported_export_capacity</x:v>
      </x:c>
      <x:c r="E30" s="59" t="str">
        <x:v>BLOCKED</x:v>
      </x:c>
      <x:c r="F30" s="60" t="n">
        <x:v>46281</x:v>
      </x:c>
      <x:c r="G30" s="59" t="str">
        <x:v>UNKNOWN</x:v>
      </x:c>
      <x:c r="H30" s="59" t="str">
        <x:v>UNKNOWN</x:v>
      </x:c>
      <x:c r="I30" s="59" t="str">
        <x:v>UNKNOWN</x:v>
      </x:c>
      <x:c r="J30" s="59" t="str">
        <x:v>P2</x:v>
      </x:c>
    </x:row>
    <x:row r="31" ht="30" customHeight="1">
      <x:c r="A31" s="59" t="str">
        <x:v>PGE_PLAN_DISCOVERY</x:v>
      </x:c>
      <x:c r="B31" s="59" t="str">
        <x:v>Konsultacje planu rozwoju — wskazanie strony</x:v>
      </x:c>
      <x:c r="C31" s="59" t="str">
        <x:v>PGE Dystrybucja</x:v>
      </x:c>
      <x:c r="D31" s="59" t="str">
        <x:v>grid_investments</x:v>
      </x:c>
      <x:c r="E31" s="59" t="str">
        <x:v>BLOCKED</x:v>
      </x:c>
      <x:c r="F31" s="60" t="n">
        <x:v>46281</x:v>
      </x:c>
      <x:c r="G31" s="59" t="str">
        <x:v>UNKNOWN</x:v>
      </x:c>
      <x:c r="H31" s="59" t="str">
        <x:v>UNKNOWN</x:v>
      </x:c>
      <x:c r="I31" s="59" t="str">
        <x:v>UNKNOWN</x:v>
      </x:c>
      <x:c r="J31" s="59" t="str">
        <x:v>P2</x:v>
      </x:c>
    </x:row>
    <x:row r="32" ht="30" customHeight="1">
      <x:c r="A32" s="59" t="str">
        <x:v>KGHM_OSD</x:v>
      </x:c>
      <x:c r="B32" s="59" t="str">
        <x:v>OSD dla systemu elektroenergetycznego</x:v>
      </x:c>
      <x:c r="C32" s="59" t="str">
        <x:v>KGHM</x:v>
      </x:c>
      <x:c r="D32" s="59" t="str">
        <x:v>local_operator_publications</x:v>
      </x:c>
      <x:c r="E32" s="59" t="str">
        <x:v>CONTENT_REVIEWED</x:v>
      </x:c>
      <x:c r="F32" s="60" t="n">
        <x:v>46275</x:v>
      </x:c>
      <x:c r="G32" s="59" t="str">
        <x:v>UNKNOWN</x:v>
      </x:c>
      <x:c r="H32" s="59" t="str">
        <x:v>UNKNOWN</x:v>
      </x:c>
      <x:c r="I32" s="59" t="str">
        <x:v>UNKNOWN</x:v>
      </x:c>
      <x:c r="J32" s="59" t="str">
        <x:v>P2</x:v>
      </x:c>
    </x:row>
    <x:row r="33" ht="30" customHeight="1">
      <x:c r="A33" s="59" t="str">
        <x:v>URE_REGISTERS</x:v>
      </x:c>
      <x:c r="B33" s="59" t="str">
        <x:v>BIP URE — rejestry i bazy</x:v>
      </x:c>
      <x:c r="C33" s="59" t="str">
        <x:v>Urząd Regulacji Energetyki</x:v>
      </x:c>
      <x:c r="D33" s="59" t="str">
        <x:v>regulatory_registers</x:v>
      </x:c>
      <x:c r="E33" s="59" t="str">
        <x:v>CONTENT_REVIEWED</x:v>
      </x:c>
      <x:c r="F33" s="60" t="n">
        <x:v>46275</x:v>
      </x:c>
      <x:c r="G33" s="59" t="str">
        <x:v>UNKNOWN</x:v>
      </x:c>
      <x:c r="H33" s="59" t="str">
        <x:v>UNKNOWN</x:v>
      </x:c>
      <x:c r="I33" s="59" t="str">
        <x:v>UNKNOWN</x:v>
      </x:c>
      <x:c r="J33" s="59" t="str">
        <x:v>P1</x:v>
      </x:c>
    </x:row>
    <x:row r="34" ht="38" customHeight="1">
      <x:c r="A34" s="59" t="str">
        <x:v>ENERGY_LAW_516</x:v>
      </x:c>
      <x:c r="B34" s="59" t="str">
        <x:v>Dz.U. 2026 poz. 516 — zmiana Prawa energetycznego</x:v>
      </x:c>
      <x:c r="C34" s="59" t="str">
        <x:v>Dziennik Ustaw / RCL</x:v>
      </x:c>
      <x:c r="D34" s="59" t="str">
        <x:v>legal_publication_requirements</x:v>
      </x:c>
      <x:c r="E34" s="59" t="str">
        <x:v>SAMPLE_VERIFIED</x:v>
      </x:c>
      <x:c r="F34" s="60" t="n">
        <x:v>46275</x:v>
      </x:c>
      <x:c r="G34" s="59" t="str">
        <x:v>UNKNOWN</x:v>
      </x:c>
      <x:c r="H34" s="59" t="str">
        <x:v>UNKNOWN</x:v>
      </x:c>
      <x:c r="I34" s="59" t="str">
        <x:v>UNKNOWN</x:v>
      </x:c>
      <x:c r="J34" s="59" t="str">
        <x:v>P1</x:v>
      </x:c>
    </x:row>
    <x:row r="35" ht="38" customHeight="1">
      <x:c r="A35" s="59" t="str">
        <x:v>BIP_ENV_DISCOVERY</x:v>
      </x:c>
      <x:c r="B35" s="59" t="str">
        <x:v>Ekoportal — punkt wejścia do informacji środowiskowej</x:v>
      </x:c>
      <x:c r="C35" s="59" t="str">
        <x:v>Administracja środowiskowa</x:v>
      </x:c>
      <x:c r="D35" s="59" t="str">
        <x:v>administrative_project_discovery</x:v>
      </x:c>
      <x:c r="E35" s="59" t="str">
        <x:v>BLOCKED</x:v>
      </x:c>
      <x:c r="F35" s="60" t="n">
        <x:v>46275</x:v>
      </x:c>
      <x:c r="G35" s="59" t="str">
        <x:v>UNKNOWN</x:v>
      </x:c>
      <x:c r="H35" s="59" t="str">
        <x:v>UNKNOWN</x:v>
      </x:c>
      <x:c r="I35" s="59" t="str">
        <x:v>UNKNOWN</x:v>
      </x:c>
      <x:c r="J35" s="59" t="str">
        <x:v>P2</x:v>
      </x:c>
    </x:row>
    <x:row r="36" ht="30" customHeight="1">
      <x:c r="A36" s="59" t="str">
        <x:v>KRS_API_DOCS</x:v>
      </x:c>
      <x:c r="B36" s="59" t="str">
        <x:v>Portal Rejestrów Sądowych — OpenAPI</x:v>
      </x:c>
      <x:c r="C36" s="59" t="str">
        <x:v>Ministerstwo Sprawiedliwości</x:v>
      </x:c>
      <x:c r="D36" s="59" t="str">
        <x:v>company_identification</x:v>
      </x:c>
      <x:c r="E36" s="59" t="str">
        <x:v>DOCUMENTATION_REVIEWED</x:v>
      </x:c>
      <x:c r="F36" s="60" t="n">
        <x:v>46275</x:v>
      </x:c>
      <x:c r="G36" s="59" t="str">
        <x:v>DOCUMENTED_NOT_TESTED</x:v>
      </x:c>
      <x:c r="H36" s="59" t="str">
        <x:v>UNKNOWN</x:v>
      </x:c>
      <x:c r="I36" s="59" t="str">
        <x:v>UNKNOWN</x:v>
      </x:c>
      <x:c r="J36" s="59" t="str">
        <x:v>P2</x:v>
      </x:c>
    </x:row>
    <x:row r="37" ht="30" customHeight="1">
      <x:c r="A37" s="59" t="str">
        <x:v>GUGIK_EGIB</x:v>
      </x:c>
      <x:c r="B37" s="59" t="str">
        <x:v>GUGiK — zbiorcza usługa WFS EGiB</x:v>
      </x:c>
      <x:c r="C37" s="59" t="str">
        <x:v>GUGiK / właściwe organy EGiB</x:v>
      </x:c>
      <x:c r="D37" s="59" t="str">
        <x:v>cadastral_geometry</x:v>
      </x:c>
      <x:c r="E37" s="59" t="str">
        <x:v>SAMPLE_VERIFIED</x:v>
      </x:c>
      <x:c r="F37" s="60" t="n">
        <x:v>46275</x:v>
      </x:c>
      <x:c r="G37" s="59" t="str">
        <x:v>YES</x:v>
      </x:c>
      <x:c r="H37" s="59" t="str">
        <x:v>WFS_CAPABILITIES_VERIFIED</x:v>
      </x:c>
      <x:c r="I37" s="59" t="str">
        <x:v>UNKNOWN</x:v>
      </x:c>
      <x:c r="J37" s="59" t="str">
        <x:v>P1</x:v>
      </x:c>
    </x:row>
    <x:row r="38" ht="38" customHeight="1">
      <x:c r="A38" s="59" t="str">
        <x:v>GUGIK_BDOT</x:v>
      </x:c>
      <x:c r="B38" s="59" t="str">
        <x:v>BDOT10k — dane topograficzne</x:v>
      </x:c>
      <x:c r="C38" s="59" t="str">
        <x:v>GUGiK / PZGiK</x:v>
      </x:c>
      <x:c r="D38" s="59" t="str">
        <x:v>topography_transport_infrastructure</x:v>
      </x:c>
      <x:c r="E38" s="59" t="str">
        <x:v>DOCUMENTATION_REVIEWED</x:v>
      </x:c>
      <x:c r="F38" s="60" t="n">
        <x:v>46275</x:v>
      </x:c>
      <x:c r="G38" s="59" t="str">
        <x:v>UNKNOWN</x:v>
      </x:c>
      <x:c r="H38" s="59" t="str">
        <x:v>DOCUMENTED_NOT_TESTED</x:v>
      </x:c>
      <x:c r="I38" s="59" t="str">
        <x:v>UNKNOWN</x:v>
      </x:c>
      <x:c r="J38" s="59" t="str">
        <x:v>P1</x:v>
      </x:c>
    </x:row>
    <x:row r="39" ht="38" customHeight="1">
      <x:c r="A39" s="59" t="str">
        <x:v>GUGIK_BDOT_PARQUET</x:v>
      </x:c>
      <x:c r="B39" s="59" t="str">
        <x:v>Nowe udostępnianie BDOT10k jako GeoParquet</x:v>
      </x:c>
      <x:c r="C39" s="59" t="str">
        <x:v>GUGiK</x:v>
      </x:c>
      <x:c r="D39" s="59" t="str">
        <x:v>structured_topography_download</x:v>
      </x:c>
      <x:c r="E39" s="59" t="str">
        <x:v>DOCUMENTATION_REVIEWED</x:v>
      </x:c>
      <x:c r="F39" s="60" t="n">
        <x:v>46275</x:v>
      </x:c>
      <x:c r="G39" s="59" t="str">
        <x:v>UNKNOWN</x:v>
      </x:c>
      <x:c r="H39" s="59" t="str">
        <x:v>UNKNOWN</x:v>
      </x:c>
      <x:c r="I39" s="59" t="str">
        <x:v>UNKNOWN</x:v>
      </x:c>
      <x:c r="J39" s="59" t="str">
        <x:v>P1</x:v>
      </x:c>
    </x:row>
    <x:row r="40" ht="30" customHeight="1">
      <x:c r="A40" s="59" t="str">
        <x:v>GUGIK_ORTHO</x:v>
      </x:c>
      <x:c r="B40" s="59" t="str">
        <x:v>Ortofotomapa GUGiK</x:v>
      </x:c>
      <x:c r="C40" s="59" t="str">
        <x:v>GUGiK / PZGiK</x:v>
      </x:c>
      <x:c r="D40" s="59" t="str">
        <x:v>orthophoto</x:v>
      </x:c>
      <x:c r="E40" s="59" t="str">
        <x:v>DOCUMENTATION_REVIEWED</x:v>
      </x:c>
      <x:c r="F40" s="60" t="n">
        <x:v>46275</x:v>
      </x:c>
      <x:c r="G40" s="59" t="str">
        <x:v>UNKNOWN</x:v>
      </x:c>
      <x:c r="H40" s="59" t="str">
        <x:v>DOCUMENTED_NOT_TESTED</x:v>
      </x:c>
      <x:c r="I40" s="59" t="str">
        <x:v>PERMITTED_AS_DESCRIBED</x:v>
      </x:c>
      <x:c r="J40" s="59" t="str">
        <x:v>P2</x:v>
      </x:c>
    </x:row>
    <x:row r="41" ht="30" customHeight="1">
      <x:c r="A41" s="59" t="str">
        <x:v>GUGIK_NMT</x:v>
      </x:c>
      <x:c r="B41" s="59" t="str">
        <x:v>Numeryczny model terenu</x:v>
      </x:c>
      <x:c r="C41" s="59" t="str">
        <x:v>GUGiK / PZGiK</x:v>
      </x:c>
      <x:c r="D41" s="59" t="str">
        <x:v>terrain</x:v>
      </x:c>
      <x:c r="E41" s="59" t="str">
        <x:v>DOCUMENTATION_REVIEWED</x:v>
      </x:c>
      <x:c r="F41" s="60" t="n">
        <x:v>46275</x:v>
      </x:c>
      <x:c r="G41" s="59" t="str">
        <x:v>UNKNOWN</x:v>
      </x:c>
      <x:c r="H41" s="59" t="str">
        <x:v>DOCUMENTED_NOT_TESTED</x:v>
      </x:c>
      <x:c r="I41" s="59" t="str">
        <x:v>UNKNOWN</x:v>
      </x:c>
      <x:c r="J41" s="59" t="str">
        <x:v>P2</x:v>
      </x:c>
    </x:row>
    <x:row r="42" ht="30" customHeight="1">
      <x:c r="A42" s="59" t="str">
        <x:v>GUGIK_MPZP</x:v>
      </x:c>
      <x:c r="B42" s="59" t="str">
        <x:v>Krajowa Integracja MPZP</x:v>
      </x:c>
      <x:c r="C42" s="59" t="str">
        <x:v>GUGiK / gminy</x:v>
      </x:c>
      <x:c r="D42" s="59" t="str">
        <x:v>spatial_planning</x:v>
      </x:c>
      <x:c r="E42" s="59" t="str">
        <x:v>CONTENT_REVIEWED</x:v>
      </x:c>
      <x:c r="F42" s="60" t="n">
        <x:v>46275</x:v>
      </x:c>
      <x:c r="G42" s="59" t="str">
        <x:v>UNKNOWN</x:v>
      </x:c>
      <x:c r="H42" s="59" t="str">
        <x:v>VIEWER_ONLY</x:v>
      </x:c>
      <x:c r="I42" s="59" t="str">
        <x:v>UNKNOWN</x:v>
      </x:c>
      <x:c r="J42" s="59" t="str">
        <x:v>P2</x:v>
      </x:c>
    </x:row>
    <x:row r="43" ht="38" customHeight="1">
      <x:c r="A43" s="59" t="str">
        <x:v>URBAN_REGISTER</x:v>
      </x:c>
      <x:c r="B43" s="59" t="str">
        <x:v>Rejestr Urbanistyczny — publikacje</x:v>
      </x:c>
      <x:c r="C43" s="59" t="str">
        <x:v>Administracja publiczna — Rejestr Urbanistyczny</x:v>
      </x:c>
      <x:c r="D43" s="59" t="str">
        <x:v>spatial_planning_register</x:v>
      </x:c>
      <x:c r="E43" s="59" t="str">
        <x:v>CONTENT_REVIEWED</x:v>
      </x:c>
      <x:c r="F43" s="60" t="n">
        <x:v>46275</x:v>
      </x:c>
      <x:c r="G43" s="59" t="str">
        <x:v>UNKNOWN</x:v>
      </x:c>
      <x:c r="H43" s="59" t="str">
        <x:v>UNKNOWN</x:v>
      </x:c>
      <x:c r="I43" s="59" t="str">
        <x:v>UNKNOWN</x:v>
      </x:c>
      <x:c r="J43" s="59" t="str">
        <x:v>P2</x:v>
      </x:c>
    </x:row>
    <x:row r="44" ht="38" customHeight="1">
      <x:c r="A44" s="59" t="str">
        <x:v>GDOS_GIS</x:v>
      </x:c>
      <x:c r="B44" s="59" t="str">
        <x:v>GDOŚ — WFS form ochrony przyrody</x:v>
      </x:c>
      <x:c r="C44" s="59" t="str">
        <x:v>Generalna Dyrekcja Ochrony Środowiska</x:v>
      </x:c>
      <x:c r="D44" s="59" t="str">
        <x:v>protected_areas_natura2000</x:v>
      </x:c>
      <x:c r="E44" s="59" t="str">
        <x:v>SAMPLE_VERIFIED</x:v>
      </x:c>
      <x:c r="F44" s="60" t="n">
        <x:v>46275</x:v>
      </x:c>
      <x:c r="G44" s="59" t="str">
        <x:v>YES</x:v>
      </x:c>
      <x:c r="H44" s="59" t="str">
        <x:v>WFS_CAPABILITIES_VERIFIED</x:v>
      </x:c>
      <x:c r="I44" s="59" t="str">
        <x:v>UNKNOWN</x:v>
      </x:c>
      <x:c r="J44" s="59" t="str">
        <x:v>P1</x:v>
      </x:c>
    </x:row>
    <x:row r="45" ht="38" customHeight="1">
      <x:c r="A45" s="59" t="str">
        <x:v>WODY_SIGW</x:v>
      </x:c>
      <x:c r="B45" s="59" t="str">
        <x:v>SIGW — udostępnianie danych Wód Polskich</x:v>
      </x:c>
      <x:c r="C45" s="59" t="str">
        <x:v>Państwowe Gospodarstwo Wodne Wody Polskie</x:v>
      </x:c>
      <x:c r="D45" s="59" t="str">
        <x:v>flood_and_water_constraints</x:v>
      </x:c>
      <x:c r="E45" s="59" t="str">
        <x:v>DOCUMENTATION_REVIEWED</x:v>
      </x:c>
      <x:c r="F45" s="60" t="n">
        <x:v>46275</x:v>
      </x:c>
      <x:c r="G45" s="59" t="str">
        <x:v>UNKNOWN</x:v>
      </x:c>
      <x:c r="H45" s="59" t="str">
        <x:v>DOCUMENTED_NOT_TESTED</x:v>
      </x:c>
      <x:c r="I45" s="59" t="str">
        <x:v>PRODUCT_SPECIFIC</x:v>
      </x:c>
      <x:c r="J45" s="59" t="str">
        <x:v>P2</x:v>
      </x:c>
    </x:row>
    <x:row r="46" ht="38" customHeight="1">
      <x:c r="A46" s="59" t="str">
        <x:v>BDL_GIS</x:v>
      </x:c>
      <x:c r="B46" s="59" t="str">
        <x:v>Bank Danych o Lasach — usługi OGC</x:v>
      </x:c>
      <x:c r="C46" s="59" t="str">
        <x:v>Bank Danych o Lasach / Lasy Państwowe</x:v>
      </x:c>
      <x:c r="D46" s="59" t="str">
        <x:v>forest_constraints</x:v>
      </x:c>
      <x:c r="E46" s="59" t="str">
        <x:v>DOCUMENTATION_REVIEWED</x:v>
      </x:c>
      <x:c r="F46" s="60" t="n">
        <x:v>46275</x:v>
      </x:c>
      <x:c r="G46" s="59" t="str">
        <x:v>DOCUMENTED_NOT_TESTED</x:v>
      </x:c>
      <x:c r="H46" s="59" t="str">
        <x:v>DOCUMENTED_NOT_TESTED</x:v>
      </x:c>
      <x:c r="I46" s="59" t="str">
        <x:v>UNKNOWN</x:v>
      </x:c>
      <x:c r="J46" s="59" t="str">
        <x:v>P2</x:v>
      </x:c>
    </x:row>
    <x:row r="47" ht="30" customHeight="1">
      <x:c r="A47" s="59" t="str">
        <x:v>ENTSOE_TP</x:v>
      </x:c>
      <x:c r="B47" s="59" t="str">
        <x:v>Transparency Platform</x:v>
      </x:c>
      <x:c r="C47" s="59" t="str">
        <x:v>ENTSO-E</x:v>
      </x:c>
      <x:c r="D47" s="59" t="str">
        <x:v>system_timeseries</x:v>
      </x:c>
      <x:c r="E47" s="59" t="str">
        <x:v>DOCUMENTATION_REVIEWED</x:v>
      </x:c>
      <x:c r="F47" s="60" t="n">
        <x:v>46275</x:v>
      </x:c>
      <x:c r="G47" s="59" t="str">
        <x:v>DOCUMENTED_NOT_TESTED</x:v>
      </x:c>
      <x:c r="H47" s="59" t="str">
        <x:v>UNKNOWN</x:v>
      </x:c>
      <x:c r="I47" s="59" t="str">
        <x:v>DATASET_SPECIFIC</x:v>
      </x:c>
      <x:c r="J47" s="59" t="str">
        <x:v>P2</x:v>
      </x:c>
    </x:row>
    <x:row r="48" ht="30" customHeight="1">
      <x:c r="A48" s="59" t="str">
        <x:v>ENTSOE_MAP</x:v>
      </x:c>
      <x:c r="B48" s="59" t="str">
        <x:v>Grid Map — downloads</x:v>
      </x:c>
      <x:c r="C48" s="59" t="str">
        <x:v>ENTSO-E</x:v>
      </x:c>
      <x:c r="D48" s="59" t="str">
        <x:v>transmission_overview_map</x:v>
      </x:c>
      <x:c r="E48" s="59" t="str">
        <x:v>CONTENT_REVIEWED</x:v>
      </x:c>
      <x:c r="F48" s="60" t="n">
        <x:v>46275</x:v>
      </x:c>
      <x:c r="G48" s="59" t="str">
        <x:v>UNKNOWN</x:v>
      </x:c>
      <x:c r="H48" s="59" t="str">
        <x:v>UNKNOWN</x:v>
      </x:c>
      <x:c r="I48" s="59" t="str">
        <x:v>UNKNOWN</x:v>
      </x:c>
      <x:c r="J48" s="59" t="str">
        <x:v>P2</x:v>
      </x:c>
    </x:row>
    <x:row r="49" ht="30" customHeight="1">
      <x:c r="A49" s="59" t="str">
        <x:v>OSM_LICENSE</x:v>
      </x:c>
      <x:c r="B49" s="59" t="str">
        <x:v>OpenStreetMap — dane i warunki ODbL</x:v>
      </x:c>
      <x:c r="C49" s="59" t="str">
        <x:v>OpenStreetMap contributors</x:v>
      </x:c>
      <x:c r="D49" s="59" t="str">
        <x:v>community_grid_geometry</x:v>
      </x:c>
      <x:c r="E49" s="59" t="str">
        <x:v>DOCUMENTATION_REVIEWED</x:v>
      </x:c>
      <x:c r="F49" s="60" t="n">
        <x:v>46275</x:v>
      </x:c>
      <x:c r="G49" s="59" t="str">
        <x:v>UNKNOWN</x:v>
      </x:c>
      <x:c r="H49" s="59" t="str">
        <x:v>UNKNOWN</x:v>
      </x:c>
      <x:c r="I49" s="59" t="str">
        <x:v>CONDITIONAL</x:v>
      </x:c>
      <x:c r="J49" s="59" t="str">
        <x:v>P2</x:v>
      </x:c>
    </x:row>
    <x:row r="50" ht="38" customHeight="1">
      <x:c r="A50" s="59" t="str">
        <x:v>GEOFABRIK_PL</x:v>
      </x:c>
      <x:c r="B50" s="59" t="str">
        <x:v>Geofabrik — Poland OSM extract</x:v>
      </x:c>
      <x:c r="C50" s="59" t="str">
        <x:v>OpenStreetMap contributors; extract Geofabrik</x:v>
      </x:c>
      <x:c r="D50" s="59" t="str">
        <x:v>community_geometry_download</x:v>
      </x:c>
      <x:c r="E50" s="59" t="str">
        <x:v>CONTENT_REVIEWED</x:v>
      </x:c>
      <x:c r="F50" s="60" t="n">
        <x:v>46275</x:v>
      </x:c>
      <x:c r="G50" s="59" t="str">
        <x:v>UNKNOWN</x:v>
      </x:c>
      <x:c r="H50" s="59" t="str">
        <x:v>UNKNOWN</x:v>
      </x:c>
      <x:c r="I50" s="59" t="str">
        <x:v>CONDITIONAL</x:v>
      </x:c>
      <x:c r="J50" s="59" t="str">
        <x:v>P2</x:v>
      </x:c>
    </x:row>
    <x:row r="51" ht="38" customHeight="1">
      <x:c r="A51" s="59" t="str">
        <x:v>OPENINFRAMAP</x:v>
      </x:c>
      <x:c r="B51" s="59" t="str">
        <x:v>OpenInfraMap — opis źródła</x:v>
      </x:c>
      <x:c r="C51" s="59" t="str">
        <x:v>Autorzy OpenInfraMap / OpenStreetMap contributors</x:v>
      </x:c>
      <x:c r="D51" s="59" t="str">
        <x:v>infrastructure_visualization</x:v>
      </x:c>
      <x:c r="E51" s="59" t="str">
        <x:v>CONTENT_REVIEWED</x:v>
      </x:c>
      <x:c r="F51" s="60" t="n">
        <x:v>46275</x:v>
      </x:c>
      <x:c r="G51" s="59" t="str">
        <x:v>UNKNOWN</x:v>
      </x:c>
      <x:c r="H51" s="59" t="str">
        <x:v>VIEWER_ONLY</x:v>
      </x:c>
      <x:c r="I51" s="59" t="str">
        <x:v>CONDITIONAL</x:v>
      </x:c>
      <x:c r="J51" s="59" t="str">
        <x:v>P2</x:v>
      </x:c>
    </x:row>
    <x:row r="52" ht="38" customHeight="1">
      <x:c r="A52" s="59" t="str">
        <x:v>PYPSA_EUR</x:v>
      </x:c>
      <x:c r="B52" s="59" t="str">
        <x:v>PyPSA-Eur</x:v>
      </x:c>
      <x:c r="C52" s="59" t="str">
        <x:v>Autorzy PyPSA-Eur i właściciele danych wejściowych</x:v>
      </x:c>
      <x:c r="D52" s="59" t="str">
        <x:v>open_grid_model_workflow</x:v>
      </x:c>
      <x:c r="E52" s="59" t="str">
        <x:v>CONTENT_REVIEWED</x:v>
      </x:c>
      <x:c r="F52" s="60" t="n">
        <x:v>46275</x:v>
      </x:c>
      <x:c r="G52" s="59" t="str">
        <x:v>UNKNOWN</x:v>
      </x:c>
      <x:c r="H52" s="59" t="str">
        <x:v>UNKNOWN</x:v>
      </x:c>
      <x:c r="I52" s="59" t="str">
        <x:v>CONDITIONAL</x:v>
      </x:c>
      <x:c r="J52" s="59" t="str">
        <x:v>P2</x:v>
      </x:c>
    </x:row>
    <x:row r="53" ht="38" customHeight="1">
      <x:c r="A53" s="59" t="str">
        <x:v>MATPOWER_POLAND</x:v>
      </x:c>
      <x:c r="B53" s="59" t="str">
        <x:v>MATPOWER case2383wp — historyczny przypadek Polski</x:v>
      </x:c>
      <x:c r="C53" s="59" t="str">
        <x:v>Autor przypadku / autorzy MATPOWER</x:v>
      </x:c>
      <x:c r="D53" s="59" t="str">
        <x:v>historical_grid_benchmark</x:v>
      </x:c>
      <x:c r="E53" s="59" t="str">
        <x:v>CONTENT_REVIEWED</x:v>
      </x:c>
      <x:c r="F53" s="60" t="n">
        <x:v>46275</x:v>
      </x:c>
      <x:c r="G53" s="59" t="str">
        <x:v>UNKNOWN</x:v>
      </x:c>
      <x:c r="H53" s="59" t="str">
        <x:v>UNKNOWN</x:v>
      </x:c>
      <x:c r="I53" s="59" t="str">
        <x:v>UNKNOWN</x:v>
      </x:c>
      <x:c r="J53" s="59" t="str">
        <x:v>P3</x:v>
      </x:c>
    </x:row>
    <x:row r="54" ht="30" customHeight="1">
      <x:c r="A54" s="59" t="str">
        <x:v>PANDAPOWER</x:v>
      </x:c>
      <x:c r="B54" s="59" t="str">
        <x:v>pandapower</x:v>
      </x:c>
      <x:c r="C54" s="59" t="str">
        <x:v>Autorzy pandapower</x:v>
      </x:c>
      <x:c r="D54" s="59" t="str">
        <x:v>powerflow_library</x:v>
      </x:c>
      <x:c r="E54" s="59" t="str">
        <x:v>CONTENT_REVIEWED</x:v>
      </x:c>
      <x:c r="F54" s="60" t="n">
        <x:v>46275</x:v>
      </x:c>
      <x:c r="G54" s="59" t="str">
        <x:v>UNKNOWN</x:v>
      </x:c>
      <x:c r="H54" s="59" t="str">
        <x:v>UNKNOWN</x:v>
      </x:c>
      <x:c r="I54" s="59" t="str">
        <x:v>UNKNOWN</x:v>
      </x:c>
      <x:c r="J54" s="59" t="str">
        <x:v>P3</x:v>
      </x:c>
    </x:row>
    <x:row r="55" ht="30" customHeight="1">
      <x:c r="A55" s="59" t="str">
        <x:v>VERAGRID</x:v>
      </x:c>
      <x:c r="B55" s="59" t="str">
        <x:v>GridCal / VeraGrid</x:v>
      </x:c>
      <x:c r="C55" s="59" t="str">
        <x:v>Autorzy VeraGrid</x:v>
      </x:c>
      <x:c r="D55" s="59" t="str">
        <x:v>powerflow_library</x:v>
      </x:c>
      <x:c r="E55" s="59" t="str">
        <x:v>CONTENT_REVIEWED</x:v>
      </x:c>
      <x:c r="F55" s="60" t="n">
        <x:v>46275</x:v>
      </x:c>
      <x:c r="G55" s="59" t="str">
        <x:v>UNKNOWN</x:v>
      </x:c>
      <x:c r="H55" s="59" t="str">
        <x:v>UNKNOWN</x:v>
      </x:c>
      <x:c r="I55" s="59" t="str">
        <x:v>CONDITIONAL</x:v>
      </x:c>
      <x:c r="J55" s="59" t="str">
        <x:v>P3</x:v>
      </x:c>
    </x:row>
    <x:row r="56" ht="30" customHeight="1">
      <x:c r="A56" s="59" t="str">
        <x:v>MATPOWER_LIBRARY</x:v>
      </x:c>
      <x:c r="B56" s="59" t="str">
        <x:v>MATPOWER</x:v>
      </x:c>
      <x:c r="C56" s="59" t="str">
        <x:v>Autorzy MATPOWER</x:v>
      </x:c>
      <x:c r="D56" s="59" t="str">
        <x:v>powerflow_library</x:v>
      </x:c>
      <x:c r="E56" s="59" t="str">
        <x:v>CONTENT_REVIEWED</x:v>
      </x:c>
      <x:c r="F56" s="60" t="n">
        <x:v>46275</x:v>
      </x:c>
      <x:c r="G56" s="59" t="str">
        <x:v>UNKNOWN</x:v>
      </x:c>
      <x:c r="H56" s="59" t="str">
        <x:v>UNKNOWN</x:v>
      </x:c>
      <x:c r="I56" s="59" t="str">
        <x:v>UNKNOWN</x:v>
      </x:c>
      <x:c r="J56" s="59" t="str">
        <x:v>P3</x:v>
      </x:c>
    </x:row>
    <x:row r="57" ht="30" customHeight="1">
      <x:c r="A57" s="59" t="str">
        <x:v>POWERMODELS</x:v>
      </x:c>
      <x:c r="B57" s="59" t="str">
        <x:v>PowerModels.jl</x:v>
      </x:c>
      <x:c r="C57" s="59" t="str">
        <x:v>LANL-ANSI / autorzy PowerModels</x:v>
      </x:c>
      <x:c r="D57" s="59" t="str">
        <x:v>optimization_library</x:v>
      </x:c>
      <x:c r="E57" s="59" t="str">
        <x:v>CONTENT_REVIEWED</x:v>
      </x:c>
      <x:c r="F57" s="60" t="n">
        <x:v>46275</x:v>
      </x:c>
      <x:c r="G57" s="59" t="str">
        <x:v>UNKNOWN</x:v>
      </x:c>
      <x:c r="H57" s="59" t="str">
        <x:v>UNKNOWN</x:v>
      </x:c>
      <x:c r="I57" s="59" t="str">
        <x:v>UNKNOWN</x:v>
      </x:c>
      <x:c r="J57" s="59" t="str">
        <x:v>P3</x:v>
      </x:c>
    </x:row>
    <x:row r="58" ht="38" customHeight="1">
      <x:c r="A58" s="59" t="str">
        <x:v>OPSD_TIMESERIES</x:v>
      </x:c>
      <x:c r="B58" s="59" t="str">
        <x:v>Open Power System Data — time series</x:v>
      </x:c>
      <x:c r="C58" s="59" t="str">
        <x:v>OPSD / pierwotni dostawcy szeregów</x:v>
      </x:c>
      <x:c r="D58" s="59" t="str">
        <x:v>historical_system_timeseries</x:v>
      </x:c>
      <x:c r="E58" s="59" t="str">
        <x:v>CONTENT_REVIEWED</x:v>
      </x:c>
      <x:c r="F58" s="60" t="n">
        <x:v>46275</x:v>
      </x:c>
      <x:c r="G58" s="59" t="str">
        <x:v>UNKNOWN</x:v>
      </x:c>
      <x:c r="H58" s="59" t="str">
        <x:v>UNKNOWN</x:v>
      </x:c>
      <x:c r="I58" s="59" t="str">
        <x:v>DATASET_SPECIFIC</x:v>
      </x:c>
      <x:c r="J58" s="59" t="str">
        <x:v>P3</x:v>
      </x:c>
    </x:row>
    <x:row r="59" ht="30" customHeight="1">
      <x:c r="A59" s="59" t="str">
        <x:v>ENERGY_CHARTS</x:v>
      </x:c>
      <x:c r="B59" s="59" t="str">
        <x:v>Energy-Charts API</x:v>
      </x:c>
      <x:c r="C59" s="59" t="str">
        <x:v>Fraunhofer ISE / dostawcy serii</x:v>
      </x:c>
      <x:c r="D59" s="59" t="str">
        <x:v>system_timeseries</x:v>
      </x:c>
      <x:c r="E59" s="59" t="str">
        <x:v>SAMPLE_VERIFIED</x:v>
      </x:c>
      <x:c r="F59" s="60" t="n">
        <x:v>46275</x:v>
      </x:c>
      <x:c r="G59" s="59" t="str">
        <x:v>YES</x:v>
      </x:c>
      <x:c r="H59" s="59" t="str">
        <x:v>UNKNOWN</x:v>
      </x:c>
      <x:c r="I59" s="59" t="str">
        <x:v>CONDITIONAL_FOR_VERIFIED_SAMPLE</x:v>
      </x:c>
      <x:c r="J59" s="59" t="str">
        <x:v>P2</x:v>
      </x:c>
    </x:row>
    <x:row r="60" ht="30" customHeight="1">
      <x:c r="A60" s="59" t="str">
        <x:v>EMBER_API</x:v>
      </x:c>
      <x:c r="B60" s="59" t="str">
        <x:v>Ember Energy API — dokumentacja</x:v>
      </x:c>
      <x:c r="C60" s="59" t="str">
        <x:v>Ember</x:v>
      </x:c>
      <x:c r="D60" s="59" t="str">
        <x:v>system_energy_data</x:v>
      </x:c>
      <x:c r="E60" s="59" t="str">
        <x:v>DOCUMENTATION_REVIEWED</x:v>
      </x:c>
      <x:c r="F60" s="60" t="n">
        <x:v>46275</x:v>
      </x:c>
      <x:c r="G60" s="59" t="str">
        <x:v>DOCUMENTED_NOT_TESTED</x:v>
      </x:c>
      <x:c r="H60" s="59" t="str">
        <x:v>UNKNOWN</x:v>
      </x:c>
      <x:c r="I60" s="59" t="str">
        <x:v>UNKNOWN</x:v>
      </x:c>
      <x:c r="J60" s="59" t="str">
        <x:v>P3</x:v>
      </x:c>
    </x:row>
    <x:row r="61" ht="38" customHeight="1">
      <x:c r="A61" s="59" t="str">
        <x:v>JRC_IDEES</x:v>
      </x:c>
      <x:c r="B61" s="59" t="str">
        <x:v>JRC IDEES-2023</x:v>
      </x:c>
      <x:c r="C61" s="59" t="str">
        <x:v>European Commission Joint Research Centre</x:v>
      </x:c>
      <x:c r="D61" s="59" t="str">
        <x:v>historical_energy_demand_structure</x:v>
      </x:c>
      <x:c r="E61" s="59" t="str">
        <x:v>CONTENT_REVIEWED</x:v>
      </x:c>
      <x:c r="F61" s="60" t="n">
        <x:v>46275</x:v>
      </x:c>
      <x:c r="G61" s="59" t="str">
        <x:v>UNKNOWN</x:v>
      </x:c>
      <x:c r="H61" s="59" t="str">
        <x:v>UNKNOWN</x:v>
      </x:c>
      <x:c r="I61" s="59" t="str">
        <x:v>UNKNOWN</x:v>
      </x:c>
      <x:c r="J61" s="59" t="str">
        <x:v>P3</x:v>
      </x:c>
    </x:row>
    <x:row r="62" ht="38" customHeight="1">
      <x:c r="A62" s="59" t="str">
        <x:v>COPERNICUS</x:v>
      </x:c>
      <x:c r="B62" s="59" t="str">
        <x:v>Copernicus Data Space — OData i produkty</x:v>
      </x:c>
      <x:c r="C62" s="59" t="str">
        <x:v>Copernicus / ESA / operatorzy CDSE zależnie od produktu</x:v>
      </x:c>
      <x:c r="D62" s="59" t="str">
        <x:v>earth_observation</x:v>
      </x:c>
      <x:c r="E62" s="59" t="str">
        <x:v>DOCUMENTATION_REVIEWED</x:v>
      </x:c>
      <x:c r="F62" s="60" t="n">
        <x:v>46275</x:v>
      </x:c>
      <x:c r="G62" s="59" t="str">
        <x:v>DOCUMENTED_NOT_TESTED</x:v>
      </x:c>
      <x:c r="H62" s="59" t="str">
        <x:v>DOCUMENTED_NOT_TESTED</x:v>
      </x:c>
      <x:c r="I62" s="59" t="str">
        <x:v>PRODUCT_SPECIFIC</x:v>
      </x:c>
      <x:c r="J62" s="59" t="str">
        <x:v>P3</x:v>
      </x:c>
    </x:row>
    <x:row r="63" ht="30" customHeight="1">
      <x:c r="A63" s="59" t="str">
        <x:v>PSE_INVESTMENTS_RADK</x:v>
      </x:c>
      <x:c r="B63" s="59" t="str">
        <x:v>Portal inwestycji PSE — sekcja Radkowice</x:v>
      </x:c>
      <x:c r="C63" s="59" t="str">
        <x:v>PSE</x:v>
      </x:c>
      <x:c r="D63" s="59" t="str">
        <x:v>grid_investments</x:v>
      </x:c>
      <x:c r="E63" s="59" t="str">
        <x:v>CONTENT_REVIEWED</x:v>
      </x:c>
      <x:c r="F63" s="60" t="n">
        <x:v>46282</x:v>
      </x:c>
      <x:c r="G63" s="59" t="str">
        <x:v>UNKNOWN</x:v>
      </x:c>
      <x:c r="H63" s="59" t="str">
        <x:v>UNKNOWN</x:v>
      </x:c>
      <x:c r="I63" s="59" t="str">
        <x:v>UNKNOWN</x:v>
      </x:c>
      <x:c r="J63" s="59" t="str">
        <x:v>P0</x:v>
      </x:c>
    </x:row>
    <x:row r="64" ht="38" customHeight="1">
      <x:c r="A64" s="59" t="str">
        <x:v>CHECINY_ENERGY_PLAN</x:v>
      </x:c>
      <x:c r="B64" s="59" t="str">
        <x:v>BIP Chęcin — założenia energetyczne 2025–2027 z perspektywą 2040</x:v>
      </x:c>
      <x:c r="C64" s="59" t="str">
        <x:v>PSE / PGE — informacje przypisane w dokumencie gminy</x:v>
      </x:c>
      <x:c r="D64" s="59" t="str">
        <x:v>local_grid_and_investments</x:v>
      </x:c>
      <x:c r="E64" s="59" t="str">
        <x:v>CONTENT_REVIEWED</x:v>
      </x:c>
      <x:c r="F64" s="60" t="n">
        <x:v>46276</x:v>
      </x:c>
      <x:c r="G64" s="59" t="str">
        <x:v>UNKNOWN</x:v>
      </x:c>
      <x:c r="H64" s="59" t="str">
        <x:v>UNKNOWN</x:v>
      </x:c>
      <x:c r="I64" s="59" t="str">
        <x:v>UNKNOWN</x:v>
      </x:c>
      <x:c r="J64" s="59" t="str">
        <x:v>P0</x:v>
      </x:c>
    </x:row>
    <x:row r="65" ht="30" customHeight="1">
      <x:c r="A65" s="59" t="str">
        <x:v>PSE_TARIFF_2026</x:v>
      </x:c>
      <x:c r="B65" s="59" t="str">
        <x:v>Taryfa PSE 2026 — odbiorcy i miejsca dostarczania</x:v>
      </x:c>
      <x:c r="C65" s="59" t="str">
        <x:v>PSE</x:v>
      </x:c>
      <x:c r="D65" s="59" t="str">
        <x:v>operator_delivery_points</x:v>
      </x:c>
      <x:c r="E65" s="59" t="str">
        <x:v>CONTENT_REVIEWED</x:v>
      </x:c>
      <x:c r="F65" s="60" t="n">
        <x:v>46276</x:v>
      </x:c>
      <x:c r="G65" s="59" t="str">
        <x:v>UNKNOWN</x:v>
      </x:c>
      <x:c r="H65" s="59" t="str">
        <x:v>UNKNOWN</x:v>
      </x:c>
      <x:c r="I65" s="59" t="str">
        <x:v>UNKNOWN</x:v>
      </x:c>
      <x:c r="J65" s="59" t="str">
        <x:v>P0</x:v>
      </x:c>
    </x:row>
    <x:row r="66" ht="30" customHeight="1">
      <x:c r="A66" s="59" t="str">
        <x:v>PGE_RADK_CAPACITY_ATTEMPT</x:v>
      </x:c>
      <x:c r="B66" s="59" t="str">
        <x:v>Próba dostępu do pliku mocy PGE I kw.2026</x:v>
      </x:c>
      <x:c r="C66" s="59" t="str">
        <x:v>PGE</x:v>
      </x:c>
      <x:c r="D66" s="59" t="str">
        <x:v>reported_connection_capacity</x:v>
      </x:c>
      <x:c r="E66" s="59" t="str">
        <x:v>BLOCKED</x:v>
      </x:c>
      <x:c r="F66" s="60" t="n">
        <x:v>46276</x:v>
      </x:c>
      <x:c r="G66" s="59" t="str">
        <x:v>UNKNOWN</x:v>
      </x:c>
      <x:c r="H66" s="59" t="str">
        <x:v>UNKNOWN</x:v>
      </x:c>
      <x:c r="I66" s="59" t="str">
        <x:v>UNKNOWN</x:v>
      </x:c>
      <x:c r="J66" s="59" t="str">
        <x:v>P0</x:v>
      </x:c>
    </x:row>
    <x:row r="67" ht="38" customHeight="1">
      <x:c r="A67" s="59" t="str">
        <x:v>SUW_RADK_WOLICA_3_2024</x:v>
      </x:c>
      <x:c r="B67" s="59" t="str">
        <x:v>Decyzja 3/2024 — przebudowa odcinka Radkowice–Wolica</x:v>
      </x:c>
      <x:c r="C67" s="59" t="str">
        <x:v>PGE Dystrybucja — wnioskodawca</x:v>
      </x:c>
      <x:c r="D67" s="59" t="str">
        <x:v>grid_investment_administrative_decision</x:v>
      </x:c>
      <x:c r="E67" s="59" t="str">
        <x:v>CONTENT_REVIEWED</x:v>
      </x:c>
      <x:c r="F67" s="60" t="n">
        <x:v>46276</x:v>
      </x:c>
      <x:c r="G67" s="59" t="str">
        <x:v>UNKNOWN</x:v>
      </x:c>
      <x:c r="H67" s="59" t="str">
        <x:v>UNKNOWN</x:v>
      </x:c>
      <x:c r="I67" s="59" t="str">
        <x:v>UNKNOWN</x:v>
      </x:c>
      <x:c r="J67" s="59" t="str">
        <x:v>P0</x:v>
      </x:c>
    </x:row>
    <x:row r="68" ht="38" customHeight="1">
      <x:c r="A68" s="59" t="str">
        <x:v>PSE_RADK_BRIDGE_NOTICE_2025</x:v>
      </x:c>
      <x:c r="B68" s="59" t="str">
        <x:v>PSE — ogłoszenie 205815-2025, pole 220 kV i most Radkowice</x:v>
      </x:c>
      <x:c r="C68" s="59" t="str">
        <x:v>PSE S.A.</x:v>
      </x:c>
      <x:c r="D68" s="59" t="str">
        <x:v>grid_investments</x:v>
      </x:c>
      <x:c r="E68" s="59" t="str">
        <x:v>CONTENT_REVIEWED</x:v>
      </x:c>
      <x:c r="F68" s="60" t="n">
        <x:v>46280</x:v>
      </x:c>
      <x:c r="G68" s="59" t="str">
        <x:v>UNKNOWN</x:v>
      </x:c>
      <x:c r="H68" s="59" t="str">
        <x:v>UNKNOWN</x:v>
      </x:c>
      <x:c r="I68" s="59" t="str">
        <x:v>UNKNOWN</x:v>
      </x:c>
      <x:c r="J68" s="59" t="str">
        <x:v>P0</x:v>
      </x:c>
    </x:row>
    <x:row r="69" ht="38" customHeight="1">
      <x:c r="A69" s="59" t="str">
        <x:v>RDOS_RADK_PIASKI_NOTICE_2025</x:v>
      </x:c>
      <x:c r="B69" s="59" t="str">
        <x:v>RDOŚ Kielce — obwieszczenie dotyczące Radkowice–Kielce Piaski</x:v>
      </x:c>
      <x:c r="C69" s="59" t="str">
        <x:v>RDOŚ Kielce</x:v>
      </x:c>
      <x:c r="D69" s="59" t="str">
        <x:v>grid_investments</x:v>
      </x:c>
      <x:c r="E69" s="59" t="str">
        <x:v>CONTENT_REVIEWED</x:v>
      </x:c>
      <x:c r="F69" s="60" t="n">
        <x:v>46280</x:v>
      </x:c>
      <x:c r="G69" s="59" t="str">
        <x:v>UNKNOWN</x:v>
      </x:c>
      <x:c r="H69" s="59" t="str">
        <x:v>UNKNOWN</x:v>
      </x:c>
      <x:c r="I69" s="59" t="str">
        <x:v>REQUIRES_PERMISSION_REVIEW</x:v>
      </x:c>
      <x:c r="J69" s="59" t="str">
        <x:v>P0</x:v>
      </x:c>
    </x:row>
    <x:row r="70" ht="38" customHeight="1">
      <x:c r="A70" s="59" t="str">
        <x:v>RDOS_RADK_PIASKI_DECISION_2025</x:v>
      </x:c>
      <x:c r="B70" s="59" t="str">
        <x:v>RDOŚ Kielce — pełna decyzja dla przebudowy linii Radkowice–Kielce Piaski</x:v>
      </x:c>
      <x:c r="C70" s="59" t="str">
        <x:v>RDOŚ Kielce</x:v>
      </x:c>
      <x:c r="D70" s="59" t="str">
        <x:v>grid_investments</x:v>
      </x:c>
      <x:c r="E70" s="59" t="str">
        <x:v>CONTENT_REVIEWED</x:v>
      </x:c>
      <x:c r="F70" s="60" t="n">
        <x:v>46280</x:v>
      </x:c>
      <x:c r="G70" s="59" t="str">
        <x:v>UNKNOWN</x:v>
      </x:c>
      <x:c r="H70" s="59" t="str">
        <x:v>UNKNOWN</x:v>
      </x:c>
      <x:c r="I70" s="59" t="str">
        <x:v>REQUIRES_PERMISSION_REVIEW</x:v>
      </x:c>
      <x:c r="J70" s="59" t="str">
        <x:v>P0</x:v>
      </x:c>
    </x:row>
    <x:row r="71" ht="30" customHeight="1">
      <x:c r="A71" s="59" t="str">
        <x:v>PSE_IMPACT_REPORT_2023</x:v>
      </x:c>
      <x:c r="B71" s="59" t="str">
        <x:v>PSE — raport wpływu za 2023 rok, edycja 2024</x:v>
      </x:c>
      <x:c r="C71" s="59" t="str">
        <x:v>PSE</x:v>
      </x:c>
      <x:c r="D71" s="59" t="str">
        <x:v>grid_investments</x:v>
      </x:c>
      <x:c r="E71" s="59" t="str">
        <x:v>CONTENT_REVIEWED</x:v>
      </x:c>
      <x:c r="F71" s="60" t="n">
        <x:v>46282</x:v>
      </x:c>
      <x:c r="G71" s="59" t="str">
        <x:v>UNKNOWN</x:v>
      </x:c>
      <x:c r="H71" s="59" t="str">
        <x:v>UNKNOWN</x:v>
      </x:c>
      <x:c r="I71" s="59" t="str">
        <x:v>UNKNOWN</x:v>
      </x:c>
      <x:c r="J71" s="59" t="str">
        <x:v>P0</x:v>
      </x:c>
    </x:row>
  </x:sheetData>
  <x:pageMargins left="0.7" right="0.7" top="0.75" bottom="0.75" header="0.3" footer="0.3"/>
  <x:tableParts count="1">
    <x:tablePart xmlns:r="http://schemas.openxmlformats.org/officeDocument/2006/relationships" r:id="R26c0aad700994f57"/>
  </x:tableParts>
</x:worksheet>
</file>

<file path=xl/worksheets/sheet7.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30" hidden="0" customWidth="1"/>
    <x:col min="2" max="2" width="40" hidden="0" customWidth="1"/>
    <x:col min="3" max="3" width="120" hidden="0" customWidth="1"/>
  </x:cols>
  <x:sheetData>
    <x:row r="1">
      <x:c r="A1" s="49"/>
      <x:c r="B1" s="49"/>
      <x:c r="C1" s="49"/>
    </x:row>
    <x:row r="2" ht="30" customHeight="1">
      <x:c r="A2" s="50" t="str">
        <x:v>Pełne pola i dowody źródeł</x:v>
      </x:c>
      <x:c r="B2" s="49"/>
      <x:c r="C2" s="49"/>
    </x:row>
    <x:row r="3">
      <x:c r="A3" s="51"/>
      <x:c r="B3" s="51"/>
      <x:c r="C3" s="51"/>
    </x:row>
    <x:row r="4">
      <x:c r="A4" s="52" t="str">
        <x:v>Filtruj po ID źródła lub polu. UNKNOWN jest brakiem wiedzy, a nie zerem.</x:v>
      </x:c>
      <x:c r="B4" s="49"/>
      <x:c r="C4" s="49"/>
    </x:row>
    <x:row r="5">
      <x:c r="A5" s="49"/>
      <x:c r="B5" s="49"/>
      <x:c r="C5" s="49"/>
    </x:row>
    <x:row r="6" ht="34" customHeight="1">
      <x:c r="A6" s="58" t="str">
        <x:v>ID źródła</x:v>
      </x:c>
      <x:c r="B6" s="58" t="str">
        <x:v>Pole</x:v>
      </x:c>
      <x:c r="C6" s="58" t="str">
        <x:v>Wartość / wyjaśnienie</x:v>
      </x:c>
    </x:row>
    <x:row r="7" ht="30" customHeight="1">
      <x:c r="A7" s="59" t="str">
        <x:v>PSE_API</x:v>
      </x:c>
      <x:c r="B7" s="59" t="str">
        <x:v>country</x:v>
      </x:c>
      <x:c r="C7" s="59" t="str">
        <x:v>PL</x:v>
      </x:c>
    </x:row>
    <x:row r="8" ht="30" customHeight="1">
      <x:c r="A8" s="59" t="str">
        <x:v>PSE_API</x:v>
      </x:c>
      <x:c r="B8" s="59" t="str">
        <x:v>geographical_scope</x:v>
      </x:c>
      <x:c r="C8" s="59" t="str">
        <x:v>Zakres publikacji danego operatora/instytucji; nie założono pełnego pokrycia kraju.</x:v>
      </x:c>
    </x:row>
    <x:row r="9" ht="30" customHeight="1">
      <x:c r="A9" s="59" t="str">
        <x:v>PSE_API</x:v>
      </x:c>
      <x:c r="B9" s="59" t="str">
        <x:v>grid_voltage</x:v>
      </x:c>
      <x:c r="C9" s="59" t="str">
        <x:v>[ "SN", "110 kV", "220 kV", "400 kV" ]</x:v>
      </x:c>
    </x:row>
    <x:row r="10" ht="30" customHeight="1">
      <x:c r="A10" s="59" t="str">
        <x:v>PSE_API</x:v>
      </x:c>
      <x:c r="B10" s="59" t="str">
        <x:v>api_available</x:v>
      </x:c>
      <x:c r="C10" s="59" t="str">
        <x:v>YES</x:v>
      </x:c>
    </x:row>
    <x:row r="11" ht="30" customHeight="1">
      <x:c r="A11" s="59" t="str">
        <x:v>PSE_API</x:v>
      </x:c>
      <x:c r="B11" s="59" t="str">
        <x:v>gis_available</x:v>
      </x:c>
      <x:c r="C11" s="59" t="str">
        <x:v>UNKNOWN</x:v>
      </x:c>
    </x:row>
    <x:row r="12" ht="30" customHeight="1">
      <x:c r="A12" s="59" t="str">
        <x:v>PSE_API</x:v>
      </x:c>
      <x:c r="B12" s="59" t="str">
        <x:v>update_frequency</x:v>
      </x:c>
      <x:c r="C12" s="59" t="str">
        <x:v>Zależna od raportu i pola czasu; niejednolita.</x:v>
      </x:c>
    </x:row>
    <x:row r="13" ht="30" customHeight="1">
      <x:c r="A13" s="59" t="str">
        <x:v>PSE_API</x:v>
      </x:c>
      <x:c r="B13" s="59" t="str">
        <x:v>historical_data</x:v>
      </x:c>
      <x:c r="C13" s="59" t="str">
        <x:v>YES; próbki obejmują wcześniejsze obserwacje.</x:v>
      </x:c>
    </x:row>
    <x:row r="14" ht="30" customHeight="1">
      <x:c r="A14" s="59" t="str">
        <x:v>PSE_API</x:v>
      </x:c>
      <x:c r="B14" s="59" t="str">
        <x:v>authentication</x:v>
      </x:c>
      <x:c r="C14" s="59" t="str">
        <x:v>Anonimowe próby działały; brak gwarancji dla każdego endpointu.</x:v>
      </x:c>
    </x:row>
    <x:row r="15" ht="30" customHeight="1">
      <x:c r="A15" s="59" t="str">
        <x:v>PSE_API</x:v>
      </x:c>
      <x:c r="B15" s="59" t="str">
        <x:v>license</x:v>
      </x:c>
      <x:c r="C15" s="59" t="str">
        <x:v>UNKNOWN — nie potwierdzono ogólnej licencji ponownego wykorzystania wszystkich serii.</x:v>
      </x:c>
    </x:row>
    <x:row r="16" ht="30" customHeight="1">
      <x:c r="A16" s="59" t="str">
        <x:v>PSE_API</x:v>
      </x:c>
      <x:c r="B16" s="59" t="str">
        <x:v>license_url</x:v>
      </x:c>
      <x:c r="C16" s="59" t="str">
        <x:v>UNKNOWN — nie ustalono</x:v>
      </x:c>
    </x:row>
    <x:row r="17" ht="30" customHeight="1">
      <x:c r="A17" s="59" t="str">
        <x:v>PSE_API</x:v>
      </x:c>
      <x:c r="B17" s="59" t="str">
        <x:v>commercial_use</x:v>
      </x:c>
      <x:c r="C17" s="59" t="str">
        <x:v>UNKNOWN</x:v>
      </x:c>
    </x:row>
    <x:row r="18" ht="30" customHeight="1">
      <x:c r="A18" s="59" t="str">
        <x:v>PSE_API</x:v>
      </x:c>
      <x:c r="B18" s="59" t="str">
        <x:v>machine_readable</x:v>
      </x:c>
      <x:c r="C18" s="59" t="str">
        <x:v>UNKNOWN</x:v>
      </x:c>
    </x:row>
    <x:row r="19" ht="30" customHeight="1">
      <x:c r="A19" s="59" t="str">
        <x:v>PSE_API</x:v>
      </x:c>
      <x:c r="B19" s="59" t="str">
        <x:v>scraping_required</x:v>
      </x:c>
      <x:c r="C19" s="59" t="str">
        <x:v>UNKNOWN — przed scraperem preferować oficjalny plik lub API.</x:v>
      </x:c>
    </x:row>
    <x:row r="20" ht="30" customHeight="1">
      <x:c r="A20" s="59" t="str">
        <x:v>PSE_API</x:v>
      </x:c>
      <x:c r="B20" s="59" t="str">
        <x:v>data_quality_score</x:v>
      </x:c>
      <x:c r="C20" s="59" t="str">
        <x:v>UNKNOWN — nie ustalono</x:v>
      </x:c>
    </x:row>
    <x:row r="21" ht="30" customHeight="1">
      <x:c r="A21" s="59" t="str">
        <x:v>PSE_API</x:v>
      </x:c>
      <x:c r="B21" s="59" t="str">
        <x:v>quality_score_status</x:v>
      </x:c>
      <x:c r="C21" s="59" t="str">
        <x:v>NOT_CALIBRATED — autorytet źródła nie jest procentem kompletności lub trafności.</x:v>
      </x:c>
    </x:row>
    <x:row r="22" ht="30" customHeight="1">
      <x:c r="A22" s="59" t="str">
        <x:v>PSE_API</x:v>
      </x:c>
      <x:c r="B22" s="59" t="str">
        <x:v>last_verified</x:v>
      </x:c>
      <x:c r="C22" s="60" t="n">
        <x:v>46275</x:v>
      </x:c>
    </x:row>
    <x:row r="23" ht="30" customHeight="1">
      <x:c r="A23" s="59" t="str">
        <x:v>PSE_API</x:v>
      </x:c>
      <x:c r="B23" s="59" t="str">
        <x:v>last_successful_verification</x:v>
      </x:c>
      <x:c r="C23" s="60" t="n">
        <x:v>46275</x:v>
      </x:c>
    </x:row>
    <x:row r="24" ht="30" customHeight="1">
      <x:c r="A24" s="59" t="str">
        <x:v>PSE_API</x:v>
      </x:c>
      <x:c r="B24" s="59" t="str">
        <x:v>source_date</x:v>
      </x:c>
      <x:c r="C24" s="59" t="str">
        <x:v>UNKNOWN — nie ustalono</x:v>
      </x:c>
    </x:row>
    <x:row r="25" ht="30" customHeight="1">
      <x:c r="A25" s="59" t="str">
        <x:v>PSE_API</x:v>
      </x:c>
      <x:c r="B25" s="59" t="str">
        <x:v>publication_date</x:v>
      </x:c>
      <x:c r="C25" s="59" t="str">
        <x:v>UNKNOWN — nie ustalono</x:v>
      </x:c>
    </x:row>
    <x:row r="26" ht="30" customHeight="1">
      <x:c r="A26" s="59" t="str">
        <x:v>PSE_API</x:v>
      </x:c>
      <x:c r="B26" s="59" t="str">
        <x:v>source_version</x:v>
      </x:c>
      <x:c r="C26" s="59" t="str">
        <x:v>OpenAPI info.version 2.0.9</x:v>
      </x:c>
    </x:row>
    <x:row r="27" ht="30" customHeight="1">
      <x:c r="A27" s="59" t="str">
        <x:v>PSE_API</x:v>
      </x:c>
      <x:c r="B27" s="59" t="str">
        <x:v>source_page</x:v>
      </x:c>
      <x:c r="C27" s="59" t="str">
        <x:v>UNKNOWN — nie ustalono</x:v>
      </x:c>
    </x:row>
    <x:row r="28" ht="30" customHeight="1">
      <x:c r="A28" s="59" t="str">
        <x:v>PSE_API</x:v>
      </x:c>
      <x:c r="B28" s="59" t="str">
        <x:v>valid_from</x:v>
      </x:c>
      <x:c r="C28" s="59" t="str">
        <x:v>UNKNOWN — nie ustalono</x:v>
      </x:c>
    </x:row>
    <x:row r="29" ht="30" customHeight="1">
      <x:c r="A29" s="59" t="str">
        <x:v>PSE_API</x:v>
      </x:c>
      <x:c r="B29" s="59" t="str">
        <x:v>valid_to</x:v>
      </x:c>
      <x:c r="C29" s="59" t="str">
        <x:v>UNKNOWN — nie ustalono</x:v>
      </x:c>
    </x:row>
    <x:row r="30" ht="30" customHeight="1">
      <x:c r="A30" s="59" t="str">
        <x:v>PSE_API</x:v>
      </x:c>
      <x:c r="B30" s="59" t="str">
        <x:v>current_future_scope</x:v>
      </x:c>
      <x:c r="C30" s="59" t="str">
        <x:v>SOURCE_DEPENDENT</x:v>
      </x:c>
    </x:row>
    <x:row r="31" ht="30" customHeight="1">
      <x:c r="A31" s="59" t="str">
        <x:v>PSE_API</x:v>
      </x:c>
      <x:c r="B31" s="59" t="str">
        <x:v>value_classification_default</x:v>
      </x:c>
      <x:c r="C31" s="59" t="str">
        <x:v>REPORTED</x:v>
      </x:c>
    </x:row>
    <x:row r="32" ht="38" customHeight="1">
      <x:c r="A32" s="59" t="str">
        <x:v>PSE_API</x:v>
      </x:c>
      <x:c r="B32" s="59" t="str">
        <x:v>automation_notes</x:v>
      </x:c>
      <x:c r="C32" s="59" t="str">
        <x:v>Filtrować czas, stronicować po nextLink; $first, $after, $filter, $select, $orderby. Nie ustalono gwarantowanego limitu żądań.</x:v>
      </x:c>
    </x:row>
    <x:row r="33" ht="30" customHeight="1">
      <x:c r="A33" s="59" t="str">
        <x:v>PSE_API</x:v>
      </x:c>
      <x:c r="B33" s="59" t="str">
        <x:v>probe_ids</x:v>
      </x:c>
      <x:c r="C33" s="59" t="str">
        <x:v>[ "PSE_API_DOCS", "PSE_API_JS", "PSE_OPENAPI", "PSE_NODES_SAMPLE", "PSE_REDISPATCH_SAMPLE", "PSE_FLOWS_SAMPLE" ]</x:v>
      </x:c>
    </x:row>
    <x:row r="34" ht="30" customHeight="1">
      <x:c r="A34" s="59" t="str">
        <x:v>PSE_API</x:v>
      </x:c>
      <x:c r="B34" s="59" t="str">
        <x:v>related_urls</x:v>
      </x:c>
      <x:c r="C34" s="59" t="str">
        <x:v>[]</x:v>
      </x:c>
    </x:row>
    <x:row r="35" ht="30" customHeight="1">
      <x:c r="A35" s="59" t="str">
        <x:v>PSE_API</x:v>
      </x:c>
      <x:c r="B35" s="59" t="str">
        <x:v>source_id</x:v>
      </x:c>
      <x:c r="C35" s="59" t="str">
        <x:v>PSE_API</x:v>
      </x:c>
    </x:row>
    <x:row r="36" ht="30" customHeight="1">
      <x:c r="A36" s="59" t="str">
        <x:v>PSE_API</x:v>
      </x:c>
      <x:c r="B36" s="59" t="str">
        <x:v>operator</x:v>
      </x:c>
      <x:c r="C36" s="59" t="str">
        <x:v>PSE</x:v>
      </x:c>
    </x:row>
    <x:row r="37" ht="30" customHeight="1">
      <x:c r="A37" s="59" t="str">
        <x:v>PSE_API</x:v>
      </x:c>
      <x:c r="B37" s="59" t="str">
        <x:v>source_name</x:v>
      </x:c>
      <x:c r="C37" s="59" t="str">
        <x:v>API raportów PSE — OpenAPI</x:v>
      </x:c>
    </x:row>
    <x:row r="38" ht="30" customHeight="1">
      <x:c r="A38" s="59" t="str">
        <x:v>PSE_API</x:v>
      </x:c>
      <x:c r="B38" s="59" t="str">
        <x:v>url</x:v>
      </x:c>
      <x:c r="C38" s="59" t="str">
        <x:v>https://api.raporty.pse.pl/api/openapi</x:v>
      </x:c>
    </x:row>
    <x:row r="39" ht="30" customHeight="1">
      <x:c r="A39" s="59" t="str">
        <x:v>PSE_API</x:v>
      </x:c>
      <x:c r="B39" s="59" t="str">
        <x:v>data_owner</x:v>
      </x:c>
      <x:c r="C39" s="59" t="str">
        <x:v>PSE S.A.</x:v>
      </x:c>
    </x:row>
    <x:row r="40" ht="30" customHeight="1">
      <x:c r="A40" s="59" t="str">
        <x:v>PSE_API</x:v>
      </x:c>
      <x:c r="B40" s="59" t="str">
        <x:v>data_category</x:v>
      </x:c>
      <x:c r="C40" s="59" t="str">
        <x:v>system_data_and_node_dictionary</x:v>
      </x:c>
    </x:row>
    <x:row r="41" ht="30" customHeight="1">
      <x:c r="A41" s="59" t="str">
        <x:v>PSE_API</x:v>
      </x:c>
      <x:c r="B41" s="59" t="str">
        <x:v>data_format</x:v>
      </x:c>
      <x:c r="C41" s="59" t="str">
        <x:v>[ "REST", "JSON", "OpenAPI" ]</x:v>
      </x:c>
    </x:row>
    <x:row r="42" ht="30" customHeight="1">
      <x:c r="A42" s="59" t="str">
        <x:v>PSE_API</x:v>
      </x:c>
      <x:c r="B42" s="59" t="str">
        <x:v>verification_status</x:v>
      </x:c>
      <x:c r="C42" s="59" t="str">
        <x:v>SAMPLE_VERIFIED</x:v>
      </x:c>
    </x:row>
    <x:row r="43" ht="30" customHeight="1">
      <x:c r="A43" s="59" t="str">
        <x:v>PSE_API</x:v>
      </x:c>
      <x:c r="B43" s="59" t="str">
        <x:v>reliability</x:v>
      </x:c>
      <x:c r="C43" s="59" t="str">
        <x:v>A</x:v>
      </x:c>
    </x:row>
    <x:row r="44" ht="38" customHeight="1">
      <x:c r="A44" s="59" t="str">
        <x:v>PSE_API</x:v>
      </x:c>
      <x:c r="B44" s="59" t="str">
        <x:v>key_fields</x:v>
      </x:c>
      <x:c r="C44" s="59" t="str">
        <x:v>[ "business_date", "publication_ts", "station_name", "switching_station_voltage", "busbar_code", "pv_red_balance", "pv_red_network" ]</x:v>
      </x:c>
    </x:row>
    <x:row r="45" ht="30" customHeight="1">
      <x:c r="A45" s="59" t="str">
        <x:v>PSE_API</x:v>
      </x:c>
      <x:c r="B45" s="59" t="str">
        <x:v>potential_application</x:v>
      </x:c>
      <x:c r="C45" s="59" t="str">
        <x:v>Słownik węzłów i kontekst systemowy; rozdzielenie przyczyn redysponowania.</x:v>
      </x:c>
    </x:row>
    <x:row r="46" ht="38" customHeight="1">
      <x:c r="A46" s="59" t="str">
        <x:v>PSE_API</x:v>
      </x:c>
      <x:c r="B46" s="59" t="str">
        <x:v>known_limitations</x:v>
      </x:c>
      <x:c r="C46" s="59" t="str">
        <x:v>[ "Nie jest pełnym grafem operacyjnym.", "Próba przepływów dotyczy przekrojów transgranicznych.", "Pierwsze rekordy bez filtra czasu nie są najnowszym stanem; null nie oznacza zera." ]</x:v>
      </x:c>
    </x:row>
    <x:row r="47" ht="30" customHeight="1">
      <x:c r="A47" s="59" t="str">
        <x:v>PSE_API</x:v>
      </x:c>
      <x:c r="B47" s="59" t="str">
        <x:v>priority</x:v>
      </x:c>
      <x:c r="C47" s="59" t="str">
        <x:v>P1</x:v>
      </x:c>
    </x:row>
    <x:row r="48" ht="94" customHeight="1">
      <x:c r="A48" s="59" t="str">
        <x:v>PSE_API</x:v>
      </x:c>
      <x:c r="B48" s="59" t="str">
        <x:v>evidence (1/5)</x:v>
      </x:c>
      <x:c r="C48" s="59" t="str">
        <x:v>[ { "source_id": "PSE_API_DOCS", "url": "https://api.raporty.pse.pl/", "retrieval_date": "2026-09-10T11:18:09.4508686Z", "http_status": 200, "content_type": "text/html", "bytes": 487, "sha256": "e7474cc8b3ae9c59b5193673e46e6bebcc005e611a5b29f9367849e4333c9abd", "local_path": "data/raw/research/2026-09-10/pse_api_index.html", "error": null, "manifest": "data/catalog/probe_results_20260910T111813793Z.json" }, { "source_id": "PSE_API_JS", "url": "https://api.raporty.pse.pl/assets/index-D9OvjZ5P.js", "retrieval_date": "2026-09-10T11:19:33.2503384Z", "http_status": 200, "content_type": "application/javascript", "bytes": 5184015, "sha256":</x:v>
      </x:c>
    </x:row>
    <x:row r="49" ht="94" customHeight="1">
      <x:c r="A49" s="59" t="str">
        <x:v>PSE_API</x:v>
      </x:c>
      <x:c r="B49" s="59" t="str">
        <x:v>evidence (2/5)</x:v>
      </x:c>
      <x:c r="C49" s="59" t="str">
        <x:v>"7cd13eebfc5f072ca12b7eba2dd8eff4dd067824aa4bb474ad3399d0d5e7eb48", "local_path": "data/raw/research/2026-09-10/pse_api_frontend.js", "error": null, "manifest": "data/catalog/probe_results_20260910T111959000Z.json" }, { "source_id": "PSE_OPENAPI", "url": "https://api.raporty.pse.pl/api/openapi", "retrieval_date": "2026-09-10T11:21:02.8835007Z", "http_status": 200, "content_type": "application/json", "bytes": 665204, "sha256": "e01af846f5ebfbf300a5ceae46d49a7651e81d8533b07939634e8222ea66cd39", "local_path": "data/raw/research/2026-09-10/pse_openapi.json", "error": null, "manifest": "data/catalog/probe_results_20260910T112104907Z.json" }, {</x:v>
      </x:c>
    </x:row>
    <x:row r="50" ht="94" customHeight="1">
      <x:c r="A50" s="59" t="str">
        <x:v>PSE_API</x:v>
      </x:c>
      <x:c r="B50" s="59" t="str">
        <x:v>evidence (3/5)</x:v>
      </x:c>
      <x:c r="C50" s="59" t="str">
        <x:v>"source_id": "PSE_NODES_SAMPLE", "url": "https://api.raporty.pse.pl/api/specwezlow?$first=2", "retrieval_date": "2026-09-10T11:22:46.5004479Z", "http_status": 200, "content_type": "application/json; charset=utf-8", "bytes": 1092, "sha256": "a8d1ce15b02c785c0b47c3ed7afeb7f6dde7ba180f7c12998f12040264b2394e", "local_path": "data/raw/research/2026-09-10/pse_nodes_sample.json", "error": null, "manifest": "data/catalog/probe_results_20260910T112248796Z.json" }, { "source_id": "PSE_REDISPATCH_SAMPLE", "url": "https://api.raporty.pse.pl/api/poze-redoze?$first=2", "retrieval_date": "2026-09-10T11:22:47.0745732Z", "http_status": 200, "content_type":</x:v>
      </x:c>
    </x:row>
    <x:row r="51" ht="94" customHeight="1">
      <x:c r="A51" s="59" t="str">
        <x:v>PSE_API</x:v>
      </x:c>
      <x:c r="B51" s="59" t="str">
        <x:v>evidence (4/5)</x:v>
      </x:c>
      <x:c r="C51" s="59" t="str">
        <x:v>"application/json; charset=utf-8", "bytes": 986, "sha256": "f74d4223bd57fe8a9befee39efcafc00602b40f22a8bc5099bcf7938792316cb", "local_path": "data/raw/research/2026-09-10/pse_redispatch_sample.json", "error": null, "manifest": "data/catalog/probe_results_20260910T112248796Z.json" }, { "source_id": "PSE_FLOWS_SAMPLE", "url": "https://api.raporty.pse.pl/api/przeplywy-mocy?$first=2", "retrieval_date": "2026-09-10T11:22:47.3529270Z", "http_status": 200, "content_type": "application/json; charset=utf-8", "bytes": 916, "sha256": "4540d4283a6453b03d7630b049044bb758052d4b8367e33e9bec4f37696dfca3", "local_path":</x:v>
      </x:c>
    </x:row>
    <x:row r="52" ht="38" customHeight="1">
      <x:c r="A52" s="59" t="str">
        <x:v>PSE_API</x:v>
      </x:c>
      <x:c r="B52" s="59" t="str">
        <x:v>evidence (5/5)</x:v>
      </x:c>
      <x:c r="C52" s="59" t="str">
        <x:v>"data/raw/research/2026-09-10/pse_flows_sample.json", "error": null, "manifest": "data/catalog/probe_results_20260910T112248796Z.json" } ]</x:v>
      </x:c>
    </x:row>
    <x:row r="53" ht="38" customHeight="1">
      <x:c r="A53" s="59" t="str">
        <x:v>PSE_API</x:v>
      </x:c>
      <x:c r="B53" s="59" t="str">
        <x:v>retrieval_date</x:v>
      </x:c>
      <x:c r="C53" s="59" t="str">
        <x:v>[ "2026-09-10T11:18:09.4508686Z", "2026-09-10T11:19:33.2503384Z", "2026-09-10T11:21:02.8835007Z", "2026-09-10T11:22:46.5004479Z", "2026-09-10T11:22:47.0745732Z", "2026-09-10T11:22:47.3529270Z" ]</x:v>
      </x:c>
    </x:row>
    <x:row r="54" ht="30" customHeight="1">
      <x:c r="A54" s="59" t="str">
        <x:v>PSE_PIPELINE</x:v>
      </x:c>
      <x:c r="B54" s="59" t="str">
        <x:v>country</x:v>
      </x:c>
      <x:c r="C54" s="59" t="str">
        <x:v>PL</x:v>
      </x:c>
    </x:row>
    <x:row r="55" ht="30" customHeight="1">
      <x:c r="A55" s="59" t="str">
        <x:v>PSE_PIPELINE</x:v>
      </x:c>
      <x:c r="B55" s="59" t="str">
        <x:v>geographical_scope</x:v>
      </x:c>
      <x:c r="C55" s="59" t="str">
        <x:v>Zakres publikacji danego operatora/instytucji; nie założono pełnego pokrycia kraju.</x:v>
      </x:c>
    </x:row>
    <x:row r="56" ht="30" customHeight="1">
      <x:c r="A56" s="59" t="str">
        <x:v>PSE_PIPELINE</x:v>
      </x:c>
      <x:c r="B56" s="59" t="str">
        <x:v>grid_voltage</x:v>
      </x:c>
      <x:c r="C56" s="59" t="str">
        <x:v>[ "110 kV", "220 kV", "400 kV" ]</x:v>
      </x:c>
    </x:row>
    <x:row r="57" ht="30" customHeight="1">
      <x:c r="A57" s="59" t="str">
        <x:v>PSE_PIPELINE</x:v>
      </x:c>
      <x:c r="B57" s="59" t="str">
        <x:v>api_available</x:v>
      </x:c>
      <x:c r="C57" s="59" t="str">
        <x:v>UNKNOWN</x:v>
      </x:c>
    </x:row>
    <x:row r="58" ht="30" customHeight="1">
      <x:c r="A58" s="59" t="str">
        <x:v>PSE_PIPELINE</x:v>
      </x:c>
      <x:c r="B58" s="59" t="str">
        <x:v>gis_available</x:v>
      </x:c>
      <x:c r="C58" s="59" t="str">
        <x:v>UNKNOWN</x:v>
      </x:c>
    </x:row>
    <x:row r="59" ht="30" customHeight="1">
      <x:c r="A59" s="59" t="str">
        <x:v>PSE_PIPELINE</x:v>
      </x:c>
      <x:c r="B59" s="59" t="str">
        <x:v>update_frequency</x:v>
      </x:c>
      <x:c r="C59" s="59" t="str">
        <x:v>Wykaz aktualizowany okresowo; częstotliwość minimalna OSP miesięczna według badanej nowelizacji.</x:v>
      </x:c>
    </x:row>
    <x:row r="60" ht="30" customHeight="1">
      <x:c r="A60" s="59" t="str">
        <x:v>PSE_PIPELINE</x:v>
      </x:c>
      <x:c r="B60" s="59" t="str">
        <x:v>historical_data</x:v>
      </x:c>
      <x:c r="C60" s="59" t="str">
        <x:v>PARTIAL — wymagane własne snapshoty.</x:v>
      </x:c>
    </x:row>
    <x:row r="61" ht="30" customHeight="1">
      <x:c r="A61" s="59" t="str">
        <x:v>PSE_PIPELINE</x:v>
      </x:c>
      <x:c r="B61" s="59" t="str">
        <x:v>authentication</x:v>
      </x:c>
      <x:c r="C61" s="59" t="str">
        <x:v>Odczyt publicznej strony bez konta; nie dowodzi dostępu do wszystkich danych.</x:v>
      </x:c>
    </x:row>
    <x:row r="62" ht="30" customHeight="1">
      <x:c r="A62" s="59" t="str">
        <x:v>PSE_PIPELINE</x:v>
      </x:c>
      <x:c r="B62" s="59" t="str">
        <x:v>license</x:v>
      </x:c>
      <x:c r="C62" s="59" t="str">
        <x:v>UNKNOWN — nie potwierdzono otwartej licencji wybranego zbioru.</x:v>
      </x:c>
    </x:row>
    <x:row r="63" ht="30" customHeight="1">
      <x:c r="A63" s="59" t="str">
        <x:v>PSE_PIPELINE</x:v>
      </x:c>
      <x:c r="B63" s="59" t="str">
        <x:v>license_url</x:v>
      </x:c>
      <x:c r="C63" s="59" t="str">
        <x:v>UNKNOWN — nie ustalono</x:v>
      </x:c>
    </x:row>
    <x:row r="64" ht="30" customHeight="1">
      <x:c r="A64" s="59" t="str">
        <x:v>PSE_PIPELINE</x:v>
      </x:c>
      <x:c r="B64" s="59" t="str">
        <x:v>commercial_use</x:v>
      </x:c>
      <x:c r="C64" s="59" t="str">
        <x:v>UNKNOWN</x:v>
      </x:c>
    </x:row>
    <x:row r="65" ht="30" customHeight="1">
      <x:c r="A65" s="59" t="str">
        <x:v>PSE_PIPELINE</x:v>
      </x:c>
      <x:c r="B65" s="59" t="str">
        <x:v>machine_readable</x:v>
      </x:c>
      <x:c r="C65" s="59" t="str">
        <x:v>YES</x:v>
      </x:c>
    </x:row>
    <x:row r="66" ht="30" customHeight="1">
      <x:c r="A66" s="59" t="str">
        <x:v>PSE_PIPELINE</x:v>
      </x:c>
      <x:c r="B66" s="59" t="str">
        <x:v>scraping_required</x:v>
      </x:c>
      <x:c r="C66" s="59" t="str">
        <x:v>HTML_LINK_DISCOVERY_ONLY</x:v>
      </x:c>
    </x:row>
    <x:row r="67" ht="30" customHeight="1">
      <x:c r="A67" s="59" t="str">
        <x:v>PSE_PIPELINE</x:v>
      </x:c>
      <x:c r="B67" s="59" t="str">
        <x:v>data_quality_score</x:v>
      </x:c>
      <x:c r="C67" s="59" t="str">
        <x:v>UNKNOWN — nie ustalono</x:v>
      </x:c>
    </x:row>
    <x:row r="68" ht="30" customHeight="1">
      <x:c r="A68" s="59" t="str">
        <x:v>PSE_PIPELINE</x:v>
      </x:c>
      <x:c r="B68" s="59" t="str">
        <x:v>quality_score_status</x:v>
      </x:c>
      <x:c r="C68" s="59" t="str">
        <x:v>NOT_CALIBRATED — autorytet źródła nie jest procentem kompletności lub trafności.</x:v>
      </x:c>
    </x:row>
    <x:row r="69" ht="30" customHeight="1">
      <x:c r="A69" s="59" t="str">
        <x:v>PSE_PIPELINE</x:v>
      </x:c>
      <x:c r="B69" s="59" t="str">
        <x:v>last_verified</x:v>
      </x:c>
      <x:c r="C69" s="60" t="n">
        <x:v>46275</x:v>
      </x:c>
    </x:row>
    <x:row r="70" ht="30" customHeight="1">
      <x:c r="A70" s="59" t="str">
        <x:v>PSE_PIPELINE</x:v>
      </x:c>
      <x:c r="B70" s="59" t="str">
        <x:v>last_successful_verification</x:v>
      </x:c>
      <x:c r="C70" s="60" t="n">
        <x:v>46275</x:v>
      </x:c>
    </x:row>
    <x:row r="71" ht="30" customHeight="1">
      <x:c r="A71" s="59" t="str">
        <x:v>PSE_PIPELINE</x:v>
      </x:c>
      <x:c r="B71" s="59" t="str">
        <x:v>source_date</x:v>
      </x:c>
      <x:c r="C71" s="60" t="n">
        <x:v>46234</x:v>
      </x:c>
    </x:row>
    <x:row r="72" ht="30" customHeight="1">
      <x:c r="A72" s="59" t="str">
        <x:v>PSE_PIPELINE</x:v>
      </x:c>
      <x:c r="B72" s="59" t="str">
        <x:v>publication_date</x:v>
      </x:c>
      <x:c r="C72" s="59" t="str">
        <x:v>UNKNOWN — nie ustalono</x:v>
      </x:c>
    </x:row>
    <x:row r="73" ht="30" customHeight="1">
      <x:c r="A73" s="59" t="str">
        <x:v>PSE_PIPELINE</x:v>
      </x:c>
      <x:c r="B73" s="59" t="str">
        <x:v>source_version</x:v>
      </x:c>
      <x:c r="C73" s="59" t="str">
        <x:v>UNKNOWN — nie ustalono</x:v>
      </x:c>
    </x:row>
    <x:row r="74" ht="30" customHeight="1">
      <x:c r="A74" s="59" t="str">
        <x:v>PSE_PIPELINE</x:v>
      </x:c>
      <x:c r="B74" s="59" t="str">
        <x:v>source_page</x:v>
      </x:c>
      <x:c r="C74" s="59" t="str">
        <x:v>UNKNOWN — nie ustalono</x:v>
      </x:c>
    </x:row>
    <x:row r="75" ht="30" customHeight="1">
      <x:c r="A75" s="59" t="str">
        <x:v>PSE_PIPELINE</x:v>
      </x:c>
      <x:c r="B75" s="59" t="str">
        <x:v>valid_from</x:v>
      </x:c>
      <x:c r="C75" s="59" t="str">
        <x:v>UNKNOWN — nie ustalono</x:v>
      </x:c>
    </x:row>
    <x:row r="76" ht="30" customHeight="1">
      <x:c r="A76" s="59" t="str">
        <x:v>PSE_PIPELINE</x:v>
      </x:c>
      <x:c r="B76" s="59" t="str">
        <x:v>valid_to</x:v>
      </x:c>
      <x:c r="C76" s="59" t="str">
        <x:v>UNKNOWN — nie ustalono</x:v>
      </x:c>
    </x:row>
    <x:row r="77" ht="30" customHeight="1">
      <x:c r="A77" s="59" t="str">
        <x:v>PSE_PIPELINE</x:v>
      </x:c>
      <x:c r="B77" s="59" t="str">
        <x:v>current_future_scope</x:v>
      </x:c>
      <x:c r="C77" s="59" t="str">
        <x:v>SOURCE_DEPENDENT</x:v>
      </x:c>
    </x:row>
    <x:row r="78" ht="30" customHeight="1">
      <x:c r="A78" s="59" t="str">
        <x:v>PSE_PIPELINE</x:v>
      </x:c>
      <x:c r="B78" s="59" t="str">
        <x:v>value_classification_default</x:v>
      </x:c>
      <x:c r="C78" s="59" t="str">
        <x:v>REPORTED</x:v>
      </x:c>
    </x:row>
    <x:row r="79" ht="38" customHeight="1">
      <x:c r="A79" s="59" t="str">
        <x:v>PSE_PIPELINE</x:v>
      </x:c>
      <x:c r="B79" s="59" t="str">
        <x:v>automation_notes</x:v>
      </x:c>
      <x:c r="C79" s="59" t="str">
        <x:v>Jednorazowy przegląd; brak zgody na stały scraper wynikającej z samego dostępu. Sprawdzić warunki, robots.txt i limity przed wdrożeniem.</x:v>
      </x:c>
    </x:row>
    <x:row r="80" ht="30" customHeight="1">
      <x:c r="A80" s="59" t="str">
        <x:v>PSE_PIPELINE</x:v>
      </x:c>
      <x:c r="B80" s="59" t="str">
        <x:v>probe_ids</x:v>
      </x:c>
      <x:c r="C80" s="59" t="str">
        <x:v>[ "PSE_PIPELINE_XLSX" ]</x:v>
      </x:c>
    </x:row>
    <x:row r="81" ht="38" customHeight="1">
      <x:c r="A81" s="59" t="str">
        <x:v>PSE_PIPELINE</x:v>
      </x:c>
      <x:c r="B81" s="59" t="str">
        <x:v>related_urls</x:v>
      </x:c>
      <x:c r="C81" s="59" t="str">
        <x:v>[ "https://www.pse.pl/obszary-dzialalnosci/wymiana-miedzysystemowa/informacje-ogolne/-/asset_publisher/L3RZBt9EkXoj/content/wykaz-podmiotow-ubiegajacych-sie-o-przylaczenie-do-krajowej-sieci-przesylowej/pop_up" ]</x:v>
      </x:c>
    </x:row>
    <x:row r="82" ht="30" customHeight="1">
      <x:c r="A82" s="59" t="str">
        <x:v>PSE_PIPELINE</x:v>
      </x:c>
      <x:c r="B82" s="59" t="str">
        <x:v>source_id</x:v>
      </x:c>
      <x:c r="C82" s="59" t="str">
        <x:v>PSE_PIPELINE</x:v>
      </x:c>
    </x:row>
    <x:row r="83" ht="30" customHeight="1">
      <x:c r="A83" s="59" t="str">
        <x:v>PSE_PIPELINE</x:v>
      </x:c>
      <x:c r="B83" s="59" t="str">
        <x:v>operator</x:v>
      </x:c>
      <x:c r="C83" s="59" t="str">
        <x:v>PSE</x:v>
      </x:c>
    </x:row>
    <x:row r="84" ht="30" customHeight="1">
      <x:c r="A84" s="59" t="str">
        <x:v>PSE_PIPELINE</x:v>
      </x:c>
      <x:c r="B84" s="59" t="str">
        <x:v>source_name</x:v>
      </x:c>
      <x:c r="C84" s="59" t="str">
        <x:v>Podmioty ubiegające się o przyłączenie — XLSX</x:v>
      </x:c>
    </x:row>
    <x:row r="85" ht="38" customHeight="1">
      <x:c r="A85" s="59" t="str">
        <x:v>PSE_PIPELINE</x:v>
      </x:c>
      <x:c r="B85" s="59" t="str">
        <x:v>url</x:v>
      </x:c>
      <x:c r="C85" s="59" t="str">
        <x:v>https://www.pse.pl/documents/20182/51490/Informacje_publikowane_zgodnie_z_Art_7_ust_8l_ustawy_PE_stan_na_31_07_2026.xlsx</x:v>
      </x:c>
    </x:row>
    <x:row r="86" ht="30" customHeight="1">
      <x:c r="A86" s="59" t="str">
        <x:v>PSE_PIPELINE</x:v>
      </x:c>
      <x:c r="B86" s="59" t="str">
        <x:v>data_owner</x:v>
      </x:c>
      <x:c r="C86" s="59" t="str">
        <x:v>PSE S.A.</x:v>
      </x:c>
    </x:row>
    <x:row r="87" ht="30" customHeight="1">
      <x:c r="A87" s="59" t="str">
        <x:v>PSE_PIPELINE</x:v>
      </x:c>
      <x:c r="B87" s="59" t="str">
        <x:v>data_category</x:v>
      </x:c>
      <x:c r="C87" s="59" t="str">
        <x:v>connection_pipeline</x:v>
      </x:c>
    </x:row>
    <x:row r="88" ht="30" customHeight="1">
      <x:c r="A88" s="59" t="str">
        <x:v>PSE_PIPELINE</x:v>
      </x:c>
      <x:c r="B88" s="59" t="str">
        <x:v>data_format</x:v>
      </x:c>
      <x:c r="C88" s="59" t="str">
        <x:v>[ "XLSX" ]</x:v>
      </x:c>
    </x:row>
    <x:row r="89" ht="30" customHeight="1">
      <x:c r="A89" s="59" t="str">
        <x:v>PSE_PIPELINE</x:v>
      </x:c>
      <x:c r="B89" s="59" t="str">
        <x:v>verification_status</x:v>
      </x:c>
      <x:c r="C89" s="59" t="str">
        <x:v>SAMPLE_VERIFIED</x:v>
      </x:c>
    </x:row>
    <x:row r="90" ht="30" customHeight="1">
      <x:c r="A90" s="59" t="str">
        <x:v>PSE_PIPELINE</x:v>
      </x:c>
      <x:c r="B90" s="59" t="str">
        <x:v>reliability</x:v>
      </x:c>
      <x:c r="C90" s="59" t="str">
        <x:v>B</x:v>
      </x:c>
    </x:row>
    <x:row r="91" ht="38" customHeight="1">
      <x:c r="A91" s="59" t="str">
        <x:v>PSE_PIPELINE</x:v>
      </x:c>
      <x:c r="B91" s="59" t="str">
        <x:v>key_fields</x:v>
      </x:c>
      <x:c r="C91" s="59" t="str">
        <x:v>[ "ID Obiektu", "wnioskodawca", "miejsce przyłączenia", "napięcie", "export_MW", "import_MW", "technologia", "etap", "daty procedury" ]</x:v>
      </x:c>
    </x:row>
    <x:row r="92" ht="30" customHeight="1">
      <x:c r="A92" s="59" t="str">
        <x:v>PSE_PIPELINE</x:v>
      </x:c>
      <x:c r="B92" s="59" t="str">
        <x:v>potential_application</x:v>
      </x:c>
      <x:c r="C92" s="59" t="str">
        <x:v>Pierwszy kandydat do parsera pipeline i relacji projekt–punkt przyłączenia.</x:v>
      </x:c>
    </x:row>
    <x:row r="93" ht="38" customHeight="1">
      <x:c r="A93" s="59" t="str">
        <x:v>PSE_PIPELINE</x:v>
      </x:c>
      <x:c r="B93" s="59" t="str">
        <x:v>known_limitations</x:v>
      </x:c>
      <x:c r="C93" s="59" t="str">
        <x:v>[ "Braki identyfikatorów i wartości; wielopoziomowy nagłówek.", "Nie potwierdzono pola MWh.", "Rozmiar arkusza nie jest liczbą unikalnych projektów." ]</x:v>
      </x:c>
    </x:row>
    <x:row r="94" ht="30" customHeight="1">
      <x:c r="A94" s="59" t="str">
        <x:v>PSE_PIPELINE</x:v>
      </x:c>
      <x:c r="B94" s="59" t="str">
        <x:v>priority</x:v>
      </x:c>
      <x:c r="C94" s="59" t="str">
        <x:v>P1</x:v>
      </x:c>
    </x:row>
    <x:row r="95" ht="30" customHeight="1">
      <x:c r="A95" s="59" t="str">
        <x:v>PSE_PIPELINE</x:v>
      </x:c>
      <x:c r="B95" s="59" t="str">
        <x:v>date_notes</x:v>
      </x:c>
      <x:c r="C95" s="59" t="str">
        <x:v>Strona wskazywała aktualizację 01.09.2026; nagłówek arkusza 31.07.2026. Zachować osobno.</x:v>
      </x:c>
    </x:row>
    <x:row r="96" ht="94" customHeight="1">
      <x:c r="A96" s="59" t="str">
        <x:v>PSE_PIPELINE</x:v>
      </x:c>
      <x:c r="B96" s="59" t="str">
        <x:v>evidence</x:v>
      </x:c>
      <x:c r="C96" s="59" t="str">
        <x:v>[ { "source_id": "PSE_PIPELINE_XLSX", "url": "https://www.pse.pl/documents/20182/51490/Informacje_publikowane_zgodnie_z_Art_7_ust_8l_ustawy_PE_stan_na_31_07_2026.xlsx", "retrieval_date": "2026-09-10T11:21:03.1201767Z", "http_status": 200, "content_type": "application/vnd.openxmlformats-officedocument.spreadsheetml.sheet; charset=UTF-8", "bytes": 174263, "sha256": "21dff45875f6fe7d943fd3df98a2290c1e3f04e999389538bdc1c00fe54b86dc", "local_path": "data/raw/research/2026-09-10/pse_pipeline_url_2026-07-31.xlsx", "error": null, "manifest": "data/catalog/probe_results_20260910T112104907Z.json" } ]</x:v>
      </x:c>
    </x:row>
    <x:row r="97" ht="30" customHeight="1">
      <x:c r="A97" s="59" t="str">
        <x:v>PSE_PIPELINE</x:v>
      </x:c>
      <x:c r="B97" s="59" t="str">
        <x:v>retrieval_date</x:v>
      </x:c>
      <x:c r="C97" s="59" t="str">
        <x:v>[ "2026-09-10T11:21:03.1201767Z" ]</x:v>
      </x:c>
    </x:row>
    <x:row r="98" ht="30" customHeight="1">
      <x:c r="A98" s="59" t="str">
        <x:v>PSE_CAPACITY</x:v>
      </x:c>
      <x:c r="B98" s="59" t="str">
        <x:v>country</x:v>
      </x:c>
      <x:c r="C98" s="59" t="str">
        <x:v>PL</x:v>
      </x:c>
    </x:row>
    <x:row r="99" ht="30" customHeight="1">
      <x:c r="A99" s="59" t="str">
        <x:v>PSE_CAPACITY</x:v>
      </x:c>
      <x:c r="B99" s="59" t="str">
        <x:v>geographical_scope</x:v>
      </x:c>
      <x:c r="C99" s="59" t="str">
        <x:v>Zakres publikacji danego operatora/instytucji; nie założono pełnego pokrycia kraju.</x:v>
      </x:c>
    </x:row>
    <x:row r="100" ht="30" customHeight="1">
      <x:c r="A100" s="59" t="str">
        <x:v>PSE_CAPACITY</x:v>
      </x:c>
      <x:c r="B100" s="59" t="str">
        <x:v>grid_voltage</x:v>
      </x:c>
      <x:c r="C100" s="59" t="str">
        <x:v>[ "110 kV", "220 kV", "400 kV" ]</x:v>
      </x:c>
    </x:row>
    <x:row r="101" ht="30" customHeight="1">
      <x:c r="A101" s="59" t="str">
        <x:v>PSE_CAPACITY</x:v>
      </x:c>
      <x:c r="B101" s="59" t="str">
        <x:v>api_available</x:v>
      </x:c>
      <x:c r="C101" s="59" t="str">
        <x:v>UNKNOWN</x:v>
      </x:c>
    </x:row>
    <x:row r="102" ht="30" customHeight="1">
      <x:c r="A102" s="59" t="str">
        <x:v>PSE_CAPACITY</x:v>
      </x:c>
      <x:c r="B102" s="59" t="str">
        <x:v>gis_available</x:v>
      </x:c>
      <x:c r="C102" s="59" t="str">
        <x:v>UNKNOWN</x:v>
      </x:c>
    </x:row>
    <x:row r="103" ht="30" customHeight="1">
      <x:c r="A103" s="59" t="str">
        <x:v>PSE_CAPACITY</x:v>
      </x:c>
      <x:c r="B103" s="59" t="str">
        <x:v>update_frequency</x:v>
      </x:c>
      <x:c r="C103" s="59" t="str">
        <x:v>UNKNOWN — nie ustalono gwarantowanego cyklu publikacji.</x:v>
      </x:c>
    </x:row>
    <x:row r="104" ht="30" customHeight="1">
      <x:c r="A104" s="59" t="str">
        <x:v>PSE_CAPACITY</x:v>
      </x:c>
      <x:c r="B104" s="59" t="str">
        <x:v>historical_data</x:v>
      </x:c>
      <x:c r="C104" s="59" t="str">
        <x:v>UNKNOWN — własne snapshoty od 10.09.2026, jeśli zapisano próbkę.</x:v>
      </x:c>
    </x:row>
    <x:row r="105" ht="30" customHeight="1">
      <x:c r="A105" s="59" t="str">
        <x:v>PSE_CAPACITY</x:v>
      </x:c>
      <x:c r="B105" s="59" t="str">
        <x:v>authentication</x:v>
      </x:c>
      <x:c r="C105" s="59" t="str">
        <x:v>Odczyt publicznej strony bez konta; nie dowodzi dostępu do wszystkich danych.</x:v>
      </x:c>
    </x:row>
    <x:row r="106" ht="30" customHeight="1">
      <x:c r="A106" s="59" t="str">
        <x:v>PSE_CAPACITY</x:v>
      </x:c>
      <x:c r="B106" s="59" t="str">
        <x:v>license</x:v>
      </x:c>
      <x:c r="C106" s="59" t="str">
        <x:v>UNKNOWN — nie potwierdzono otwartej licencji wybranego zbioru.</x:v>
      </x:c>
    </x:row>
    <x:row r="107" ht="30" customHeight="1">
      <x:c r="A107" s="59" t="str">
        <x:v>PSE_CAPACITY</x:v>
      </x:c>
      <x:c r="B107" s="59" t="str">
        <x:v>license_url</x:v>
      </x:c>
      <x:c r="C107" s="59" t="str">
        <x:v>UNKNOWN — nie ustalono</x:v>
      </x:c>
    </x:row>
    <x:row r="108" ht="30" customHeight="1">
      <x:c r="A108" s="59" t="str">
        <x:v>PSE_CAPACITY</x:v>
      </x:c>
      <x:c r="B108" s="59" t="str">
        <x:v>commercial_use</x:v>
      </x:c>
      <x:c r="C108" s="59" t="str">
        <x:v>UNKNOWN</x:v>
      </x:c>
    </x:row>
    <x:row r="109" ht="30" customHeight="1">
      <x:c r="A109" s="59" t="str">
        <x:v>PSE_CAPACITY</x:v>
      </x:c>
      <x:c r="B109" s="59" t="str">
        <x:v>machine_readable</x:v>
      </x:c>
      <x:c r="C109" s="59" t="str">
        <x:v>PARTIAL</x:v>
      </x:c>
    </x:row>
    <x:row r="110" ht="30" customHeight="1">
      <x:c r="A110" s="59" t="str">
        <x:v>PSE_CAPACITY</x:v>
      </x:c>
      <x:c r="B110" s="59" t="str">
        <x:v>scraping_required</x:v>
      </x:c>
      <x:c r="C110" s="59" t="str">
        <x:v>UNKNOWN — przed scraperem preferować oficjalny plik lub API.</x:v>
      </x:c>
    </x:row>
    <x:row r="111" ht="30" customHeight="1">
      <x:c r="A111" s="59" t="str">
        <x:v>PSE_CAPACITY</x:v>
      </x:c>
      <x:c r="B111" s="59" t="str">
        <x:v>data_quality_score</x:v>
      </x:c>
      <x:c r="C111" s="59" t="str">
        <x:v>UNKNOWN — nie ustalono</x:v>
      </x:c>
    </x:row>
    <x:row r="112" ht="30" customHeight="1">
      <x:c r="A112" s="59" t="str">
        <x:v>PSE_CAPACITY</x:v>
      </x:c>
      <x:c r="B112" s="59" t="str">
        <x:v>quality_score_status</x:v>
      </x:c>
      <x:c r="C112" s="59" t="str">
        <x:v>NOT_CALIBRATED — autorytet źródła nie jest procentem kompletności lub trafności.</x:v>
      </x:c>
    </x:row>
    <x:row r="113" ht="30" customHeight="1">
      <x:c r="A113" s="59" t="str">
        <x:v>PSE_CAPACITY</x:v>
      </x:c>
      <x:c r="B113" s="59" t="str">
        <x:v>last_verified</x:v>
      </x:c>
      <x:c r="C113" s="60" t="n">
        <x:v>46275</x:v>
      </x:c>
    </x:row>
    <x:row r="114" ht="30" customHeight="1">
      <x:c r="A114" s="59" t="str">
        <x:v>PSE_CAPACITY</x:v>
      </x:c>
      <x:c r="B114" s="59" t="str">
        <x:v>last_successful_verification</x:v>
      </x:c>
      <x:c r="C114" s="60" t="n">
        <x:v>46275</x:v>
      </x:c>
    </x:row>
    <x:row r="115" ht="30" customHeight="1">
      <x:c r="A115" s="59" t="str">
        <x:v>PSE_CAPACITY</x:v>
      </x:c>
      <x:c r="B115" s="59" t="str">
        <x:v>source_date</x:v>
      </x:c>
      <x:c r="C115" s="60" t="n">
        <x:v>46265</x:v>
      </x:c>
    </x:row>
    <x:row r="116" ht="30" customHeight="1">
      <x:c r="A116" s="59" t="str">
        <x:v>PSE_CAPACITY</x:v>
      </x:c>
      <x:c r="B116" s="59" t="str">
        <x:v>publication_date</x:v>
      </x:c>
      <x:c r="C116" s="59" t="str">
        <x:v>UNKNOWN — nie ustalono</x:v>
      </x:c>
    </x:row>
    <x:row r="117" ht="30" customHeight="1">
      <x:c r="A117" s="59" t="str">
        <x:v>PSE_CAPACITY</x:v>
      </x:c>
      <x:c r="B117" s="59" t="str">
        <x:v>source_version</x:v>
      </x:c>
      <x:c r="C117" s="59" t="str">
        <x:v>UNKNOWN — nie ustalono</x:v>
      </x:c>
    </x:row>
    <x:row r="118" ht="30" customHeight="1">
      <x:c r="A118" s="59" t="str">
        <x:v>PSE_CAPACITY</x:v>
      </x:c>
      <x:c r="B118" s="59" t="str">
        <x:v>source_page</x:v>
      </x:c>
      <x:c r="C118" s="59" t="str">
        <x:v>3–4, 12–13</x:v>
      </x:c>
    </x:row>
    <x:row r="119" ht="30" customHeight="1">
      <x:c r="A119" s="59" t="str">
        <x:v>PSE_CAPACITY</x:v>
      </x:c>
      <x:c r="B119" s="59" t="str">
        <x:v>valid_from</x:v>
      </x:c>
      <x:c r="C119" s="59" t="str">
        <x:v>UNKNOWN — nie ustalono</x:v>
      </x:c>
    </x:row>
    <x:row r="120" ht="30" customHeight="1">
      <x:c r="A120" s="59" t="str">
        <x:v>PSE_CAPACITY</x:v>
      </x:c>
      <x:c r="B120" s="59" t="str">
        <x:v>valid_to</x:v>
      </x:c>
      <x:c r="C120" s="59" t="str">
        <x:v>UNKNOWN — nie ustalono</x:v>
      </x:c>
    </x:row>
    <x:row r="121" ht="30" customHeight="1">
      <x:c r="A121" s="59" t="str">
        <x:v>PSE_CAPACITY</x:v>
      </x:c>
      <x:c r="B121" s="59" t="str">
        <x:v>current_future_scope</x:v>
      </x:c>
      <x:c r="C121" s="59" t="str">
        <x:v>Mieszany; każda tabela wymaga własnego horyzontu.</x:v>
      </x:c>
    </x:row>
    <x:row r="122" ht="30" customHeight="1">
      <x:c r="A122" s="59" t="str">
        <x:v>PSE_CAPACITY</x:v>
      </x:c>
      <x:c r="B122" s="59" t="str">
        <x:v>value_classification_default</x:v>
      </x:c>
      <x:c r="C122" s="59" t="str">
        <x:v>REPORTED</x:v>
      </x:c>
    </x:row>
    <x:row r="123" ht="38" customHeight="1">
      <x:c r="A123" s="59" t="str">
        <x:v>PSE_CAPACITY</x:v>
      </x:c>
      <x:c r="B123" s="59" t="str">
        <x:v>automation_notes</x:v>
      </x:c>
      <x:c r="C123" s="59" t="str">
        <x:v>Jednorazowy przegląd; brak zgody na stały scraper wynikającej z samego dostępu. Sprawdzić warunki, robots.txt i limity przed wdrożeniem.</x:v>
      </x:c>
    </x:row>
    <x:row r="124" ht="30" customHeight="1">
      <x:c r="A124" s="59" t="str">
        <x:v>PSE_CAPACITY</x:v>
      </x:c>
      <x:c r="B124" s="59" t="str">
        <x:v>probe_ids</x:v>
      </x:c>
      <x:c r="C124" s="59" t="str">
        <x:v>[ "PSE_CAPACITY" ]</x:v>
      </x:c>
    </x:row>
    <x:row r="125" ht="30" customHeight="1">
      <x:c r="A125" s="59" t="str">
        <x:v>PSE_CAPACITY</x:v>
      </x:c>
      <x:c r="B125" s="59" t="str">
        <x:v>related_urls</x:v>
      </x:c>
      <x:c r="C125" s="59" t="str">
        <x:v>[]</x:v>
      </x:c>
    </x:row>
    <x:row r="126" ht="30" customHeight="1">
      <x:c r="A126" s="59" t="str">
        <x:v>PSE_CAPACITY</x:v>
      </x:c>
      <x:c r="B126" s="59" t="str">
        <x:v>source_id</x:v>
      </x:c>
      <x:c r="C126" s="59" t="str">
        <x:v>PSE_CAPACITY</x:v>
      </x:c>
    </x:row>
    <x:row r="127" ht="30" customHeight="1">
      <x:c r="A127" s="59" t="str">
        <x:v>PSE_CAPACITY</x:v>
      </x:c>
      <x:c r="B127" s="59" t="str">
        <x:v>operator</x:v>
      </x:c>
      <x:c r="C127" s="59" t="str">
        <x:v>PSE</x:v>
      </x:c>
    </x:row>
    <x:row r="128" ht="30" customHeight="1">
      <x:c r="A128" s="59" t="str">
        <x:v>PSE_CAPACITY</x:v>
      </x:c>
      <x:c r="B128" s="59" t="str">
        <x:v>source_name</x:v>
      </x:c>
      <x:c r="C128" s="59" t="str">
        <x:v>Dostępność mocy przyłączeniowej do sieci przesyłowej</x:v>
      </x:c>
    </x:row>
    <x:row r="129" ht="38" customHeight="1">
      <x:c r="A129" s="59" t="str">
        <x:v>PSE_CAPACITY</x:v>
      </x:c>
      <x:c r="B129" s="59" t="str">
        <x:v>url</x:v>
      </x:c>
      <x:c r="C129" s="59" t="str">
        <x:v>https://www.pse.pl/documents/20182/51490/informacja_o_dostepnosci_mocy_przylaczeniowej_do_sieci_przesylowej.pdf/81835e70-c6bb-4ed1-8154-1959a45b44f1</x:v>
      </x:c>
    </x:row>
    <x:row r="130" ht="30" customHeight="1">
      <x:c r="A130" s="59" t="str">
        <x:v>PSE_CAPACITY</x:v>
      </x:c>
      <x:c r="B130" s="59" t="str">
        <x:v>data_owner</x:v>
      </x:c>
      <x:c r="C130" s="59" t="str">
        <x:v>PSE S.A.</x:v>
      </x:c>
    </x:row>
    <x:row r="131" ht="30" customHeight="1">
      <x:c r="A131" s="59" t="str">
        <x:v>PSE_CAPACITY</x:v>
      </x:c>
      <x:c r="B131" s="59" t="str">
        <x:v>data_category</x:v>
      </x:c>
      <x:c r="C131" s="59" t="str">
        <x:v>reported_connection_capacity</x:v>
      </x:c>
    </x:row>
    <x:row r="132" ht="30" customHeight="1">
      <x:c r="A132" s="59" t="str">
        <x:v>PSE_CAPACITY</x:v>
      </x:c>
      <x:c r="B132" s="59" t="str">
        <x:v>data_format</x:v>
      </x:c>
      <x:c r="C132" s="59" t="str">
        <x:v>[ "PDF" ]</x:v>
      </x:c>
    </x:row>
    <x:row r="133" ht="30" customHeight="1">
      <x:c r="A133" s="59" t="str">
        <x:v>PSE_CAPACITY</x:v>
      </x:c>
      <x:c r="B133" s="59" t="str">
        <x:v>verification_status</x:v>
      </x:c>
      <x:c r="C133" s="59" t="str">
        <x:v>SAMPLE_VERIFIED</x:v>
      </x:c>
    </x:row>
    <x:row r="134" ht="30" customHeight="1">
      <x:c r="A134" s="59" t="str">
        <x:v>PSE_CAPACITY</x:v>
      </x:c>
      <x:c r="B134" s="59" t="str">
        <x:v>reliability</x:v>
      </x:c>
      <x:c r="C134" s="59" t="str">
        <x:v>B</x:v>
      </x:c>
    </x:row>
    <x:row r="135" ht="30" customHeight="1">
      <x:c r="A135" s="59" t="str">
        <x:v>PSE_CAPACITY</x:v>
      </x:c>
      <x:c r="B135" s="59" t="str">
        <x:v>key_fields</x:v>
      </x:c>
      <x:c r="C135" s="59" t="str">
        <x:v>[ "stacja lub obszar", "horyzont", "wariant WP OSD", "dostępna moc MW", "założenia" ]</x:v>
      </x:c>
    </x:row>
    <x:row r="136" ht="30" customHeight="1">
      <x:c r="A136" s="59" t="str">
        <x:v>PSE_CAPACITY</x:v>
      </x:c>
      <x:c r="B136" s="59" t="str">
        <x:v>potential_application</x:v>
      </x:c>
      <x:c r="C136" s="59" t="str">
        <x:v>Odczyt dostępności operatora z warunkami i scenariuszem.</x:v>
      </x:c>
    </x:row>
    <x:row r="137" ht="38" customHeight="1">
      <x:c r="A137" s="59" t="str">
        <x:v>PSE_CAPACITY</x:v>
      </x:c>
      <x:c r="B137" s="59" t="str">
        <x:v>known_limitations</x:v>
      </x:c>
      <x:c r="C137" s="59" t="str">
        <x:v>[ "Nie sumować współdzielonych grup ani powtórnie odejmować uwzględnionego pipeline.", "Tabela importowa s.12 dotyczy nowych planowanych stacji; nie obecnej rezerwy wszystkich stacji." ]</x:v>
      </x:c>
    </x:row>
    <x:row r="138" ht="30" customHeight="1">
      <x:c r="A138" s="59" t="str">
        <x:v>PSE_CAPACITY</x:v>
      </x:c>
      <x:c r="B138" s="59" t="str">
        <x:v>priority</x:v>
      </x:c>
      <x:c r="C138" s="59" t="str">
        <x:v>P1</x:v>
      </x:c>
    </x:row>
    <x:row r="139" ht="80" customHeight="1">
      <x:c r="A139" s="59" t="str">
        <x:v>PSE_CAPACITY</x:v>
      </x:c>
      <x:c r="B139" s="59" t="str">
        <x:v>evidence</x:v>
      </x:c>
      <x:c r="C139" s="59" t="str">
        <x:v>[ { "source_id": "PSE_CAPACITY", "url": "https://www.pse.pl/documents/20182/51490/informacja_o_dostepnosci_mocy_przylaczeniowej_do_sieci_przesylowej.pdf/81835e70-c6bb-4ed1-8154-1959a45b44f1", "retrieval_date": "2026-09-10T11:18:09.9988780Z", "http_status": 200, "content_type": "application/pdf; charset=UTF-8", "bytes": 1113716, "sha256": "d51fa2cd778b6a358a2f9e45894f695a6d118ff0bb767e3466a6be48f54cf04a", "local_path": "data/raw/research/2026-09-10/pse_capacity_retrieved_2026-09-10.pdf", "error": null, "manifest": "data/catalog/probe_results_20260910T111813793Z.json" } ]</x:v>
      </x:c>
    </x:row>
    <x:row r="140" ht="30" customHeight="1">
      <x:c r="A140" s="59" t="str">
        <x:v>PSE_CAPACITY</x:v>
      </x:c>
      <x:c r="B140" s="59" t="str">
        <x:v>retrieval_date</x:v>
      </x:c>
      <x:c r="C140" s="59" t="str">
        <x:v>[ "2026-09-10T11:18:09.9988780Z" ]</x:v>
      </x:c>
    </x:row>
    <x:row r="141" ht="30" customHeight="1">
      <x:c r="A141" s="59" t="str">
        <x:v>PSE_PLAN</x:v>
      </x:c>
      <x:c r="B141" s="59" t="str">
        <x:v>country</x:v>
      </x:c>
      <x:c r="C141" s="59" t="str">
        <x:v>PL</x:v>
      </x:c>
    </x:row>
    <x:row r="142" ht="30" customHeight="1">
      <x:c r="A142" s="59" t="str">
        <x:v>PSE_PLAN</x:v>
      </x:c>
      <x:c r="B142" s="59" t="str">
        <x:v>geographical_scope</x:v>
      </x:c>
      <x:c r="C142" s="59" t="str">
        <x:v>Zakres publikacji danego operatora/instytucji; nie założono pełnego pokrycia kraju.</x:v>
      </x:c>
    </x:row>
    <x:row r="143" ht="30" customHeight="1">
      <x:c r="A143" s="59" t="str">
        <x:v>PSE_PLAN</x:v>
      </x:c>
      <x:c r="B143" s="59" t="str">
        <x:v>grid_voltage</x:v>
      </x:c>
      <x:c r="C143" s="59" t="str">
        <x:v>[ "110 kV", "220 kV", "400 kV" ]</x:v>
      </x:c>
    </x:row>
    <x:row r="144" ht="30" customHeight="1">
      <x:c r="A144" s="59" t="str">
        <x:v>PSE_PLAN</x:v>
      </x:c>
      <x:c r="B144" s="59" t="str">
        <x:v>api_available</x:v>
      </x:c>
      <x:c r="C144" s="59" t="str">
        <x:v>UNKNOWN</x:v>
      </x:c>
    </x:row>
    <x:row r="145" ht="30" customHeight="1">
      <x:c r="A145" s="59" t="str">
        <x:v>PSE_PLAN</x:v>
      </x:c>
      <x:c r="B145" s="59" t="str">
        <x:v>gis_available</x:v>
      </x:c>
      <x:c r="C145" s="59" t="str">
        <x:v>UNKNOWN</x:v>
      </x:c>
    </x:row>
    <x:row r="146" ht="30" customHeight="1">
      <x:c r="A146" s="59" t="str">
        <x:v>PSE_PLAN</x:v>
      </x:c>
      <x:c r="B146" s="59" t="str">
        <x:v>update_frequency</x:v>
      </x:c>
      <x:c r="C146" s="59" t="str">
        <x:v>Cykl planowania i rewizje; nie dane bieżące.</x:v>
      </x:c>
    </x:row>
    <x:row r="147" ht="30" customHeight="1">
      <x:c r="A147" s="59" t="str">
        <x:v>PSE_PLAN</x:v>
      </x:c>
      <x:c r="B147" s="59" t="str">
        <x:v>historical_data</x:v>
      </x:c>
      <x:c r="C147" s="59" t="str">
        <x:v>UNKNOWN — własne snapshoty od 10.09.2026, jeśli zapisano próbkę.</x:v>
      </x:c>
    </x:row>
    <x:row r="148" ht="30" customHeight="1">
      <x:c r="A148" s="59" t="str">
        <x:v>PSE_PLAN</x:v>
      </x:c>
      <x:c r="B148" s="59" t="str">
        <x:v>authentication</x:v>
      </x:c>
      <x:c r="C148" s="59" t="str">
        <x:v>Odczyt publicznej strony bez konta; nie dowodzi dostępu do wszystkich danych.</x:v>
      </x:c>
    </x:row>
    <x:row r="149" ht="30" customHeight="1">
      <x:c r="A149" s="59" t="str">
        <x:v>PSE_PLAN</x:v>
      </x:c>
      <x:c r="B149" s="59" t="str">
        <x:v>license</x:v>
      </x:c>
      <x:c r="C149" s="59" t="str">
        <x:v>UNKNOWN — nie potwierdzono otwartej licencji wybranego zbioru.</x:v>
      </x:c>
    </x:row>
    <x:row r="150" ht="30" customHeight="1">
      <x:c r="A150" s="59" t="str">
        <x:v>PSE_PLAN</x:v>
      </x:c>
      <x:c r="B150" s="59" t="str">
        <x:v>license_url</x:v>
      </x:c>
      <x:c r="C150" s="59" t="str">
        <x:v>UNKNOWN — nie ustalono</x:v>
      </x:c>
    </x:row>
    <x:row r="151" ht="30" customHeight="1">
      <x:c r="A151" s="59" t="str">
        <x:v>PSE_PLAN</x:v>
      </x:c>
      <x:c r="B151" s="59" t="str">
        <x:v>commercial_use</x:v>
      </x:c>
      <x:c r="C151" s="59" t="str">
        <x:v>UNKNOWN</x:v>
      </x:c>
    </x:row>
    <x:row r="152" ht="30" customHeight="1">
      <x:c r="A152" s="59" t="str">
        <x:v>PSE_PLAN</x:v>
      </x:c>
      <x:c r="B152" s="59" t="str">
        <x:v>machine_readable</x:v>
      </x:c>
      <x:c r="C152" s="59" t="str">
        <x:v>PARTIAL</x:v>
      </x:c>
    </x:row>
    <x:row r="153" ht="30" customHeight="1">
      <x:c r="A153" s="59" t="str">
        <x:v>PSE_PLAN</x:v>
      </x:c>
      <x:c r="B153" s="59" t="str">
        <x:v>scraping_required</x:v>
      </x:c>
      <x:c r="C153" s="59" t="str">
        <x:v>UNKNOWN — przed scraperem preferować oficjalny plik lub API.</x:v>
      </x:c>
    </x:row>
    <x:row r="154" ht="30" customHeight="1">
      <x:c r="A154" s="59" t="str">
        <x:v>PSE_PLAN</x:v>
      </x:c>
      <x:c r="B154" s="59" t="str">
        <x:v>data_quality_score</x:v>
      </x:c>
      <x:c r="C154" s="59" t="str">
        <x:v>UNKNOWN — nie ustalono</x:v>
      </x:c>
    </x:row>
    <x:row r="155" ht="30" customHeight="1">
      <x:c r="A155" s="59" t="str">
        <x:v>PSE_PLAN</x:v>
      </x:c>
      <x:c r="B155" s="59" t="str">
        <x:v>quality_score_status</x:v>
      </x:c>
      <x:c r="C155" s="59" t="str">
        <x:v>NOT_CALIBRATED — autorytet źródła nie jest procentem kompletności lub trafności.</x:v>
      </x:c>
    </x:row>
    <x:row r="156" ht="30" customHeight="1">
      <x:c r="A156" s="59" t="str">
        <x:v>PSE_PLAN</x:v>
      </x:c>
      <x:c r="B156" s="59" t="str">
        <x:v>last_verified</x:v>
      </x:c>
      <x:c r="C156" s="60" t="n">
        <x:v>46275</x:v>
      </x:c>
    </x:row>
    <x:row r="157" ht="30" customHeight="1">
      <x:c r="A157" s="59" t="str">
        <x:v>PSE_PLAN</x:v>
      </x:c>
      <x:c r="B157" s="59" t="str">
        <x:v>last_successful_verification</x:v>
      </x:c>
      <x:c r="C157" s="60" t="n">
        <x:v>46275</x:v>
      </x:c>
    </x:row>
    <x:row r="158" ht="30" customHeight="1">
      <x:c r="A158" s="59" t="str">
        <x:v>PSE_PLAN</x:v>
      </x:c>
      <x:c r="B158" s="59" t="str">
        <x:v>source_date</x:v>
      </x:c>
      <x:c r="C158" s="59" t="str">
        <x:v>UNKNOWN — nie ustalono</x:v>
      </x:c>
    </x:row>
    <x:row r="159" ht="30" customHeight="1">
      <x:c r="A159" s="59" t="str">
        <x:v>PSE_PLAN</x:v>
      </x:c>
      <x:c r="B159" s="59" t="str">
        <x:v>publication_date</x:v>
      </x:c>
      <x:c r="C159" s="59" t="str">
        <x:v>UNKNOWN — nie ustalono</x:v>
      </x:c>
    </x:row>
    <x:row r="160" ht="30" customHeight="1">
      <x:c r="A160" s="59" t="str">
        <x:v>PSE_PLAN</x:v>
      </x:c>
      <x:c r="B160" s="59" t="str">
        <x:v>source_version</x:v>
      </x:c>
      <x:c r="C160" s="59" t="str">
        <x:v>UNKNOWN — nie ustalono</x:v>
      </x:c>
    </x:row>
    <x:row r="161" ht="30" customHeight="1">
      <x:c r="A161" s="59" t="str">
        <x:v>PSE_PLAN</x:v>
      </x:c>
      <x:c r="B161" s="59" t="str">
        <x:v>source_page</x:v>
      </x:c>
      <x:c r="C161" s="59" t="str">
        <x:v>UNKNOWN — nie ustalono</x:v>
      </x:c>
    </x:row>
    <x:row r="162" ht="30" customHeight="1">
      <x:c r="A162" s="59" t="str">
        <x:v>PSE_PLAN</x:v>
      </x:c>
      <x:c r="B162" s="59" t="str">
        <x:v>valid_from</x:v>
      </x:c>
      <x:c r="C162" s="59" t="str">
        <x:v>UNKNOWN — nie ustalono</x:v>
      </x:c>
    </x:row>
    <x:row r="163" ht="30" customHeight="1">
      <x:c r="A163" s="59" t="str">
        <x:v>PSE_PLAN</x:v>
      </x:c>
      <x:c r="B163" s="59" t="str">
        <x:v>valid_to</x:v>
      </x:c>
      <x:c r="C163" s="59" t="str">
        <x:v>UNKNOWN — nie ustalono</x:v>
      </x:c>
    </x:row>
    <x:row r="164" ht="30" customHeight="1">
      <x:c r="A164" s="59" t="str">
        <x:v>PSE_PLAN</x:v>
      </x:c>
      <x:c r="B164" s="59" t="str">
        <x:v>current_future_scope</x:v>
      </x:c>
      <x:c r="C164" s="59" t="str">
        <x:v>FUTURE_GRID</x:v>
      </x:c>
    </x:row>
    <x:row r="165" ht="30" customHeight="1">
      <x:c r="A165" s="59" t="str">
        <x:v>PSE_PLAN</x:v>
      </x:c>
      <x:c r="B165" s="59" t="str">
        <x:v>value_classification_default</x:v>
      </x:c>
      <x:c r="C165" s="59" t="str">
        <x:v>REPORTED</x:v>
      </x:c>
    </x:row>
    <x:row r="166" ht="38" customHeight="1">
      <x:c r="A166" s="59" t="str">
        <x:v>PSE_PLAN</x:v>
      </x:c>
      <x:c r="B166" s="59" t="str">
        <x:v>automation_notes</x:v>
      </x:c>
      <x:c r="C166" s="59" t="str">
        <x:v>Jednorazowy przegląd; brak zgody na stały scraper wynikającej z samego dostępu. Sprawdzić warunki, robots.txt i limity przed wdrożeniem.</x:v>
      </x:c>
    </x:row>
    <x:row r="167" ht="30" customHeight="1">
      <x:c r="A167" s="59" t="str">
        <x:v>PSE_PLAN</x:v>
      </x:c>
      <x:c r="B167" s="59" t="str">
        <x:v>probe_ids</x:v>
      </x:c>
      <x:c r="C167" s="59" t="str">
        <x:v>[]</x:v>
      </x:c>
    </x:row>
    <x:row r="168" ht="30" customHeight="1">
      <x:c r="A168" s="59" t="str">
        <x:v>PSE_PLAN</x:v>
      </x:c>
      <x:c r="B168" s="59" t="str">
        <x:v>related_urls</x:v>
      </x:c>
      <x:c r="C168" s="59" t="str">
        <x:v>[]</x:v>
      </x:c>
    </x:row>
    <x:row r="169" ht="30" customHeight="1">
      <x:c r="A169" s="59" t="str">
        <x:v>PSE_PLAN</x:v>
      </x:c>
      <x:c r="B169" s="59" t="str">
        <x:v>source_id</x:v>
      </x:c>
      <x:c r="C169" s="59" t="str">
        <x:v>PSE_PLAN</x:v>
      </x:c>
    </x:row>
    <x:row r="170" ht="30" customHeight="1">
      <x:c r="A170" s="59" t="str">
        <x:v>PSE_PLAN</x:v>
      </x:c>
      <x:c r="B170" s="59" t="str">
        <x:v>operator</x:v>
      </x:c>
      <x:c r="C170" s="59" t="str">
        <x:v>PSE</x:v>
      </x:c>
    </x:row>
    <x:row r="171" ht="30" customHeight="1">
      <x:c r="A171" s="59" t="str">
        <x:v>PSE_PLAN</x:v>
      </x:c>
      <x:c r="B171" s="59" t="str">
        <x:v>source_name</x:v>
      </x:c>
      <x:c r="C171" s="59" t="str">
        <x:v>PRSP 2027–2036 — projekt po konsultacjach</x:v>
      </x:c>
    </x:row>
    <x:row r="172" ht="38" customHeight="1">
      <x:c r="A172" s="59" t="str">
        <x:v>PSE_PLAN</x:v>
      </x:c>
      <x:c r="B172" s="59" t="str">
        <x:v>url</x:v>
      </x:c>
      <x:c r="C172" s="59" t="str">
        <x:v>https://www.pse.pl/documents/20182/7102190804/PRSP_2027-2036-dokument_glowny_projekt_po_konsultacji.pdf/de2f004f-8a80-4264-907a-a38d52c5d50f</x:v>
      </x:c>
    </x:row>
    <x:row r="173" ht="30" customHeight="1">
      <x:c r="A173" s="59" t="str">
        <x:v>PSE_PLAN</x:v>
      </x:c>
      <x:c r="B173" s="59" t="str">
        <x:v>data_owner</x:v>
      </x:c>
      <x:c r="C173" s="59" t="str">
        <x:v>PSE S.A.</x:v>
      </x:c>
    </x:row>
    <x:row r="174" ht="30" customHeight="1">
      <x:c r="A174" s="59" t="str">
        <x:v>PSE_PLAN</x:v>
      </x:c>
      <x:c r="B174" s="59" t="str">
        <x:v>data_category</x:v>
      </x:c>
      <x:c r="C174" s="59" t="str">
        <x:v>grid_investments</x:v>
      </x:c>
    </x:row>
    <x:row r="175" ht="30" customHeight="1">
      <x:c r="A175" s="59" t="str">
        <x:v>PSE_PLAN</x:v>
      </x:c>
      <x:c r="B175" s="59" t="str">
        <x:v>data_format</x:v>
      </x:c>
      <x:c r="C175" s="59" t="str">
        <x:v>[ "PDF" ]</x:v>
      </x:c>
    </x:row>
    <x:row r="176" ht="30" customHeight="1">
      <x:c r="A176" s="59" t="str">
        <x:v>PSE_PLAN</x:v>
      </x:c>
      <x:c r="B176" s="59" t="str">
        <x:v>verification_status</x:v>
      </x:c>
      <x:c r="C176" s="59" t="str">
        <x:v>CONTENT_REVIEWED</x:v>
      </x:c>
    </x:row>
    <x:row r="177" ht="30" customHeight="1">
      <x:c r="A177" s="59" t="str">
        <x:v>PSE_PLAN</x:v>
      </x:c>
      <x:c r="B177" s="59" t="str">
        <x:v>reliability</x:v>
      </x:c>
      <x:c r="C177" s="59" t="str">
        <x:v>B</x:v>
      </x:c>
    </x:row>
    <x:row r="178" ht="30" customHeight="1">
      <x:c r="A178" s="59" t="str">
        <x:v>PSE_PLAN</x:v>
      </x:c>
      <x:c r="B178" s="59" t="str">
        <x:v>key_fields</x:v>
      </x:c>
      <x:c r="C178" s="59" t="str">
        <x:v>[ "inwestycja", "stacja", "linia", "horyzont", "status dokumentu" ]</x:v>
      </x:c>
    </x:row>
    <x:row r="179" ht="30" customHeight="1">
      <x:c r="A179" s="59" t="str">
        <x:v>PSE_PLAN</x:v>
      </x:c>
      <x:c r="B179" s="59" t="str">
        <x:v>potential_application</x:v>
      </x:c>
      <x:c r="C179" s="59" t="str">
        <x:v>Przyszła sieć i rejestr inwestycji.</x:v>
      </x:c>
    </x:row>
    <x:row r="180" ht="30" customHeight="1">
      <x:c r="A180" s="59" t="str">
        <x:v>PSE_PLAN</x:v>
      </x:c>
      <x:c r="B180" s="59" t="str">
        <x:v>known_limitations</x:v>
      </x:c>
      <x:c r="C180" s="59" t="str">
        <x:v>[ "Projekt po konsultacjach; nie utożsamiać z uzgodnieniem i oddaniem do ruchu." ]</x:v>
      </x:c>
    </x:row>
    <x:row r="181" ht="30" customHeight="1">
      <x:c r="A181" s="59" t="str">
        <x:v>PSE_PLAN</x:v>
      </x:c>
      <x:c r="B181" s="59" t="str">
        <x:v>priority</x:v>
      </x:c>
      <x:c r="C181" s="59" t="str">
        <x:v>P1</x:v>
      </x:c>
    </x:row>
    <x:row r="182" ht="30" customHeight="1">
      <x:c r="A182" s="59" t="str">
        <x:v>PSE_PLAN</x:v>
      </x:c>
      <x:c r="B182" s="59" t="str">
        <x:v>evidence</x:v>
      </x:c>
      <x:c r="C182" s="59" t="str">
        <x:v>[]</x:v>
      </x:c>
    </x:row>
    <x:row r="183" ht="30" customHeight="1">
      <x:c r="A183" s="59" t="str">
        <x:v>PSE_PLAN</x:v>
      </x:c>
      <x:c r="B183" s="59" t="str">
        <x:v>retrieval_date</x:v>
      </x:c>
      <x:c r="C183" s="59" t="str">
        <x:v>[]</x:v>
      </x:c>
    </x:row>
    <x:row r="184" ht="30" customHeight="1">
      <x:c r="A184" s="59" t="str">
        <x:v>PSE_STRUCT_B2B</x:v>
      </x:c>
      <x:c r="B184" s="59" t="str">
        <x:v>country</x:v>
      </x:c>
      <x:c r="C184" s="59" t="str">
        <x:v>PL</x:v>
      </x:c>
    </x:row>
    <x:row r="185" ht="30" customHeight="1">
      <x:c r="A185" s="59" t="str">
        <x:v>PSE_STRUCT_B2B</x:v>
      </x:c>
      <x:c r="B185" s="59" t="str">
        <x:v>geographical_scope</x:v>
      </x:c>
      <x:c r="C185" s="59" t="str">
        <x:v>Zakres publikacji danego operatora/instytucji; nie założono pełnego pokrycia kraju.</x:v>
      </x:c>
    </x:row>
    <x:row r="186" ht="30" customHeight="1">
      <x:c r="A186" s="59" t="str">
        <x:v>PSE_STRUCT_B2B</x:v>
      </x:c>
      <x:c r="B186" s="59" t="str">
        <x:v>grid_voltage</x:v>
      </x:c>
      <x:c r="C186" s="59" t="str">
        <x:v>[ "UNKNOWN_OR_NOT_APPLICABLE" ]</x:v>
      </x:c>
    </x:row>
    <x:row r="187" ht="30" customHeight="1">
      <x:c r="A187" s="59" t="str">
        <x:v>PSE_STRUCT_B2B</x:v>
      </x:c>
      <x:c r="B187" s="59" t="str">
        <x:v>api_available</x:v>
      </x:c>
      <x:c r="C187" s="59" t="str">
        <x:v>UNKNOWN</x:v>
      </x:c>
    </x:row>
    <x:row r="188" ht="30" customHeight="1">
      <x:c r="A188" s="59" t="str">
        <x:v>PSE_STRUCT_B2B</x:v>
      </x:c>
      <x:c r="B188" s="59" t="str">
        <x:v>gis_available</x:v>
      </x:c>
      <x:c r="C188" s="59" t="str">
        <x:v>UNKNOWN</x:v>
      </x:c>
    </x:row>
    <x:row r="189" ht="30" customHeight="1">
      <x:c r="A189" s="59" t="str">
        <x:v>PSE_STRUCT_B2B</x:v>
      </x:c>
      <x:c r="B189" s="59" t="str">
        <x:v>update_frequency</x:v>
      </x:c>
      <x:c r="C189" s="59" t="str">
        <x:v>UNKNOWN — nie ustalono gwarantowanego cyklu publikacji.</x:v>
      </x:c>
    </x:row>
    <x:row r="190" ht="30" customHeight="1">
      <x:c r="A190" s="59" t="str">
        <x:v>PSE_STRUCT_B2B</x:v>
      </x:c>
      <x:c r="B190" s="59" t="str">
        <x:v>historical_data</x:v>
      </x:c>
      <x:c r="C190" s="59" t="str">
        <x:v>UNKNOWN — własne snapshoty od 10.09.2026, jeśli zapisano próbkę.</x:v>
      </x:c>
    </x:row>
    <x:row r="191" ht="30" customHeight="1">
      <x:c r="A191" s="59" t="str">
        <x:v>PSE_STRUCT_B2B</x:v>
      </x:c>
      <x:c r="B191" s="59" t="str">
        <x:v>authentication</x:v>
      </x:c>
      <x:c r="C191" s="59" t="str">
        <x:v>UNKNOWN — kanał B2B wymaga odrębnej weryfikacji uprawnień.</x:v>
      </x:c>
    </x:row>
    <x:row r="192" ht="30" customHeight="1">
      <x:c r="A192" s="59" t="str">
        <x:v>PSE_STRUCT_B2B</x:v>
      </x:c>
      <x:c r="B192" s="59" t="str">
        <x:v>license</x:v>
      </x:c>
      <x:c r="C192" s="59" t="str">
        <x:v>UNKNOWN — nie potwierdzono otwartej licencji wybranego zbioru.</x:v>
      </x:c>
    </x:row>
    <x:row r="193" ht="30" customHeight="1">
      <x:c r="A193" s="59" t="str">
        <x:v>PSE_STRUCT_B2B</x:v>
      </x:c>
      <x:c r="B193" s="59" t="str">
        <x:v>license_url</x:v>
      </x:c>
      <x:c r="C193" s="59" t="str">
        <x:v>UNKNOWN — nie ustalono</x:v>
      </x:c>
    </x:row>
    <x:row r="194" ht="30" customHeight="1">
      <x:c r="A194" s="59" t="str">
        <x:v>PSE_STRUCT_B2B</x:v>
      </x:c>
      <x:c r="B194" s="59" t="str">
        <x:v>commercial_use</x:v>
      </x:c>
      <x:c r="C194" s="59" t="str">
        <x:v>UNKNOWN</x:v>
      </x:c>
    </x:row>
    <x:row r="195" ht="30" customHeight="1">
      <x:c r="A195" s="59" t="str">
        <x:v>PSE_STRUCT_B2B</x:v>
      </x:c>
      <x:c r="B195" s="59" t="str">
        <x:v>machine_readable</x:v>
      </x:c>
      <x:c r="C195" s="59" t="str">
        <x:v>UNKNOWN</x:v>
      </x:c>
    </x:row>
    <x:row r="196" ht="30" customHeight="1">
      <x:c r="A196" s="59" t="str">
        <x:v>PSE_STRUCT_B2B</x:v>
      </x:c>
      <x:c r="B196" s="59" t="str">
        <x:v>scraping_required</x:v>
      </x:c>
      <x:c r="C196" s="59" t="str">
        <x:v>UNKNOWN — przed scraperem preferować oficjalny plik lub API.</x:v>
      </x:c>
    </x:row>
    <x:row r="197" ht="30" customHeight="1">
      <x:c r="A197" s="59" t="str">
        <x:v>PSE_STRUCT_B2B</x:v>
      </x:c>
      <x:c r="B197" s="59" t="str">
        <x:v>data_quality_score</x:v>
      </x:c>
      <x:c r="C197" s="59" t="str">
        <x:v>UNKNOWN — nie ustalono</x:v>
      </x:c>
    </x:row>
    <x:row r="198" ht="30" customHeight="1">
      <x:c r="A198" s="59" t="str">
        <x:v>PSE_STRUCT_B2B</x:v>
      </x:c>
      <x:c r="B198" s="59" t="str">
        <x:v>quality_score_status</x:v>
      </x:c>
      <x:c r="C198" s="59" t="str">
        <x:v>NOT_CALIBRATED — autorytet źródła nie jest procentem kompletności lub trafności.</x:v>
      </x:c>
    </x:row>
    <x:row r="199" ht="30" customHeight="1">
      <x:c r="A199" s="59" t="str">
        <x:v>PSE_STRUCT_B2B</x:v>
      </x:c>
      <x:c r="B199" s="59" t="str">
        <x:v>last_verified</x:v>
      </x:c>
      <x:c r="C199" s="60" t="n">
        <x:v>46275</x:v>
      </x:c>
    </x:row>
    <x:row r="200" ht="30" customHeight="1">
      <x:c r="A200" s="59" t="str">
        <x:v>PSE_STRUCT_B2B</x:v>
      </x:c>
      <x:c r="B200" s="59" t="str">
        <x:v>last_successful_verification</x:v>
      </x:c>
      <x:c r="C200" s="59" t="str">
        <x:v>UNKNOWN — nie ustalono</x:v>
      </x:c>
    </x:row>
    <x:row r="201" ht="30" customHeight="1">
      <x:c r="A201" s="59" t="str">
        <x:v>PSE_STRUCT_B2B</x:v>
      </x:c>
      <x:c r="B201" s="59" t="str">
        <x:v>source_date</x:v>
      </x:c>
      <x:c r="C201" s="59" t="str">
        <x:v>UNKNOWN — nie ustalono</x:v>
      </x:c>
    </x:row>
    <x:row r="202" ht="30" customHeight="1">
      <x:c r="A202" s="59" t="str">
        <x:v>PSE_STRUCT_B2B</x:v>
      </x:c>
      <x:c r="B202" s="59" t="str">
        <x:v>publication_date</x:v>
      </x:c>
      <x:c r="C202" s="59" t="str">
        <x:v>UNKNOWN — nie ustalono</x:v>
      </x:c>
    </x:row>
    <x:row r="203" ht="30" customHeight="1">
      <x:c r="A203" s="59" t="str">
        <x:v>PSE_STRUCT_B2B</x:v>
      </x:c>
      <x:c r="B203" s="59" t="str">
        <x:v>source_version</x:v>
      </x:c>
      <x:c r="C203" s="59" t="str">
        <x:v>UNKNOWN — nie ustalono</x:v>
      </x:c>
    </x:row>
    <x:row r="204" ht="30" customHeight="1">
      <x:c r="A204" s="59" t="str">
        <x:v>PSE_STRUCT_B2B</x:v>
      </x:c>
      <x:c r="B204" s="59" t="str">
        <x:v>source_page</x:v>
      </x:c>
      <x:c r="C204" s="59" t="str">
        <x:v>UNKNOWN — nie ustalono</x:v>
      </x:c>
    </x:row>
    <x:row r="205" ht="30" customHeight="1">
      <x:c r="A205" s="59" t="str">
        <x:v>PSE_STRUCT_B2B</x:v>
      </x:c>
      <x:c r="B205" s="59" t="str">
        <x:v>valid_from</x:v>
      </x:c>
      <x:c r="C205" s="59" t="str">
        <x:v>UNKNOWN — nie ustalono</x:v>
      </x:c>
    </x:row>
    <x:row r="206" ht="30" customHeight="1">
      <x:c r="A206" s="59" t="str">
        <x:v>PSE_STRUCT_B2B</x:v>
      </x:c>
      <x:c r="B206" s="59" t="str">
        <x:v>valid_to</x:v>
      </x:c>
      <x:c r="C206" s="59" t="str">
        <x:v>UNKNOWN — nie ustalono</x:v>
      </x:c>
    </x:row>
    <x:row r="207" ht="30" customHeight="1">
      <x:c r="A207" s="59" t="str">
        <x:v>PSE_STRUCT_B2B</x:v>
      </x:c>
      <x:c r="B207" s="59" t="str">
        <x:v>current_future_scope</x:v>
      </x:c>
      <x:c r="C207" s="59" t="str">
        <x:v>SOURCE_DEPENDENT</x:v>
      </x:c>
    </x:row>
    <x:row r="208" ht="30" customHeight="1">
      <x:c r="A208" s="59" t="str">
        <x:v>PSE_STRUCT_B2B</x:v>
      </x:c>
      <x:c r="B208" s="59" t="str">
        <x:v>value_classification_default</x:v>
      </x:c>
      <x:c r="C208" s="59" t="str">
        <x:v>REPORTED</x:v>
      </x:c>
    </x:row>
    <x:row r="209" ht="38" customHeight="1">
      <x:c r="A209" s="59" t="str">
        <x:v>PSE_STRUCT_B2B</x:v>
      </x:c>
      <x:c r="B209" s="59" t="str">
        <x:v>automation_notes</x:v>
      </x:c>
      <x:c r="C209" s="59" t="str">
        <x:v>Jednorazowy przegląd; brak zgody na stały scraper wynikającej z samego dostępu. Sprawdzić warunki, robots.txt i limity przed wdrożeniem.</x:v>
      </x:c>
    </x:row>
    <x:row r="210" ht="30" customHeight="1">
      <x:c r="A210" s="59" t="str">
        <x:v>PSE_STRUCT_B2B</x:v>
      </x:c>
      <x:c r="B210" s="59" t="str">
        <x:v>probe_ids</x:v>
      </x:c>
      <x:c r="C210" s="59" t="str">
        <x:v>[]</x:v>
      </x:c>
    </x:row>
    <x:row r="211" ht="30" customHeight="1">
      <x:c r="A211" s="59" t="str">
        <x:v>PSE_STRUCT_B2B</x:v>
      </x:c>
      <x:c r="B211" s="59" t="str">
        <x:v>related_urls</x:v>
      </x:c>
      <x:c r="C211" s="59" t="str">
        <x:v>[]</x:v>
      </x:c>
    </x:row>
    <x:row r="212" ht="30" customHeight="1">
      <x:c r="A212" s="59" t="str">
        <x:v>PSE_STRUCT_B2B</x:v>
      </x:c>
      <x:c r="B212" s="59" t="str">
        <x:v>source_id</x:v>
      </x:c>
      <x:c r="C212" s="59" t="str">
        <x:v>PSE_STRUCT_B2B</x:v>
      </x:c>
    </x:row>
    <x:row r="213" ht="30" customHeight="1">
      <x:c r="A213" s="59" t="str">
        <x:v>PSE_STRUCT_B2B</x:v>
      </x:c>
      <x:c r="B213" s="59" t="str">
        <x:v>operator</x:v>
      </x:c>
      <x:c r="C213" s="59" t="str">
        <x:v>PSE</x:v>
      </x:c>
    </x:row>
    <x:row r="214" ht="30" customHeight="1">
      <x:c r="A214" s="59" t="str">
        <x:v>PSE_STRUCT_B2B</x:v>
      </x:c>
      <x:c r="B214" s="59" t="str">
        <x:v>source_name</x:v>
      </x:c>
      <x:c r="C214" s="59" t="str">
        <x:v>Dokumentacja grid-struct-api</x:v>
      </x:c>
    </x:row>
    <x:row r="215" ht="30" customHeight="1">
      <x:c r="A215" s="59" t="str">
        <x:v>PSE_STRUCT_B2B</x:v>
      </x:c>
      <x:c r="B215" s="59" t="str">
        <x:v>url</x:v>
      </x:c>
      <x:c r="C215" s="59" t="str">
        <x:v>https://polskie-sieci-elektroenergetyczne.github.io/grid-struct-api/</x:v>
      </x:c>
    </x:row>
    <x:row r="216" ht="30" customHeight="1">
      <x:c r="A216" s="59" t="str">
        <x:v>PSE_STRUCT_B2B</x:v>
      </x:c>
      <x:c r="B216" s="59" t="str">
        <x:v>data_owner</x:v>
      </x:c>
      <x:c r="C216" s="59" t="str">
        <x:v>PSE S.A.</x:v>
      </x:c>
    </x:row>
    <x:row r="217" ht="30" customHeight="1">
      <x:c r="A217" s="59" t="str">
        <x:v>PSE_STRUCT_B2B</x:v>
      </x:c>
      <x:c r="B217" s="59" t="str">
        <x:v>data_category</x:v>
      </x:c>
      <x:c r="C217" s="59" t="str">
        <x:v>topology_interface_documentation</x:v>
      </x:c>
    </x:row>
    <x:row r="218" ht="30" customHeight="1">
      <x:c r="A218" s="59" t="str">
        <x:v>PSE_STRUCT_B2B</x:v>
      </x:c>
      <x:c r="B218" s="59" t="str">
        <x:v>data_format</x:v>
      </x:c>
      <x:c r="C218" s="59" t="str">
        <x:v>[ "HTML", "API documentation" ]</x:v>
      </x:c>
    </x:row>
    <x:row r="219" ht="30" customHeight="1">
      <x:c r="A219" s="59" t="str">
        <x:v>PSE_STRUCT_B2B</x:v>
      </x:c>
      <x:c r="B219" s="59" t="str">
        <x:v>verification_status</x:v>
      </x:c>
      <x:c r="C219" s="59" t="str">
        <x:v>DISCOVERED</x:v>
      </x:c>
    </x:row>
    <x:row r="220" ht="30" customHeight="1">
      <x:c r="A220" s="59" t="str">
        <x:v>PSE_STRUCT_B2B</x:v>
      </x:c>
      <x:c r="B220" s="59" t="str">
        <x:v>reliability</x:v>
      </x:c>
      <x:c r="C220" s="59" t="str">
        <x:v>B</x:v>
      </x:c>
    </x:row>
    <x:row r="221" ht="30" customHeight="1">
      <x:c r="A221" s="59" t="str">
        <x:v>PSE_STRUCT_B2B</x:v>
      </x:c>
      <x:c r="B221" s="59" t="str">
        <x:v>key_fields</x:v>
      </x:c>
      <x:c r="C221" s="59" t="str">
        <x:v>[ "schemat wymiany strukturalnej" ]</x:v>
      </x:c>
    </x:row>
    <x:row r="222" ht="30" customHeight="1">
      <x:c r="A222" s="59" t="str">
        <x:v>PSE_STRUCT_B2B</x:v>
      </x:c>
      <x:c r="B222" s="59" t="str">
        <x:v>potential_application</x:v>
      </x:c>
      <x:c r="C222" s="59" t="str">
        <x:v>Ustalenie przyszłego dostępu partnerskiego do danych strukturalnych.</x:v>
      </x:c>
    </x:row>
    <x:row r="223" ht="38" customHeight="1">
      <x:c r="A223" s="59" t="str">
        <x:v>PSE_STRUCT_B2B</x:v>
      </x:c>
      <x:c r="B223" s="59" t="str">
        <x:v>known_limitations</x:v>
      </x:c>
      <x:c r="C223" s="59" t="str">
        <x:v>[ "Nie potwierdzono anonimowego dostępu do danych; dokumentacja B2B nie oznacza otwartego API topologii.", "Bezpośredni odczyt dokumentacji nie powiódł się." ]</x:v>
      </x:c>
    </x:row>
    <x:row r="224" ht="30" customHeight="1">
      <x:c r="A224" s="59" t="str">
        <x:v>PSE_STRUCT_B2B</x:v>
      </x:c>
      <x:c r="B224" s="59" t="str">
        <x:v>priority</x:v>
      </x:c>
      <x:c r="C224" s="59" t="str">
        <x:v>P3</x:v>
      </x:c>
    </x:row>
    <x:row r="225" ht="30" customHeight="1">
      <x:c r="A225" s="59" t="str">
        <x:v>PSE_STRUCT_B2B</x:v>
      </x:c>
      <x:c r="B225" s="59" t="str">
        <x:v>evidence</x:v>
      </x:c>
      <x:c r="C225" s="59" t="str">
        <x:v>[]</x:v>
      </x:c>
    </x:row>
    <x:row r="226" ht="30" customHeight="1">
      <x:c r="A226" s="59" t="str">
        <x:v>PSE_STRUCT_B2B</x:v>
      </x:c>
      <x:c r="B226" s="59" t="str">
        <x:v>retrieval_date</x:v>
      </x:c>
      <x:c r="C226" s="59" t="str">
        <x:v>[]</x:v>
      </x:c>
    </x:row>
    <x:row r="227" ht="30" customHeight="1">
      <x:c r="A227" s="59" t="str">
        <x:v>ENERGA_LANDING</x:v>
      </x:c>
      <x:c r="B227" s="59" t="str">
        <x:v>country</x:v>
      </x:c>
      <x:c r="C227" s="59" t="str">
        <x:v>PL</x:v>
      </x:c>
    </x:row>
    <x:row r="228" ht="30" customHeight="1">
      <x:c r="A228" s="59" t="str">
        <x:v>ENERGA_LANDING</x:v>
      </x:c>
      <x:c r="B228" s="59" t="str">
        <x:v>geographical_scope</x:v>
      </x:c>
      <x:c r="C228" s="59" t="str">
        <x:v>Zakres publikacji danego operatora/instytucji; nie założono pełnego pokrycia kraju.</x:v>
      </x:c>
    </x:row>
    <x:row r="229" ht="30" customHeight="1">
      <x:c r="A229" s="59" t="str">
        <x:v>ENERGA_LANDING</x:v>
      </x:c>
      <x:c r="B229" s="59" t="str">
        <x:v>grid_voltage</x:v>
      </x:c>
      <x:c r="C229" s="59" t="str">
        <x:v>[ "SN", "110 kV" ]</x:v>
      </x:c>
    </x:row>
    <x:row r="230" ht="30" customHeight="1">
      <x:c r="A230" s="59" t="str">
        <x:v>ENERGA_LANDING</x:v>
      </x:c>
      <x:c r="B230" s="59" t="str">
        <x:v>api_available</x:v>
      </x:c>
      <x:c r="C230" s="59" t="str">
        <x:v>UNKNOWN</x:v>
      </x:c>
    </x:row>
    <x:row r="231" ht="30" customHeight="1">
      <x:c r="A231" s="59" t="str">
        <x:v>ENERGA_LANDING</x:v>
      </x:c>
      <x:c r="B231" s="59" t="str">
        <x:v>gis_available</x:v>
      </x:c>
      <x:c r="C231" s="59" t="str">
        <x:v>UNKNOWN</x:v>
      </x:c>
    </x:row>
    <x:row r="232" ht="30" customHeight="1">
      <x:c r="A232" s="59" t="str">
        <x:v>ENERGA_LANDING</x:v>
      </x:c>
      <x:c r="B232" s="59" t="str">
        <x:v>update_frequency</x:v>
      </x:c>
      <x:c r="C232" s="59" t="str">
        <x:v>UNKNOWN — nie ustalono gwarantowanego cyklu publikacji.</x:v>
      </x:c>
    </x:row>
    <x:row r="233" ht="30" customHeight="1">
      <x:c r="A233" s="59" t="str">
        <x:v>ENERGA_LANDING</x:v>
      </x:c>
      <x:c r="B233" s="59" t="str">
        <x:v>historical_data</x:v>
      </x:c>
      <x:c r="C233" s="59" t="str">
        <x:v>UNKNOWN — własne snapshoty od 10.09.2026, jeśli zapisano próbkę.</x:v>
      </x:c>
    </x:row>
    <x:row r="234" ht="30" customHeight="1">
      <x:c r="A234" s="59" t="str">
        <x:v>ENERGA_LANDING</x:v>
      </x:c>
      <x:c r="B234" s="59" t="str">
        <x:v>authentication</x:v>
      </x:c>
      <x:c r="C234" s="59" t="str">
        <x:v>Odczyt publicznej strony bez konta; nie dowodzi dostępu do wszystkich danych.</x:v>
      </x:c>
    </x:row>
    <x:row r="235" ht="30" customHeight="1">
      <x:c r="A235" s="59" t="str">
        <x:v>ENERGA_LANDING</x:v>
      </x:c>
      <x:c r="B235" s="59" t="str">
        <x:v>license</x:v>
      </x:c>
      <x:c r="C235" s="59" t="str">
        <x:v>UNKNOWN — nie potwierdzono otwartej licencji wybranego zbioru.</x:v>
      </x:c>
    </x:row>
    <x:row r="236" ht="30" customHeight="1">
      <x:c r="A236" s="59" t="str">
        <x:v>ENERGA_LANDING</x:v>
      </x:c>
      <x:c r="B236" s="59" t="str">
        <x:v>license_url</x:v>
      </x:c>
      <x:c r="C236" s="59" t="str">
        <x:v>UNKNOWN — nie ustalono</x:v>
      </x:c>
    </x:row>
    <x:row r="237" ht="30" customHeight="1">
      <x:c r="A237" s="59" t="str">
        <x:v>ENERGA_LANDING</x:v>
      </x:c>
      <x:c r="B237" s="59" t="str">
        <x:v>commercial_use</x:v>
      </x:c>
      <x:c r="C237" s="59" t="str">
        <x:v>UNKNOWN</x:v>
      </x:c>
    </x:row>
    <x:row r="238" ht="30" customHeight="1">
      <x:c r="A238" s="59" t="str">
        <x:v>ENERGA_LANDING</x:v>
      </x:c>
      <x:c r="B238" s="59" t="str">
        <x:v>machine_readable</x:v>
      </x:c>
      <x:c r="C238" s="59" t="str">
        <x:v>UNKNOWN</x:v>
      </x:c>
    </x:row>
    <x:row r="239" ht="30" customHeight="1">
      <x:c r="A239" s="59" t="str">
        <x:v>ENERGA_LANDING</x:v>
      </x:c>
      <x:c r="B239" s="59" t="str">
        <x:v>scraping_required</x:v>
      </x:c>
      <x:c r="C239" s="59" t="str">
        <x:v>HTML_LINK_DISCOVERY_ONLY</x:v>
      </x:c>
    </x:row>
    <x:row r="240" ht="30" customHeight="1">
      <x:c r="A240" s="59" t="str">
        <x:v>ENERGA_LANDING</x:v>
      </x:c>
      <x:c r="B240" s="59" t="str">
        <x:v>data_quality_score</x:v>
      </x:c>
      <x:c r="C240" s="59" t="str">
        <x:v>UNKNOWN — nie ustalono</x:v>
      </x:c>
    </x:row>
    <x:row r="241" ht="30" customHeight="1">
      <x:c r="A241" s="59" t="str">
        <x:v>ENERGA_LANDING</x:v>
      </x:c>
      <x:c r="B241" s="59" t="str">
        <x:v>quality_score_status</x:v>
      </x:c>
      <x:c r="C241" s="59" t="str">
        <x:v>NOT_CALIBRATED — autorytet źródła nie jest procentem kompletności lub trafności.</x:v>
      </x:c>
    </x:row>
    <x:row r="242" ht="30" customHeight="1">
      <x:c r="A242" s="59" t="str">
        <x:v>ENERGA_LANDING</x:v>
      </x:c>
      <x:c r="B242" s="59" t="str">
        <x:v>last_verified</x:v>
      </x:c>
      <x:c r="C242" s="60" t="n">
        <x:v>46275</x:v>
      </x:c>
    </x:row>
    <x:row r="243" ht="30" customHeight="1">
      <x:c r="A243" s="59" t="str">
        <x:v>ENERGA_LANDING</x:v>
      </x:c>
      <x:c r="B243" s="59" t="str">
        <x:v>last_successful_verification</x:v>
      </x:c>
      <x:c r="C243" s="60" t="n">
        <x:v>46275</x:v>
      </x:c>
    </x:row>
    <x:row r="244" ht="30" customHeight="1">
      <x:c r="A244" s="59" t="str">
        <x:v>ENERGA_LANDING</x:v>
      </x:c>
      <x:c r="B244" s="59" t="str">
        <x:v>source_date</x:v>
      </x:c>
      <x:c r="C244" s="59" t="str">
        <x:v>UNKNOWN — nie ustalono</x:v>
      </x:c>
    </x:row>
    <x:row r="245" ht="30" customHeight="1">
      <x:c r="A245" s="59" t="str">
        <x:v>ENERGA_LANDING</x:v>
      </x:c>
      <x:c r="B245" s="59" t="str">
        <x:v>publication_date</x:v>
      </x:c>
      <x:c r="C245" s="59" t="str">
        <x:v>UNKNOWN — nie ustalono</x:v>
      </x:c>
    </x:row>
    <x:row r="246" ht="30" customHeight="1">
      <x:c r="A246" s="59" t="str">
        <x:v>ENERGA_LANDING</x:v>
      </x:c>
      <x:c r="B246" s="59" t="str">
        <x:v>source_version</x:v>
      </x:c>
      <x:c r="C246" s="59" t="str">
        <x:v>UNKNOWN — nie ustalono</x:v>
      </x:c>
    </x:row>
    <x:row r="247" ht="30" customHeight="1">
      <x:c r="A247" s="59" t="str">
        <x:v>ENERGA_LANDING</x:v>
      </x:c>
      <x:c r="B247" s="59" t="str">
        <x:v>source_page</x:v>
      </x:c>
      <x:c r="C247" s="59" t="str">
        <x:v>UNKNOWN — nie ustalono</x:v>
      </x:c>
    </x:row>
    <x:row r="248" ht="30" customHeight="1">
      <x:c r="A248" s="59" t="str">
        <x:v>ENERGA_LANDING</x:v>
      </x:c>
      <x:c r="B248" s="59" t="str">
        <x:v>valid_from</x:v>
      </x:c>
      <x:c r="C248" s="59" t="str">
        <x:v>UNKNOWN — nie ustalono</x:v>
      </x:c>
    </x:row>
    <x:row r="249" ht="30" customHeight="1">
      <x:c r="A249" s="59" t="str">
        <x:v>ENERGA_LANDING</x:v>
      </x:c>
      <x:c r="B249" s="59" t="str">
        <x:v>valid_to</x:v>
      </x:c>
      <x:c r="C249" s="59" t="str">
        <x:v>UNKNOWN — nie ustalono</x:v>
      </x:c>
    </x:row>
    <x:row r="250" ht="30" customHeight="1">
      <x:c r="A250" s="59" t="str">
        <x:v>ENERGA_LANDING</x:v>
      </x:c>
      <x:c r="B250" s="59" t="str">
        <x:v>current_future_scope</x:v>
      </x:c>
      <x:c r="C250" s="59" t="str">
        <x:v>SOURCE_DEPENDENT</x:v>
      </x:c>
    </x:row>
    <x:row r="251" ht="30" customHeight="1">
      <x:c r="A251" s="59" t="str">
        <x:v>ENERGA_LANDING</x:v>
      </x:c>
      <x:c r="B251" s="59" t="str">
        <x:v>value_classification_default</x:v>
      </x:c>
      <x:c r="C251" s="59" t="str">
        <x:v>REPORTED</x:v>
      </x:c>
    </x:row>
    <x:row r="252" ht="38" customHeight="1">
      <x:c r="A252" s="59" t="str">
        <x:v>ENERGA_LANDING</x:v>
      </x:c>
      <x:c r="B252" s="59" t="str">
        <x:v>automation_notes</x:v>
      </x:c>
      <x:c r="C252" s="59" t="str">
        <x:v>Jednorazowy przegląd; brak zgody na stały scraper wynikającej z samego dostępu. Sprawdzić warunki, robots.txt i limity przed wdrożeniem.</x:v>
      </x:c>
    </x:row>
    <x:row r="253" ht="30" customHeight="1">
      <x:c r="A253" s="59" t="str">
        <x:v>ENERGA_LANDING</x:v>
      </x:c>
      <x:c r="B253" s="59" t="str">
        <x:v>probe_ids</x:v>
      </x:c>
      <x:c r="C253" s="59" t="str">
        <x:v>[ "ENERGA_LANDING" ]</x:v>
      </x:c>
    </x:row>
    <x:row r="254" ht="30" customHeight="1">
      <x:c r="A254" s="59" t="str">
        <x:v>ENERGA_LANDING</x:v>
      </x:c>
      <x:c r="B254" s="59" t="str">
        <x:v>related_urls</x:v>
      </x:c>
      <x:c r="C254" s="59" t="str">
        <x:v>[]</x:v>
      </x:c>
    </x:row>
    <x:row r="255" ht="30" customHeight="1">
      <x:c r="A255" s="59" t="str">
        <x:v>ENERGA_LANDING</x:v>
      </x:c>
      <x:c r="B255" s="59" t="str">
        <x:v>source_id</x:v>
      </x:c>
      <x:c r="C255" s="59" t="str">
        <x:v>ENERGA_LANDING</x:v>
      </x:c>
    </x:row>
    <x:row r="256" ht="30" customHeight="1">
      <x:c r="A256" s="59" t="str">
        <x:v>ENERGA_LANDING</x:v>
      </x:c>
      <x:c r="B256" s="59" t="str">
        <x:v>operator</x:v>
      </x:c>
      <x:c r="C256" s="59" t="str">
        <x:v>Energa-Operator</x:v>
      </x:c>
    </x:row>
    <x:row r="257" ht="30" customHeight="1">
      <x:c r="A257" s="59" t="str">
        <x:v>ENERGA_LANDING</x:v>
      </x:c>
      <x:c r="B257" s="59" t="str">
        <x:v>source_name</x:v>
      </x:c>
      <x:c r="C257" s="59" t="str">
        <x:v>Informacje o stanie przyłączeń</x:v>
      </x:c>
    </x:row>
    <x:row r="258" ht="30" customHeight="1">
      <x:c r="A258" s="59" t="str">
        <x:v>ENERGA_LANDING</x:v>
      </x:c>
      <x:c r="B258" s="59" t="str">
        <x:v>url</x:v>
      </x:c>
      <x:c r="C258" s="59" t="str">
        <x:v>https://energa-operator.pl/przylaczenie-do-sieci/informacje-o-stanie-przylaczen</x:v>
      </x:c>
    </x:row>
    <x:row r="259" ht="30" customHeight="1">
      <x:c r="A259" s="59" t="str">
        <x:v>ENERGA_LANDING</x:v>
      </x:c>
      <x:c r="B259" s="59" t="str">
        <x:v>data_owner</x:v>
      </x:c>
      <x:c r="C259" s="59" t="str">
        <x:v>Energa-Operator S.A.</x:v>
      </x:c>
    </x:row>
    <x:row r="260" ht="30" customHeight="1">
      <x:c r="A260" s="59" t="str">
        <x:v>ENERGA_LANDING</x:v>
      </x:c>
      <x:c r="B260" s="59" t="str">
        <x:v>data_category</x:v>
      </x:c>
      <x:c r="C260" s="59" t="str">
        <x:v>source_index</x:v>
      </x:c>
    </x:row>
    <x:row r="261" ht="30" customHeight="1">
      <x:c r="A261" s="59" t="str">
        <x:v>ENERGA_LANDING</x:v>
      </x:c>
      <x:c r="B261" s="59" t="str">
        <x:v>data_format</x:v>
      </x:c>
      <x:c r="C261" s="59" t="str">
        <x:v>[ "HTML", "PDF" ]</x:v>
      </x:c>
    </x:row>
    <x:row r="262" ht="30" customHeight="1">
      <x:c r="A262" s="59" t="str">
        <x:v>ENERGA_LANDING</x:v>
      </x:c>
      <x:c r="B262" s="59" t="str">
        <x:v>verification_status</x:v>
      </x:c>
      <x:c r="C262" s="59" t="str">
        <x:v>CONTENT_REVIEWED</x:v>
      </x:c>
    </x:row>
    <x:row r="263" ht="30" customHeight="1">
      <x:c r="A263" s="59" t="str">
        <x:v>ENERGA_LANDING</x:v>
      </x:c>
      <x:c r="B263" s="59" t="str">
        <x:v>reliability</x:v>
      </x:c>
      <x:c r="C263" s="59" t="str">
        <x:v>B</x:v>
      </x:c>
    </x:row>
    <x:row r="264" ht="30" customHeight="1">
      <x:c r="A264" s="59" t="str">
        <x:v>ENERGA_LANDING</x:v>
      </x:c>
      <x:c r="B264" s="59" t="str">
        <x:v>key_fields</x:v>
      </x:c>
      <x:c r="C264" s="59" t="str">
        <x:v>[ "link", "tytuł", "data" ]</x:v>
      </x:c>
    </x:row>
    <x:row r="265" ht="30" customHeight="1">
      <x:c r="A265" s="59" t="str">
        <x:v>ENERGA_LANDING</x:v>
      </x:c>
      <x:c r="B265" s="59" t="str">
        <x:v>potential_application</x:v>
      </x:c>
      <x:c r="C265" s="59" t="str">
        <x:v>Odkrywanie nowych wersji publikacji.</x:v>
      </x:c>
    </x:row>
    <x:row r="266" ht="30" customHeight="1">
      <x:c r="A266" s="59" t="str">
        <x:v>ENERGA_LANDING</x:v>
      </x:c>
      <x:c r="B266" s="59" t="str">
        <x:v>known_limitations</x:v>
      </x:c>
      <x:c r="C266" s="59" t="str">
        <x:v>[ "Nie potwierdzono publicznego API ani operacyjnego GIS." ]</x:v>
      </x:c>
    </x:row>
    <x:row r="267" ht="30" customHeight="1">
      <x:c r="A267" s="59" t="str">
        <x:v>ENERGA_LANDING</x:v>
      </x:c>
      <x:c r="B267" s="59" t="str">
        <x:v>priority</x:v>
      </x:c>
      <x:c r="C267" s="59" t="str">
        <x:v>P1</x:v>
      </x:c>
    </x:row>
    <x:row r="268" ht="80" customHeight="1">
      <x:c r="A268" s="59" t="str">
        <x:v>ENERGA_LANDING</x:v>
      </x:c>
      <x:c r="B268" s="59" t="str">
        <x:v>evidence</x:v>
      </x:c>
      <x:c r="C268" s="59" t="str">
        <x:v>[ { "source_id": "ENERGA_LANDING", "url": "https://energa-operator.pl/przylaczenie-do-sieci/informacje-o-stanie-przylaczen", "retrieval_date": "2026-09-10T11:18:12.9671305Z", "http_status": 200, "content_type": "text/html; charset=UTF-8", "bytes": 28320, "sha256": "04474a16446a504cacb6af22e2e4df2e78bd3d7ad03dbb4b47c6196ee3df0bc1", "local_path": "data/raw/research/2026-09-10/energa_landing.html", "error": null, "manifest": "data/catalog/probe_results_20260910T111813793Z.json" } ]</x:v>
      </x:c>
    </x:row>
    <x:row r="269" ht="30" customHeight="1">
      <x:c r="A269" s="59" t="str">
        <x:v>ENERGA_LANDING</x:v>
      </x:c>
      <x:c r="B269" s="59" t="str">
        <x:v>retrieval_date</x:v>
      </x:c>
      <x:c r="C269" s="59" t="str">
        <x:v>[ "2026-09-10T11:18:12.9671305Z" ]</x:v>
      </x:c>
    </x:row>
    <x:row r="270" ht="30" customHeight="1">
      <x:c r="A270" s="59" t="str">
        <x:v>ENERGA_EXPORT</x:v>
      </x:c>
      <x:c r="B270" s="59" t="str">
        <x:v>country</x:v>
      </x:c>
      <x:c r="C270" s="59" t="str">
        <x:v>PL</x:v>
      </x:c>
    </x:row>
    <x:row r="271" ht="30" customHeight="1">
      <x:c r="A271" s="59" t="str">
        <x:v>ENERGA_EXPORT</x:v>
      </x:c>
      <x:c r="B271" s="59" t="str">
        <x:v>geographical_scope</x:v>
      </x:c>
      <x:c r="C271" s="59" t="str">
        <x:v>Zakres publikacji danego operatora/instytucji; nie założono pełnego pokrycia kraju.</x:v>
      </x:c>
    </x:row>
    <x:row r="272" ht="30" customHeight="1">
      <x:c r="A272" s="59" t="str">
        <x:v>ENERGA_EXPORT</x:v>
      </x:c>
      <x:c r="B272" s="59" t="str">
        <x:v>grid_voltage</x:v>
      </x:c>
      <x:c r="C272" s="59" t="str">
        <x:v>[ "SN", "110 kV" ]</x:v>
      </x:c>
    </x:row>
    <x:row r="273" ht="30" customHeight="1">
      <x:c r="A273" s="59" t="str">
        <x:v>ENERGA_EXPORT</x:v>
      </x:c>
      <x:c r="B273" s="59" t="str">
        <x:v>api_available</x:v>
      </x:c>
      <x:c r="C273" s="59" t="str">
        <x:v>UNKNOWN</x:v>
      </x:c>
    </x:row>
    <x:row r="274" ht="30" customHeight="1">
      <x:c r="A274" s="59" t="str">
        <x:v>ENERGA_EXPORT</x:v>
      </x:c>
      <x:c r="B274" s="59" t="str">
        <x:v>gis_available</x:v>
      </x:c>
      <x:c r="C274" s="59" t="str">
        <x:v>UNKNOWN</x:v>
      </x:c>
    </x:row>
    <x:row r="275" ht="30" customHeight="1">
      <x:c r="A275" s="59" t="str">
        <x:v>ENERGA_EXPORT</x:v>
      </x:c>
      <x:c r="B275" s="59" t="str">
        <x:v>update_frequency</x:v>
      </x:c>
      <x:c r="C275" s="59" t="str">
        <x:v>UNKNOWN — nie ustalono gwarantowanego cyklu publikacji.</x:v>
      </x:c>
    </x:row>
    <x:row r="276" ht="30" customHeight="1">
      <x:c r="A276" s="59" t="str">
        <x:v>ENERGA_EXPORT</x:v>
      </x:c>
      <x:c r="B276" s="59" t="str">
        <x:v>historical_data</x:v>
      </x:c>
      <x:c r="C276" s="59" t="str">
        <x:v>UNKNOWN — własne snapshoty od 10.09.2026, jeśli zapisano próbkę.</x:v>
      </x:c>
    </x:row>
    <x:row r="277" ht="30" customHeight="1">
      <x:c r="A277" s="59" t="str">
        <x:v>ENERGA_EXPORT</x:v>
      </x:c>
      <x:c r="B277" s="59" t="str">
        <x:v>authentication</x:v>
      </x:c>
      <x:c r="C277" s="59" t="str">
        <x:v>Odczyt publicznej strony bez konta; nie dowodzi dostępu do wszystkich danych.</x:v>
      </x:c>
    </x:row>
    <x:row r="278" ht="30" customHeight="1">
      <x:c r="A278" s="59" t="str">
        <x:v>ENERGA_EXPORT</x:v>
      </x:c>
      <x:c r="B278" s="59" t="str">
        <x:v>license</x:v>
      </x:c>
      <x:c r="C278" s="59" t="str">
        <x:v>UNKNOWN — nie potwierdzono otwartej licencji wybranego zbioru.</x:v>
      </x:c>
    </x:row>
    <x:row r="279" ht="30" customHeight="1">
      <x:c r="A279" s="59" t="str">
        <x:v>ENERGA_EXPORT</x:v>
      </x:c>
      <x:c r="B279" s="59" t="str">
        <x:v>license_url</x:v>
      </x:c>
      <x:c r="C279" s="59" t="str">
        <x:v>UNKNOWN — nie ustalono</x:v>
      </x:c>
    </x:row>
    <x:row r="280" ht="30" customHeight="1">
      <x:c r="A280" s="59" t="str">
        <x:v>ENERGA_EXPORT</x:v>
      </x:c>
      <x:c r="B280" s="59" t="str">
        <x:v>commercial_use</x:v>
      </x:c>
      <x:c r="C280" s="59" t="str">
        <x:v>UNKNOWN</x:v>
      </x:c>
    </x:row>
    <x:row r="281" ht="30" customHeight="1">
      <x:c r="A281" s="59" t="str">
        <x:v>ENERGA_EXPORT</x:v>
      </x:c>
      <x:c r="B281" s="59" t="str">
        <x:v>machine_readable</x:v>
      </x:c>
      <x:c r="C281" s="59" t="str">
        <x:v>PARTIAL</x:v>
      </x:c>
    </x:row>
    <x:row r="282" ht="30" customHeight="1">
      <x:c r="A282" s="59" t="str">
        <x:v>ENERGA_EXPORT</x:v>
      </x:c>
      <x:c r="B282" s="59" t="str">
        <x:v>scraping_required</x:v>
      </x:c>
      <x:c r="C282" s="59" t="str">
        <x:v>UNKNOWN — przed scraperem preferować oficjalny plik lub API.</x:v>
      </x:c>
    </x:row>
    <x:row r="283" ht="30" customHeight="1">
      <x:c r="A283" s="59" t="str">
        <x:v>ENERGA_EXPORT</x:v>
      </x:c>
      <x:c r="B283" s="59" t="str">
        <x:v>data_quality_score</x:v>
      </x:c>
      <x:c r="C283" s="59" t="str">
        <x:v>UNKNOWN — nie ustalono</x:v>
      </x:c>
    </x:row>
    <x:row r="284" ht="30" customHeight="1">
      <x:c r="A284" s="59" t="str">
        <x:v>ENERGA_EXPORT</x:v>
      </x:c>
      <x:c r="B284" s="59" t="str">
        <x:v>quality_score_status</x:v>
      </x:c>
      <x:c r="C284" s="59" t="str">
        <x:v>NOT_CALIBRATED — autorytet źródła nie jest procentem kompletności lub trafności.</x:v>
      </x:c>
    </x:row>
    <x:row r="285" ht="30" customHeight="1">
      <x:c r="A285" s="59" t="str">
        <x:v>ENERGA_EXPORT</x:v>
      </x:c>
      <x:c r="B285" s="59" t="str">
        <x:v>last_verified</x:v>
      </x:c>
      <x:c r="C285" s="60" t="n">
        <x:v>46275</x:v>
      </x:c>
    </x:row>
    <x:row r="286" ht="30" customHeight="1">
      <x:c r="A286" s="59" t="str">
        <x:v>ENERGA_EXPORT</x:v>
      </x:c>
      <x:c r="B286" s="59" t="str">
        <x:v>last_successful_verification</x:v>
      </x:c>
      <x:c r="C286" s="60" t="n">
        <x:v>46275</x:v>
      </x:c>
    </x:row>
    <x:row r="287" ht="30" customHeight="1">
      <x:c r="A287" s="59" t="str">
        <x:v>ENERGA_EXPORT</x:v>
      </x:c>
      <x:c r="B287" s="59" t="str">
        <x:v>source_date</x:v>
      </x:c>
      <x:c r="C287" s="60" t="n">
        <x:v>46265</x:v>
      </x:c>
    </x:row>
    <x:row r="288" ht="30" customHeight="1">
      <x:c r="A288" s="59" t="str">
        <x:v>ENERGA_EXPORT</x:v>
      </x:c>
      <x:c r="B288" s="59" t="str">
        <x:v>publication_date</x:v>
      </x:c>
      <x:c r="C288" s="59" t="str">
        <x:v>UNKNOWN — nie ustalono</x:v>
      </x:c>
    </x:row>
    <x:row r="289" ht="30" customHeight="1">
      <x:c r="A289" s="59" t="str">
        <x:v>ENERGA_EXPORT</x:v>
      </x:c>
      <x:c r="B289" s="59" t="str">
        <x:v>source_version</x:v>
      </x:c>
      <x:c r="C289" s="59" t="str">
        <x:v>UNKNOWN — nie ustalono</x:v>
      </x:c>
    </x:row>
    <x:row r="290" ht="30" customHeight="1">
      <x:c r="A290" s="59" t="str">
        <x:v>ENERGA_EXPORT</x:v>
      </x:c>
      <x:c r="B290" s="59" t="str">
        <x:v>source_page</x:v>
      </x:c>
      <x:c r="C290" s="59" t="str">
        <x:v>UNKNOWN — nie ustalono</x:v>
      </x:c>
    </x:row>
    <x:row r="291" ht="30" customHeight="1">
      <x:c r="A291" s="59" t="str">
        <x:v>ENERGA_EXPORT</x:v>
      </x:c>
      <x:c r="B291" s="59" t="str">
        <x:v>valid_from</x:v>
      </x:c>
      <x:c r="C291" s="59" t="str">
        <x:v>UNKNOWN — nie ustalono</x:v>
      </x:c>
    </x:row>
    <x:row r="292" ht="30" customHeight="1">
      <x:c r="A292" s="59" t="str">
        <x:v>ENERGA_EXPORT</x:v>
      </x:c>
      <x:c r="B292" s="59" t="str">
        <x:v>valid_to</x:v>
      </x:c>
      <x:c r="C292" s="59" t="str">
        <x:v>UNKNOWN — nie ustalono</x:v>
      </x:c>
    </x:row>
    <x:row r="293" ht="30" customHeight="1">
      <x:c r="A293" s="59" t="str">
        <x:v>ENERGA_EXPORT</x:v>
      </x:c>
      <x:c r="B293" s="59" t="str">
        <x:v>current_future_scope</x:v>
      </x:c>
      <x:c r="C293" s="59" t="str">
        <x:v>SOURCE_DEPENDENT</x:v>
      </x:c>
    </x:row>
    <x:row r="294" ht="30" customHeight="1">
      <x:c r="A294" s="59" t="str">
        <x:v>ENERGA_EXPORT</x:v>
      </x:c>
      <x:c r="B294" s="59" t="str">
        <x:v>value_classification_default</x:v>
      </x:c>
      <x:c r="C294" s="59" t="str">
        <x:v>REPORTED</x:v>
      </x:c>
    </x:row>
    <x:row r="295" ht="38" customHeight="1">
      <x:c r="A295" s="59" t="str">
        <x:v>ENERGA_EXPORT</x:v>
      </x:c>
      <x:c r="B295" s="59" t="str">
        <x:v>automation_notes</x:v>
      </x:c>
      <x:c r="C295" s="59" t="str">
        <x:v>Jednorazowy przegląd; brak zgody na stały scraper wynikającej z samego dostępu. Sprawdzić warunki, robots.txt i limity przed wdrożeniem.</x:v>
      </x:c>
    </x:row>
    <x:row r="296" ht="30" customHeight="1">
      <x:c r="A296" s="59" t="str">
        <x:v>ENERGA_EXPORT</x:v>
      </x:c>
      <x:c r="B296" s="59" t="str">
        <x:v>probe_ids</x:v>
      </x:c>
      <x:c r="C296" s="59" t="str">
        <x:v>[ "ENERGA_EXPORT" ]</x:v>
      </x:c>
    </x:row>
    <x:row r="297" ht="30" customHeight="1">
      <x:c r="A297" s="59" t="str">
        <x:v>ENERGA_EXPORT</x:v>
      </x:c>
      <x:c r="B297" s="59" t="str">
        <x:v>related_urls</x:v>
      </x:c>
      <x:c r="C297" s="59" t="str">
        <x:v>[]</x:v>
      </x:c>
    </x:row>
    <x:row r="298" ht="30" customHeight="1">
      <x:c r="A298" s="59" t="str">
        <x:v>ENERGA_EXPORT</x:v>
      </x:c>
      <x:c r="B298" s="59" t="str">
        <x:v>source_id</x:v>
      </x:c>
      <x:c r="C298" s="59" t="str">
        <x:v>ENERGA_EXPORT</x:v>
      </x:c>
    </x:row>
    <x:row r="299" ht="30" customHeight="1">
      <x:c r="A299" s="59" t="str">
        <x:v>ENERGA_EXPORT</x:v>
      </x:c>
      <x:c r="B299" s="59" t="str">
        <x:v>operator</x:v>
      </x:c>
      <x:c r="C299" s="59" t="str">
        <x:v>Energa-Operator</x:v>
      </x:c>
    </x:row>
    <x:row r="300" ht="30" customHeight="1">
      <x:c r="A300" s="59" t="str">
        <x:v>ENERGA_EXPORT</x:v>
      </x:c>
      <x:c r="B300" s="59" t="str">
        <x:v>source_name</x:v>
      </x:c>
      <x:c r="C300" s="59" t="str">
        <x:v>Dostępna moc wytwórcza — 31.08.2026</x:v>
      </x:c>
    </x:row>
    <x:row r="301" ht="38" customHeight="1">
      <x:c r="A301" s="59" t="str">
        <x:v>ENERGA_EXPORT</x:v>
      </x:c>
      <x:c r="B301" s="59" t="str">
        <x:v>url</x:v>
      </x:c>
      <x:c r="C301" s="59" t="str">
        <x:v>https://cdn-netpr.pl/file/mediakit/3063621/4a/informacja_o_wartosci_lacznej_dostepnej_wytworczej_mocy_przylaczeniowej_31_08_2026.pdf</x:v>
      </x:c>
    </x:row>
    <x:row r="302" ht="30" customHeight="1">
      <x:c r="A302" s="59" t="str">
        <x:v>ENERGA_EXPORT</x:v>
      </x:c>
      <x:c r="B302" s="59" t="str">
        <x:v>data_owner</x:v>
      </x:c>
      <x:c r="C302" s="59" t="str">
        <x:v>Energa-Operator S.A.</x:v>
      </x:c>
    </x:row>
    <x:row r="303" ht="30" customHeight="1">
      <x:c r="A303" s="59" t="str">
        <x:v>ENERGA_EXPORT</x:v>
      </x:c>
      <x:c r="B303" s="59" t="str">
        <x:v>data_category</x:v>
      </x:c>
      <x:c r="C303" s="59" t="str">
        <x:v>reported_export_capacity</x:v>
      </x:c>
    </x:row>
    <x:row r="304" ht="30" customHeight="1">
      <x:c r="A304" s="59" t="str">
        <x:v>ENERGA_EXPORT</x:v>
      </x:c>
      <x:c r="B304" s="59" t="str">
        <x:v>data_format</x:v>
      </x:c>
      <x:c r="C304" s="59" t="str">
        <x:v>[ "PDF" ]</x:v>
      </x:c>
    </x:row>
    <x:row r="305" ht="30" customHeight="1">
      <x:c r="A305" s="59" t="str">
        <x:v>ENERGA_EXPORT</x:v>
      </x:c>
      <x:c r="B305" s="59" t="str">
        <x:v>verification_status</x:v>
      </x:c>
      <x:c r="C305" s="59" t="str">
        <x:v>SAMPLE_VERIFIED</x:v>
      </x:c>
    </x:row>
    <x:row r="306" ht="30" customHeight="1">
      <x:c r="A306" s="59" t="str">
        <x:v>ENERGA_EXPORT</x:v>
      </x:c>
      <x:c r="B306" s="59" t="str">
        <x:v>reliability</x:v>
      </x:c>
      <x:c r="C306" s="59" t="str">
        <x:v>B</x:v>
      </x:c>
    </x:row>
    <x:row r="307" ht="30" customHeight="1">
      <x:c r="A307" s="59" t="str">
        <x:v>ENERGA_EXPORT</x:v>
      </x:c>
      <x:c r="B307" s="59" t="str">
        <x:v>key_fields</x:v>
      </x:c>
      <x:c r="C307" s="59" t="str">
        <x:v>[ "jednostka raportowania", "moc MW", "okres", "warunki" ]</x:v>
      </x:c>
    </x:row>
    <x:row r="308" ht="30" customHeight="1">
      <x:c r="A308" s="59" t="str">
        <x:v>ENERGA_EXPORT</x:v>
      </x:c>
      <x:c r="B308" s="59" t="str">
        <x:v>potential_application</x:v>
      </x:c>
      <x:c r="C308" s="59" t="str">
        <x:v>Screening eksportu, z zachowaniem poziomu agregacji.</x:v>
      </x:c>
    </x:row>
    <x:row r="309" ht="30" customHeight="1">
      <x:c r="A309" s="59" t="str">
        <x:v>ENERGA_EXPORT</x:v>
      </x:c>
      <x:c r="B309" s="59" t="str">
        <x:v>known_limitations</x:v>
      </x:c>
      <x:c r="C309" s="59" t="str">
        <x:v>[ "Nie jest telemetrią lokalnych elementów; konieczna interpretacja tabel i założeń." ]</x:v>
      </x:c>
    </x:row>
    <x:row r="310" ht="30" customHeight="1">
      <x:c r="A310" s="59" t="str">
        <x:v>ENERGA_EXPORT</x:v>
      </x:c>
      <x:c r="B310" s="59" t="str">
        <x:v>priority</x:v>
      </x:c>
      <x:c r="C310" s="59" t="str">
        <x:v>P1</x:v>
      </x:c>
    </x:row>
    <x:row r="311" ht="80" customHeight="1">
      <x:c r="A311" s="59" t="str">
        <x:v>ENERGA_EXPORT</x:v>
      </x:c>
      <x:c r="B311" s="59" t="str">
        <x:v>evidence</x:v>
      </x:c>
      <x:c r="C311" s="59" t="str">
        <x:v>[ { "source_id": "ENERGA_EXPORT", "url": "https://cdn-netpr.pl/file/mediakit/3063621/4a/informacja_o_wartosci_lacznej_dostepnej_wytworczej_mocy_przylaczeniowej_31_08_2026.pdf", "retrieval_date": "2026-09-10T11:18:12.2132448Z", "http_status": 200, "content_type": "application/pdf", "bytes": 2436908, "sha256": "801ee2fc0a788dbac6b0453794a4dc5c2d13f0c6934a8bc47b6ddb0c3e051622", "local_path": "data/raw/research/2026-09-10/energa_export_2026-08-31.pdf", "error": null, "manifest": "data/catalog/probe_results_20260910T111813793Z.json" } ]</x:v>
      </x:c>
    </x:row>
    <x:row r="312" ht="30" customHeight="1">
      <x:c r="A312" s="59" t="str">
        <x:v>ENERGA_EXPORT</x:v>
      </x:c>
      <x:c r="B312" s="59" t="str">
        <x:v>retrieval_date</x:v>
      </x:c>
      <x:c r="C312" s="59" t="str">
        <x:v>[ "2026-09-10T11:18:12.2132448Z" ]</x:v>
      </x:c>
    </x:row>
    <x:row r="313" ht="30" customHeight="1">
      <x:c r="A313" s="59" t="str">
        <x:v>ENERGA_IMPORT</x:v>
      </x:c>
      <x:c r="B313" s="59" t="str">
        <x:v>country</x:v>
      </x:c>
      <x:c r="C313" s="59" t="str">
        <x:v>PL</x:v>
      </x:c>
    </x:row>
    <x:row r="314" ht="30" customHeight="1">
      <x:c r="A314" s="59" t="str">
        <x:v>ENERGA_IMPORT</x:v>
      </x:c>
      <x:c r="B314" s="59" t="str">
        <x:v>geographical_scope</x:v>
      </x:c>
      <x:c r="C314" s="59" t="str">
        <x:v>Zakres publikacji danego operatora/instytucji; nie założono pełnego pokrycia kraju.</x:v>
      </x:c>
    </x:row>
    <x:row r="315" ht="30" customHeight="1">
      <x:c r="A315" s="59" t="str">
        <x:v>ENERGA_IMPORT</x:v>
      </x:c>
      <x:c r="B315" s="59" t="str">
        <x:v>grid_voltage</x:v>
      </x:c>
      <x:c r="C315" s="59" t="str">
        <x:v>[ "SN", "110 kV" ]</x:v>
      </x:c>
    </x:row>
    <x:row r="316" ht="30" customHeight="1">
      <x:c r="A316" s="59" t="str">
        <x:v>ENERGA_IMPORT</x:v>
      </x:c>
      <x:c r="B316" s="59" t="str">
        <x:v>api_available</x:v>
      </x:c>
      <x:c r="C316" s="59" t="str">
        <x:v>UNKNOWN</x:v>
      </x:c>
    </x:row>
    <x:row r="317" ht="30" customHeight="1">
      <x:c r="A317" s="59" t="str">
        <x:v>ENERGA_IMPORT</x:v>
      </x:c>
      <x:c r="B317" s="59" t="str">
        <x:v>gis_available</x:v>
      </x:c>
      <x:c r="C317" s="59" t="str">
        <x:v>UNKNOWN</x:v>
      </x:c>
    </x:row>
    <x:row r="318" ht="30" customHeight="1">
      <x:c r="A318" s="59" t="str">
        <x:v>ENERGA_IMPORT</x:v>
      </x:c>
      <x:c r="B318" s="59" t="str">
        <x:v>update_frequency</x:v>
      </x:c>
      <x:c r="C318" s="59" t="str">
        <x:v>UNKNOWN — nie ustalono gwarantowanego cyklu publikacji.</x:v>
      </x:c>
    </x:row>
    <x:row r="319" ht="30" customHeight="1">
      <x:c r="A319" s="59" t="str">
        <x:v>ENERGA_IMPORT</x:v>
      </x:c>
      <x:c r="B319" s="59" t="str">
        <x:v>historical_data</x:v>
      </x:c>
      <x:c r="C319" s="59" t="str">
        <x:v>UNKNOWN — własne snapshoty od 10.09.2026, jeśli zapisano próbkę.</x:v>
      </x:c>
    </x:row>
    <x:row r="320" ht="30" customHeight="1">
      <x:c r="A320" s="59" t="str">
        <x:v>ENERGA_IMPORT</x:v>
      </x:c>
      <x:c r="B320" s="59" t="str">
        <x:v>authentication</x:v>
      </x:c>
      <x:c r="C320" s="59" t="str">
        <x:v>Odczyt publicznej strony bez konta; nie dowodzi dostępu do wszystkich danych.</x:v>
      </x:c>
    </x:row>
    <x:row r="321" ht="30" customHeight="1">
      <x:c r="A321" s="59" t="str">
        <x:v>ENERGA_IMPORT</x:v>
      </x:c>
      <x:c r="B321" s="59" t="str">
        <x:v>license</x:v>
      </x:c>
      <x:c r="C321" s="59" t="str">
        <x:v>UNKNOWN — nie potwierdzono otwartej licencji wybranego zbioru.</x:v>
      </x:c>
    </x:row>
    <x:row r="322" ht="30" customHeight="1">
      <x:c r="A322" s="59" t="str">
        <x:v>ENERGA_IMPORT</x:v>
      </x:c>
      <x:c r="B322" s="59" t="str">
        <x:v>license_url</x:v>
      </x:c>
      <x:c r="C322" s="59" t="str">
        <x:v>UNKNOWN — nie ustalono</x:v>
      </x:c>
    </x:row>
    <x:row r="323" ht="30" customHeight="1">
      <x:c r="A323" s="59" t="str">
        <x:v>ENERGA_IMPORT</x:v>
      </x:c>
      <x:c r="B323" s="59" t="str">
        <x:v>commercial_use</x:v>
      </x:c>
      <x:c r="C323" s="59" t="str">
        <x:v>UNKNOWN</x:v>
      </x:c>
    </x:row>
    <x:row r="324" ht="30" customHeight="1">
      <x:c r="A324" s="59" t="str">
        <x:v>ENERGA_IMPORT</x:v>
      </x:c>
      <x:c r="B324" s="59" t="str">
        <x:v>machine_readable</x:v>
      </x:c>
      <x:c r="C324" s="59" t="str">
        <x:v>PARTIAL</x:v>
      </x:c>
    </x:row>
    <x:row r="325" ht="30" customHeight="1">
      <x:c r="A325" s="59" t="str">
        <x:v>ENERGA_IMPORT</x:v>
      </x:c>
      <x:c r="B325" s="59" t="str">
        <x:v>scraping_required</x:v>
      </x:c>
      <x:c r="C325" s="59" t="str">
        <x:v>UNKNOWN — przed scraperem preferować oficjalny plik lub API.</x:v>
      </x:c>
    </x:row>
    <x:row r="326" ht="30" customHeight="1">
      <x:c r="A326" s="59" t="str">
        <x:v>ENERGA_IMPORT</x:v>
      </x:c>
      <x:c r="B326" s="59" t="str">
        <x:v>data_quality_score</x:v>
      </x:c>
      <x:c r="C326" s="59" t="str">
        <x:v>UNKNOWN — nie ustalono</x:v>
      </x:c>
    </x:row>
    <x:row r="327" ht="30" customHeight="1">
      <x:c r="A327" s="59" t="str">
        <x:v>ENERGA_IMPORT</x:v>
      </x:c>
      <x:c r="B327" s="59" t="str">
        <x:v>quality_score_status</x:v>
      </x:c>
      <x:c r="C327" s="59" t="str">
        <x:v>NOT_CALIBRATED — autorytet źródła nie jest procentem kompletności lub trafności.</x:v>
      </x:c>
    </x:row>
    <x:row r="328" ht="30" customHeight="1">
      <x:c r="A328" s="59" t="str">
        <x:v>ENERGA_IMPORT</x:v>
      </x:c>
      <x:c r="B328" s="59" t="str">
        <x:v>last_verified</x:v>
      </x:c>
      <x:c r="C328" s="60" t="n">
        <x:v>46275</x:v>
      </x:c>
    </x:row>
    <x:row r="329" ht="30" customHeight="1">
      <x:c r="A329" s="59" t="str">
        <x:v>ENERGA_IMPORT</x:v>
      </x:c>
      <x:c r="B329" s="59" t="str">
        <x:v>last_successful_verification</x:v>
      </x:c>
      <x:c r="C329" s="60" t="n">
        <x:v>46275</x:v>
      </x:c>
    </x:row>
    <x:row r="330" ht="30" customHeight="1">
      <x:c r="A330" s="59" t="str">
        <x:v>ENERGA_IMPORT</x:v>
      </x:c>
      <x:c r="B330" s="59" t="str">
        <x:v>source_date</x:v>
      </x:c>
      <x:c r="C330" s="60" t="n">
        <x:v>46265</x:v>
      </x:c>
    </x:row>
    <x:row r="331" ht="30" customHeight="1">
      <x:c r="A331" s="59" t="str">
        <x:v>ENERGA_IMPORT</x:v>
      </x:c>
      <x:c r="B331" s="59" t="str">
        <x:v>publication_date</x:v>
      </x:c>
      <x:c r="C331" s="59" t="str">
        <x:v>UNKNOWN — nie ustalono</x:v>
      </x:c>
    </x:row>
    <x:row r="332" ht="30" customHeight="1">
      <x:c r="A332" s="59" t="str">
        <x:v>ENERGA_IMPORT</x:v>
      </x:c>
      <x:c r="B332" s="59" t="str">
        <x:v>source_version</x:v>
      </x:c>
      <x:c r="C332" s="59" t="str">
        <x:v>UNKNOWN — nie ustalono</x:v>
      </x:c>
    </x:row>
    <x:row r="333" ht="30" customHeight="1">
      <x:c r="A333" s="59" t="str">
        <x:v>ENERGA_IMPORT</x:v>
      </x:c>
      <x:c r="B333" s="59" t="str">
        <x:v>source_page</x:v>
      </x:c>
      <x:c r="C333" s="59" t="str">
        <x:v>UNKNOWN — nie ustalono</x:v>
      </x:c>
    </x:row>
    <x:row r="334" ht="30" customHeight="1">
      <x:c r="A334" s="59" t="str">
        <x:v>ENERGA_IMPORT</x:v>
      </x:c>
      <x:c r="B334" s="59" t="str">
        <x:v>valid_from</x:v>
      </x:c>
      <x:c r="C334" s="59" t="str">
        <x:v>UNKNOWN — nie ustalono</x:v>
      </x:c>
    </x:row>
    <x:row r="335" ht="30" customHeight="1">
      <x:c r="A335" s="59" t="str">
        <x:v>ENERGA_IMPORT</x:v>
      </x:c>
      <x:c r="B335" s="59" t="str">
        <x:v>valid_to</x:v>
      </x:c>
      <x:c r="C335" s="59" t="str">
        <x:v>UNKNOWN — nie ustalono</x:v>
      </x:c>
    </x:row>
    <x:row r="336" ht="30" customHeight="1">
      <x:c r="A336" s="59" t="str">
        <x:v>ENERGA_IMPORT</x:v>
      </x:c>
      <x:c r="B336" s="59" t="str">
        <x:v>current_future_scope</x:v>
      </x:c>
      <x:c r="C336" s="59" t="str">
        <x:v>SOURCE_DEPENDENT</x:v>
      </x:c>
    </x:row>
    <x:row r="337" ht="30" customHeight="1">
      <x:c r="A337" s="59" t="str">
        <x:v>ENERGA_IMPORT</x:v>
      </x:c>
      <x:c r="B337" s="59" t="str">
        <x:v>value_classification_default</x:v>
      </x:c>
      <x:c r="C337" s="59" t="str">
        <x:v>REPORTED</x:v>
      </x:c>
    </x:row>
    <x:row r="338" ht="38" customHeight="1">
      <x:c r="A338" s="59" t="str">
        <x:v>ENERGA_IMPORT</x:v>
      </x:c>
      <x:c r="B338" s="59" t="str">
        <x:v>automation_notes</x:v>
      </x:c>
      <x:c r="C338" s="59" t="str">
        <x:v>Jednorazowy przegląd; brak zgody na stały scraper wynikającej z samego dostępu. Sprawdzić warunki, robots.txt i limity przed wdrożeniem.</x:v>
      </x:c>
    </x:row>
    <x:row r="339" ht="30" customHeight="1">
      <x:c r="A339" s="59" t="str">
        <x:v>ENERGA_IMPORT</x:v>
      </x:c>
      <x:c r="B339" s="59" t="str">
        <x:v>probe_ids</x:v>
      </x:c>
      <x:c r="C339" s="59" t="str">
        <x:v>[ "ENERGA_IMPORT" ]</x:v>
      </x:c>
    </x:row>
    <x:row r="340" ht="30" customHeight="1">
      <x:c r="A340" s="59" t="str">
        <x:v>ENERGA_IMPORT</x:v>
      </x:c>
      <x:c r="B340" s="59" t="str">
        <x:v>related_urls</x:v>
      </x:c>
      <x:c r="C340" s="59" t="str">
        <x:v>[]</x:v>
      </x:c>
    </x:row>
    <x:row r="341" ht="30" customHeight="1">
      <x:c r="A341" s="59" t="str">
        <x:v>ENERGA_IMPORT</x:v>
      </x:c>
      <x:c r="B341" s="59" t="str">
        <x:v>source_id</x:v>
      </x:c>
      <x:c r="C341" s="59" t="str">
        <x:v>ENERGA_IMPORT</x:v>
      </x:c>
    </x:row>
    <x:row r="342" ht="30" customHeight="1">
      <x:c r="A342" s="59" t="str">
        <x:v>ENERGA_IMPORT</x:v>
      </x:c>
      <x:c r="B342" s="59" t="str">
        <x:v>operator</x:v>
      </x:c>
      <x:c r="C342" s="59" t="str">
        <x:v>Energa-Operator</x:v>
      </x:c>
    </x:row>
    <x:row r="343" ht="30" customHeight="1">
      <x:c r="A343" s="59" t="str">
        <x:v>ENERGA_IMPORT</x:v>
      </x:c>
      <x:c r="B343" s="59" t="str">
        <x:v>source_name</x:v>
      </x:c>
      <x:c r="C343" s="59" t="str">
        <x:v>Dostępna moc odbiorcza — 31.08.2026</x:v>
      </x:c>
    </x:row>
    <x:row r="344" ht="38" customHeight="1">
      <x:c r="A344" s="59" t="str">
        <x:v>ENERGA_IMPORT</x:v>
      </x:c>
      <x:c r="B344" s="59" t="str">
        <x:v>url</x:v>
      </x:c>
      <x:c r="C344" s="59" t="str">
        <x:v>https://cdn-netpr.pl/file/mediakit/3063619/5c/informacja_o_wartosci_lacznej_dostepnej_odbiorczej_mocy_przylaczeniowej_31_08_2026.pdf</x:v>
      </x:c>
    </x:row>
    <x:row r="345" ht="30" customHeight="1">
      <x:c r="A345" s="59" t="str">
        <x:v>ENERGA_IMPORT</x:v>
      </x:c>
      <x:c r="B345" s="59" t="str">
        <x:v>data_owner</x:v>
      </x:c>
      <x:c r="C345" s="59" t="str">
        <x:v>Energa-Operator S.A.</x:v>
      </x:c>
    </x:row>
    <x:row r="346" ht="30" customHeight="1">
      <x:c r="A346" s="59" t="str">
        <x:v>ENERGA_IMPORT</x:v>
      </x:c>
      <x:c r="B346" s="59" t="str">
        <x:v>data_category</x:v>
      </x:c>
      <x:c r="C346" s="59" t="str">
        <x:v>reported_import_capacity</x:v>
      </x:c>
    </x:row>
    <x:row r="347" ht="30" customHeight="1">
      <x:c r="A347" s="59" t="str">
        <x:v>ENERGA_IMPORT</x:v>
      </x:c>
      <x:c r="B347" s="59" t="str">
        <x:v>data_format</x:v>
      </x:c>
      <x:c r="C347" s="59" t="str">
        <x:v>[ "PDF" ]</x:v>
      </x:c>
    </x:row>
    <x:row r="348" ht="30" customHeight="1">
      <x:c r="A348" s="59" t="str">
        <x:v>ENERGA_IMPORT</x:v>
      </x:c>
      <x:c r="B348" s="59" t="str">
        <x:v>verification_status</x:v>
      </x:c>
      <x:c r="C348" s="59" t="str">
        <x:v>SAMPLE_VERIFIED</x:v>
      </x:c>
    </x:row>
    <x:row r="349" ht="30" customHeight="1">
      <x:c r="A349" s="59" t="str">
        <x:v>ENERGA_IMPORT</x:v>
      </x:c>
      <x:c r="B349" s="59" t="str">
        <x:v>reliability</x:v>
      </x:c>
      <x:c r="C349" s="59" t="str">
        <x:v>B</x:v>
      </x:c>
    </x:row>
    <x:row r="350" ht="30" customHeight="1">
      <x:c r="A350" s="59" t="str">
        <x:v>ENERGA_IMPORT</x:v>
      </x:c>
      <x:c r="B350" s="59" t="str">
        <x:v>key_fields</x:v>
      </x:c>
      <x:c r="C350" s="59" t="str">
        <x:v>[ "jednostka raportowania", "moc odbiorcza MW", "okres" ]</x:v>
      </x:c>
    </x:row>
    <x:row r="351" ht="30" customHeight="1">
      <x:c r="A351" s="59" t="str">
        <x:v>ENERGA_IMPORT</x:v>
      </x:c>
      <x:c r="B351" s="59" t="str">
        <x:v>potential_application</x:v>
      </x:c>
      <x:c r="C351" s="59" t="str">
        <x:v>Osobna analiza ładowania BESS i dużego poboru.</x:v>
      </x:c>
    </x:row>
    <x:row r="352" ht="30" customHeight="1">
      <x:c r="A352" s="59" t="str">
        <x:v>ENERGA_IMPORT</x:v>
      </x:c>
      <x:c r="B352" s="59" t="str">
        <x:v>known_limitations</x:v>
      </x:c>
      <x:c r="C352" s="59" t="str">
        <x:v>[ "Nie przenosić wartości eksportowych na importowe; brak walidacji wszystkich wierszy." ]</x:v>
      </x:c>
    </x:row>
    <x:row r="353" ht="30" customHeight="1">
      <x:c r="A353" s="59" t="str">
        <x:v>ENERGA_IMPORT</x:v>
      </x:c>
      <x:c r="B353" s="59" t="str">
        <x:v>priority</x:v>
      </x:c>
      <x:c r="C353" s="59" t="str">
        <x:v>P1</x:v>
      </x:c>
    </x:row>
    <x:row r="354" ht="80" customHeight="1">
      <x:c r="A354" s="59" t="str">
        <x:v>ENERGA_IMPORT</x:v>
      </x:c>
      <x:c r="B354" s="59" t="str">
        <x:v>evidence</x:v>
      </x:c>
      <x:c r="C354" s="59" t="str">
        <x:v>[ { "source_id": "ENERGA_IMPORT", "url": "https://cdn-netpr.pl/file/mediakit/3063619/5c/informacja_o_wartosci_lacznej_dostepnej_odbiorczej_mocy_przylaczeniowej_31_08_2026.pdf", "retrieval_date": "2026-09-10T11:18:11.9085689Z", "http_status": 200, "content_type": "application/pdf", "bytes": 2414777, "sha256": "43abdeed101270cb7c66bb919f17fe7e6ab8a22632e3186fd611bd24cf903324", "local_path": "data/raw/research/2026-09-10/energa_import_2026-08-31.pdf", "error": null, "manifest": "data/catalog/probe_results_20260910T111813793Z.json" } ]</x:v>
      </x:c>
    </x:row>
    <x:row r="355" ht="30" customHeight="1">
      <x:c r="A355" s="59" t="str">
        <x:v>ENERGA_IMPORT</x:v>
      </x:c>
      <x:c r="B355" s="59" t="str">
        <x:v>retrieval_date</x:v>
      </x:c>
      <x:c r="C355" s="59" t="str">
        <x:v>[ "2026-09-10T11:18:11.9085689Z" ]</x:v>
      </x:c>
    </x:row>
    <x:row r="356" ht="30" customHeight="1">
      <x:c r="A356" s="59" t="str">
        <x:v>ENERGA_PIPELINE</x:v>
      </x:c>
      <x:c r="B356" s="59" t="str">
        <x:v>country</x:v>
      </x:c>
      <x:c r="C356" s="59" t="str">
        <x:v>PL</x:v>
      </x:c>
    </x:row>
    <x:row r="357" ht="30" customHeight="1">
      <x:c r="A357" s="59" t="str">
        <x:v>ENERGA_PIPELINE</x:v>
      </x:c>
      <x:c r="B357" s="59" t="str">
        <x:v>geographical_scope</x:v>
      </x:c>
      <x:c r="C357" s="59" t="str">
        <x:v>Zakres publikacji danego operatora/instytucji; nie założono pełnego pokrycia kraju.</x:v>
      </x:c>
    </x:row>
    <x:row r="358" ht="30" customHeight="1">
      <x:c r="A358" s="59" t="str">
        <x:v>ENERGA_PIPELINE</x:v>
      </x:c>
      <x:c r="B358" s="59" t="str">
        <x:v>grid_voltage</x:v>
      </x:c>
      <x:c r="C358" s="59" t="str">
        <x:v>[ "SN", "110 kV" ]</x:v>
      </x:c>
    </x:row>
    <x:row r="359" ht="30" customHeight="1">
      <x:c r="A359" s="59" t="str">
        <x:v>ENERGA_PIPELINE</x:v>
      </x:c>
      <x:c r="B359" s="59" t="str">
        <x:v>api_available</x:v>
      </x:c>
      <x:c r="C359" s="59" t="str">
        <x:v>UNKNOWN</x:v>
      </x:c>
    </x:row>
    <x:row r="360" ht="30" customHeight="1">
      <x:c r="A360" s="59" t="str">
        <x:v>ENERGA_PIPELINE</x:v>
      </x:c>
      <x:c r="B360" s="59" t="str">
        <x:v>gis_available</x:v>
      </x:c>
      <x:c r="C360" s="59" t="str">
        <x:v>UNKNOWN</x:v>
      </x:c>
    </x:row>
    <x:row r="361" ht="30" customHeight="1">
      <x:c r="A361" s="59" t="str">
        <x:v>ENERGA_PIPELINE</x:v>
      </x:c>
      <x:c r="B361" s="59" t="str">
        <x:v>update_frequency</x:v>
      </x:c>
      <x:c r="C361" s="59" t="str">
        <x:v>UNKNOWN — nie ustalono gwarantowanego cyklu publikacji.</x:v>
      </x:c>
    </x:row>
    <x:row r="362" ht="30" customHeight="1">
      <x:c r="A362" s="59" t="str">
        <x:v>ENERGA_PIPELINE</x:v>
      </x:c>
      <x:c r="B362" s="59" t="str">
        <x:v>historical_data</x:v>
      </x:c>
      <x:c r="C362" s="59" t="str">
        <x:v>UNKNOWN — własne snapshoty od 10.09.2026, jeśli zapisano próbkę.</x:v>
      </x:c>
    </x:row>
    <x:row r="363" ht="30" customHeight="1">
      <x:c r="A363" s="59" t="str">
        <x:v>ENERGA_PIPELINE</x:v>
      </x:c>
      <x:c r="B363" s="59" t="str">
        <x:v>authentication</x:v>
      </x:c>
      <x:c r="C363" s="59" t="str">
        <x:v>Odczyt publicznej strony bez konta; nie dowodzi dostępu do wszystkich danych.</x:v>
      </x:c>
    </x:row>
    <x:row r="364" ht="30" customHeight="1">
      <x:c r="A364" s="59" t="str">
        <x:v>ENERGA_PIPELINE</x:v>
      </x:c>
      <x:c r="B364" s="59" t="str">
        <x:v>license</x:v>
      </x:c>
      <x:c r="C364" s="59" t="str">
        <x:v>UNKNOWN — nie potwierdzono otwartej licencji wybranego zbioru.</x:v>
      </x:c>
    </x:row>
    <x:row r="365" ht="30" customHeight="1">
      <x:c r="A365" s="59" t="str">
        <x:v>ENERGA_PIPELINE</x:v>
      </x:c>
      <x:c r="B365" s="59" t="str">
        <x:v>license_url</x:v>
      </x:c>
      <x:c r="C365" s="59" t="str">
        <x:v>UNKNOWN — nie ustalono</x:v>
      </x:c>
    </x:row>
    <x:row r="366" ht="30" customHeight="1">
      <x:c r="A366" s="59" t="str">
        <x:v>ENERGA_PIPELINE</x:v>
      </x:c>
      <x:c r="B366" s="59" t="str">
        <x:v>commercial_use</x:v>
      </x:c>
      <x:c r="C366" s="59" t="str">
        <x:v>UNKNOWN</x:v>
      </x:c>
    </x:row>
    <x:row r="367" ht="30" customHeight="1">
      <x:c r="A367" s="59" t="str">
        <x:v>ENERGA_PIPELINE</x:v>
      </x:c>
      <x:c r="B367" s="59" t="str">
        <x:v>machine_readable</x:v>
      </x:c>
      <x:c r="C367" s="59" t="str">
        <x:v>PARTIAL</x:v>
      </x:c>
    </x:row>
    <x:row r="368" ht="30" customHeight="1">
      <x:c r="A368" s="59" t="str">
        <x:v>ENERGA_PIPELINE</x:v>
      </x:c>
      <x:c r="B368" s="59" t="str">
        <x:v>scraping_required</x:v>
      </x:c>
      <x:c r="C368" s="59" t="str">
        <x:v>UNKNOWN — przed scraperem preferować oficjalny plik lub API.</x:v>
      </x:c>
    </x:row>
    <x:row r="369" ht="30" customHeight="1">
      <x:c r="A369" s="59" t="str">
        <x:v>ENERGA_PIPELINE</x:v>
      </x:c>
      <x:c r="B369" s="59" t="str">
        <x:v>data_quality_score</x:v>
      </x:c>
      <x:c r="C369" s="59" t="str">
        <x:v>UNKNOWN — nie ustalono</x:v>
      </x:c>
    </x:row>
    <x:row r="370" ht="30" customHeight="1">
      <x:c r="A370" s="59" t="str">
        <x:v>ENERGA_PIPELINE</x:v>
      </x:c>
      <x:c r="B370" s="59" t="str">
        <x:v>quality_score_status</x:v>
      </x:c>
      <x:c r="C370" s="59" t="str">
        <x:v>NOT_CALIBRATED — autorytet źródła nie jest procentem kompletności lub trafności.</x:v>
      </x:c>
    </x:row>
    <x:row r="371" ht="30" customHeight="1">
      <x:c r="A371" s="59" t="str">
        <x:v>ENERGA_PIPELINE</x:v>
      </x:c>
      <x:c r="B371" s="59" t="str">
        <x:v>last_verified</x:v>
      </x:c>
      <x:c r="C371" s="60" t="n">
        <x:v>46275</x:v>
      </x:c>
    </x:row>
    <x:row r="372" ht="30" customHeight="1">
      <x:c r="A372" s="59" t="str">
        <x:v>ENERGA_PIPELINE</x:v>
      </x:c>
      <x:c r="B372" s="59" t="str">
        <x:v>last_successful_verification</x:v>
      </x:c>
      <x:c r="C372" s="60" t="n">
        <x:v>46275</x:v>
      </x:c>
    </x:row>
    <x:row r="373" ht="30" customHeight="1">
      <x:c r="A373" s="59" t="str">
        <x:v>ENERGA_PIPELINE</x:v>
      </x:c>
      <x:c r="B373" s="59" t="str">
        <x:v>source_date</x:v>
      </x:c>
      <x:c r="C373" s="59" t="str">
        <x:v>UNKNOWN — nie ustalono</x:v>
      </x:c>
    </x:row>
    <x:row r="374" ht="30" customHeight="1">
      <x:c r="A374" s="59" t="str">
        <x:v>ENERGA_PIPELINE</x:v>
      </x:c>
      <x:c r="B374" s="59" t="str">
        <x:v>publication_date</x:v>
      </x:c>
      <x:c r="C374" s="59" t="str">
        <x:v>UNKNOWN — nie ustalono</x:v>
      </x:c>
    </x:row>
    <x:row r="375" ht="30" customHeight="1">
      <x:c r="A375" s="59" t="str">
        <x:v>ENERGA_PIPELINE</x:v>
      </x:c>
      <x:c r="B375" s="59" t="str">
        <x:v>source_version</x:v>
      </x:c>
      <x:c r="C375" s="59" t="str">
        <x:v>UNKNOWN — nie ustalono</x:v>
      </x:c>
    </x:row>
    <x:row r="376" ht="30" customHeight="1">
      <x:c r="A376" s="59" t="str">
        <x:v>ENERGA_PIPELINE</x:v>
      </x:c>
      <x:c r="B376" s="59" t="str">
        <x:v>source_page</x:v>
      </x:c>
      <x:c r="C376" s="59" t="str">
        <x:v>1</x:v>
      </x:c>
    </x:row>
    <x:row r="377" ht="30" customHeight="1">
      <x:c r="A377" s="59" t="str">
        <x:v>ENERGA_PIPELINE</x:v>
      </x:c>
      <x:c r="B377" s="59" t="str">
        <x:v>valid_from</x:v>
      </x:c>
      <x:c r="C377" s="59" t="str">
        <x:v>UNKNOWN — nie ustalono</x:v>
      </x:c>
    </x:row>
    <x:row r="378" ht="30" customHeight="1">
      <x:c r="A378" s="59" t="str">
        <x:v>ENERGA_PIPELINE</x:v>
      </x:c>
      <x:c r="B378" s="59" t="str">
        <x:v>valid_to</x:v>
      </x:c>
      <x:c r="C378" s="59" t="str">
        <x:v>UNKNOWN — nie ustalono</x:v>
      </x:c>
    </x:row>
    <x:row r="379" ht="30" customHeight="1">
      <x:c r="A379" s="59" t="str">
        <x:v>ENERGA_PIPELINE</x:v>
      </x:c>
      <x:c r="B379" s="59" t="str">
        <x:v>current_future_scope</x:v>
      </x:c>
      <x:c r="C379" s="59" t="str">
        <x:v>SOURCE_DEPENDENT</x:v>
      </x:c>
    </x:row>
    <x:row r="380" ht="30" customHeight="1">
      <x:c r="A380" s="59" t="str">
        <x:v>ENERGA_PIPELINE</x:v>
      </x:c>
      <x:c r="B380" s="59" t="str">
        <x:v>value_classification_default</x:v>
      </x:c>
      <x:c r="C380" s="59" t="str">
        <x:v>REPORTED</x:v>
      </x:c>
    </x:row>
    <x:row r="381" ht="38" customHeight="1">
      <x:c r="A381" s="59" t="str">
        <x:v>ENERGA_PIPELINE</x:v>
      </x:c>
      <x:c r="B381" s="59" t="str">
        <x:v>automation_notes</x:v>
      </x:c>
      <x:c r="C381" s="59" t="str">
        <x:v>Jednorazowy przegląd; brak zgody na stały scraper wynikającej z samego dostępu. Sprawdzić warunki, robots.txt i limity przed wdrożeniem.</x:v>
      </x:c>
    </x:row>
    <x:row r="382" ht="30" customHeight="1">
      <x:c r="A382" s="59" t="str">
        <x:v>ENERGA_PIPELINE</x:v>
      </x:c>
      <x:c r="B382" s="59" t="str">
        <x:v>probe_ids</x:v>
      </x:c>
      <x:c r="C382" s="59" t="str">
        <x:v>[ "ENERGA_PIPELINE" ]</x:v>
      </x:c>
    </x:row>
    <x:row r="383" ht="30" customHeight="1">
      <x:c r="A383" s="59" t="str">
        <x:v>ENERGA_PIPELINE</x:v>
      </x:c>
      <x:c r="B383" s="59" t="str">
        <x:v>related_urls</x:v>
      </x:c>
      <x:c r="C383" s="59" t="str">
        <x:v>[]</x:v>
      </x:c>
    </x:row>
    <x:row r="384" ht="30" customHeight="1">
      <x:c r="A384" s="59" t="str">
        <x:v>ENERGA_PIPELINE</x:v>
      </x:c>
      <x:c r="B384" s="59" t="str">
        <x:v>source_id</x:v>
      </x:c>
      <x:c r="C384" s="59" t="str">
        <x:v>ENERGA_PIPELINE</x:v>
      </x:c>
    </x:row>
    <x:row r="385" ht="30" customHeight="1">
      <x:c r="A385" s="59" t="str">
        <x:v>ENERGA_PIPELINE</x:v>
      </x:c>
      <x:c r="B385" s="59" t="str">
        <x:v>operator</x:v>
      </x:c>
      <x:c r="C385" s="59" t="str">
        <x:v>Energa-Operator</x:v>
      </x:c>
    </x:row>
    <x:row r="386" ht="30" customHeight="1">
      <x:c r="A386" s="59" t="str">
        <x:v>ENERGA_PIPELINE</x:v>
      </x:c>
      <x:c r="B386" s="59" t="str">
        <x:v>source_name</x:v>
      </x:c>
      <x:c r="C386" s="59" t="str">
        <x:v>Wnioski i odmowy — konflikt dat dokumentu</x:v>
      </x:c>
    </x:row>
    <x:row r="387" ht="30" customHeight="1">
      <x:c r="A387" s="59" t="str">
        <x:v>ENERGA_PIPELINE</x:v>
      </x:c>
      <x:c r="B387" s="59" t="str">
        <x:v>url</x:v>
      </x:c>
      <x:c r="C387" s="59" t="str">
        <x:v>https://cdn-netpr.pl/file/mediakit/3063617/fa/2026_08_31_pusop_wnioski_i_odmowy_eop.pdf</x:v>
      </x:c>
    </x:row>
    <x:row r="388" ht="30" customHeight="1">
      <x:c r="A388" s="59" t="str">
        <x:v>ENERGA_PIPELINE</x:v>
      </x:c>
      <x:c r="B388" s="59" t="str">
        <x:v>data_owner</x:v>
      </x:c>
      <x:c r="C388" s="59" t="str">
        <x:v>Energa-Operator S.A.</x:v>
      </x:c>
    </x:row>
    <x:row r="389" ht="30" customHeight="1">
      <x:c r="A389" s="59" t="str">
        <x:v>ENERGA_PIPELINE</x:v>
      </x:c>
      <x:c r="B389" s="59" t="str">
        <x:v>data_category</x:v>
      </x:c>
      <x:c r="C389" s="59" t="str">
        <x:v>connection_pipeline</x:v>
      </x:c>
    </x:row>
    <x:row r="390" ht="30" customHeight="1">
      <x:c r="A390" s="59" t="str">
        <x:v>ENERGA_PIPELINE</x:v>
      </x:c>
      <x:c r="B390" s="59" t="str">
        <x:v>data_format</x:v>
      </x:c>
      <x:c r="C390" s="59" t="str">
        <x:v>[ "PDF" ]</x:v>
      </x:c>
    </x:row>
    <x:row r="391" ht="30" customHeight="1">
      <x:c r="A391" s="59" t="str">
        <x:v>ENERGA_PIPELINE</x:v>
      </x:c>
      <x:c r="B391" s="59" t="str">
        <x:v>verification_status</x:v>
      </x:c>
      <x:c r="C391" s="59" t="str">
        <x:v>SAMPLE_VERIFIED</x:v>
      </x:c>
    </x:row>
    <x:row r="392" ht="30" customHeight="1">
      <x:c r="A392" s="59" t="str">
        <x:v>ENERGA_PIPELINE</x:v>
      </x:c>
      <x:c r="B392" s="59" t="str">
        <x:v>reliability</x:v>
      </x:c>
      <x:c r="C392" s="59" t="str">
        <x:v>B</x:v>
      </x:c>
    </x:row>
    <x:row r="393" ht="30" customHeight="1">
      <x:c r="A393" s="59" t="str">
        <x:v>ENERGA_PIPELINE</x:v>
      </x:c>
      <x:c r="B393" s="59" t="str">
        <x:v>key_fields</x:v>
      </x:c>
      <x:c r="C393" s="59" t="str">
        <x:v>[ "projekt", "miejsce przyłączenia", "moc", "etap", "data" ]</x:v>
      </x:c>
    </x:row>
    <x:row r="394" ht="30" customHeight="1">
      <x:c r="A394" s="59" t="str">
        <x:v>ENERGA_PIPELINE</x:v>
      </x:c>
      <x:c r="B394" s="59" t="str">
        <x:v>potential_application</x:v>
      </x:c>
      <x:c r="C394" s="59" t="str">
        <x:v>Pipeline z ograniczeniem czasowym i ostrzeżeniem o konflikcie.</x:v>
      </x:c>
    </x:row>
    <x:row r="395" ht="30" customHeight="1">
      <x:c r="A395" s="59" t="str">
        <x:v>ENERGA_PIPELINE</x:v>
      </x:c>
      <x:c r="B395" s="59" t="str">
        <x:v>known_limitations</x:v>
      </x:c>
      <x:c r="C395" s="59" t="str">
        <x:v>[ "Nazwa pliku 31.08.2026, nagłówek strony 1 i metadane 30.06.2026; nie uznano za pewny stan sierpniowy." ]</x:v>
      </x:c>
    </x:row>
    <x:row r="396" ht="30" customHeight="1">
      <x:c r="A396" s="59" t="str">
        <x:v>ENERGA_PIPELINE</x:v>
      </x:c>
      <x:c r="B396" s="59" t="str">
        <x:v>date_conflict</x:v>
      </x:c>
      <x:c r="C396" s="59" t="str">
        <x:v>{ "filename_date": "2026-08-31", "document_header_date": "2026-06-30", "resolution": "UNRESOLVED" }</x:v>
      </x:c>
    </x:row>
    <x:row r="397" ht="30" customHeight="1">
      <x:c r="A397" s="59" t="str">
        <x:v>ENERGA_PIPELINE</x:v>
      </x:c>
      <x:c r="B397" s="59" t="str">
        <x:v>priority</x:v>
      </x:c>
      <x:c r="C397" s="59" t="str">
        <x:v>P1</x:v>
      </x:c>
    </x:row>
    <x:row r="398" ht="80" customHeight="1">
      <x:c r="A398" s="59" t="str">
        <x:v>ENERGA_PIPELINE</x:v>
      </x:c>
      <x:c r="B398" s="59" t="str">
        <x:v>evidence</x:v>
      </x:c>
      <x:c r="C398" s="59" t="str">
        <x:v>[ { "source_id": "ENERGA_PIPELINE", "url": "https://cdn-netpr.pl/file/mediakit/3063617/fa/2026_08_31_pusop_wnioski_i_odmowy_eop.pdf", "retrieval_date": "2026-09-10T11:18:11.5286327Z", "http_status": 200, "content_type": "application/pdf", "bytes": 1419597, "sha256": "4d66bfc4df8a9da1489b179395aff49f889bc6fd10c5551e3eacd3031ca8b44b", "local_path": "data/raw/research/2026-09-10/energa_pipeline_2026-08-31.pdf", "error": null, "manifest": "data/catalog/probe_results_20260910T111813793Z.json" } ]</x:v>
      </x:c>
    </x:row>
    <x:row r="399" ht="30" customHeight="1">
      <x:c r="A399" s="59" t="str">
        <x:v>ENERGA_PIPELINE</x:v>
      </x:c>
      <x:c r="B399" s="59" t="str">
        <x:v>retrieval_date</x:v>
      </x:c>
      <x:c r="C399" s="59" t="str">
        <x:v>[ "2026-09-10T11:18:11.5286327Z" ]</x:v>
      </x:c>
    </x:row>
    <x:row r="400" ht="30" customHeight="1">
      <x:c r="A400" s="59" t="str">
        <x:v>ENERGA_PLAN</x:v>
      </x:c>
      <x:c r="B400" s="59" t="str">
        <x:v>country</x:v>
      </x:c>
      <x:c r="C400" s="59" t="str">
        <x:v>PL</x:v>
      </x:c>
    </x:row>
    <x:row r="401" ht="30" customHeight="1">
      <x:c r="A401" s="59" t="str">
        <x:v>ENERGA_PLAN</x:v>
      </x:c>
      <x:c r="B401" s="59" t="str">
        <x:v>geographical_scope</x:v>
      </x:c>
      <x:c r="C401" s="59" t="str">
        <x:v>Zakres publikacji danego operatora/instytucji; nie założono pełnego pokrycia kraju.</x:v>
      </x:c>
    </x:row>
    <x:row r="402" ht="30" customHeight="1">
      <x:c r="A402" s="59" t="str">
        <x:v>ENERGA_PLAN</x:v>
      </x:c>
      <x:c r="B402" s="59" t="str">
        <x:v>grid_voltage</x:v>
      </x:c>
      <x:c r="C402" s="59" t="str">
        <x:v>[ "SN", "110 kV" ]</x:v>
      </x:c>
    </x:row>
    <x:row r="403" ht="30" customHeight="1">
      <x:c r="A403" s="59" t="str">
        <x:v>ENERGA_PLAN</x:v>
      </x:c>
      <x:c r="B403" s="59" t="str">
        <x:v>api_available</x:v>
      </x:c>
      <x:c r="C403" s="59" t="str">
        <x:v>UNKNOWN</x:v>
      </x:c>
    </x:row>
    <x:row r="404" ht="30" customHeight="1">
      <x:c r="A404" s="59" t="str">
        <x:v>ENERGA_PLAN</x:v>
      </x:c>
      <x:c r="B404" s="59" t="str">
        <x:v>gis_available</x:v>
      </x:c>
      <x:c r="C404" s="59" t="str">
        <x:v>UNKNOWN</x:v>
      </x:c>
    </x:row>
    <x:row r="405" ht="30" customHeight="1">
      <x:c r="A405" s="59" t="str">
        <x:v>ENERGA_PLAN</x:v>
      </x:c>
      <x:c r="B405" s="59" t="str">
        <x:v>update_frequency</x:v>
      </x:c>
      <x:c r="C405" s="59" t="str">
        <x:v>UNKNOWN — nie ustalono gwarantowanego cyklu publikacji.</x:v>
      </x:c>
    </x:row>
    <x:row r="406" ht="30" customHeight="1">
      <x:c r="A406" s="59" t="str">
        <x:v>ENERGA_PLAN</x:v>
      </x:c>
      <x:c r="B406" s="59" t="str">
        <x:v>historical_data</x:v>
      </x:c>
      <x:c r="C406" s="59" t="str">
        <x:v>UNKNOWN — własne snapshoty od 10.09.2026, jeśli zapisano próbkę.</x:v>
      </x:c>
    </x:row>
    <x:row r="407" ht="30" customHeight="1">
      <x:c r="A407" s="59" t="str">
        <x:v>ENERGA_PLAN</x:v>
      </x:c>
      <x:c r="B407" s="59" t="str">
        <x:v>authentication</x:v>
      </x:c>
      <x:c r="C407" s="59" t="str">
        <x:v>Odczyt publicznej strony bez konta; nie dowodzi dostępu do wszystkich danych.</x:v>
      </x:c>
    </x:row>
    <x:row r="408" ht="30" customHeight="1">
      <x:c r="A408" s="59" t="str">
        <x:v>ENERGA_PLAN</x:v>
      </x:c>
      <x:c r="B408" s="59" t="str">
        <x:v>license</x:v>
      </x:c>
      <x:c r="C408" s="59" t="str">
        <x:v>UNKNOWN — nie potwierdzono otwartej licencji wybranego zbioru.</x:v>
      </x:c>
    </x:row>
    <x:row r="409" ht="30" customHeight="1">
      <x:c r="A409" s="59" t="str">
        <x:v>ENERGA_PLAN</x:v>
      </x:c>
      <x:c r="B409" s="59" t="str">
        <x:v>license_url</x:v>
      </x:c>
      <x:c r="C409" s="59" t="str">
        <x:v>UNKNOWN — nie ustalono</x:v>
      </x:c>
    </x:row>
    <x:row r="410" ht="30" customHeight="1">
      <x:c r="A410" s="59" t="str">
        <x:v>ENERGA_PLAN</x:v>
      </x:c>
      <x:c r="B410" s="59" t="str">
        <x:v>commercial_use</x:v>
      </x:c>
      <x:c r="C410" s="59" t="str">
        <x:v>UNKNOWN</x:v>
      </x:c>
    </x:row>
    <x:row r="411" ht="30" customHeight="1">
      <x:c r="A411" s="59" t="str">
        <x:v>ENERGA_PLAN</x:v>
      </x:c>
      <x:c r="B411" s="59" t="str">
        <x:v>machine_readable</x:v>
      </x:c>
      <x:c r="C411" s="59" t="str">
        <x:v>UNKNOWN</x:v>
      </x:c>
    </x:row>
    <x:row r="412" ht="30" customHeight="1">
      <x:c r="A412" s="59" t="str">
        <x:v>ENERGA_PLAN</x:v>
      </x:c>
      <x:c r="B412" s="59" t="str">
        <x:v>scraping_required</x:v>
      </x:c>
      <x:c r="C412" s="59" t="str">
        <x:v>UNKNOWN — przed scraperem preferować oficjalny plik lub API.</x:v>
      </x:c>
    </x:row>
    <x:row r="413" ht="30" customHeight="1">
      <x:c r="A413" s="59" t="str">
        <x:v>ENERGA_PLAN</x:v>
      </x:c>
      <x:c r="B413" s="59" t="str">
        <x:v>data_quality_score</x:v>
      </x:c>
      <x:c r="C413" s="59" t="str">
        <x:v>UNKNOWN — nie ustalono</x:v>
      </x:c>
    </x:row>
    <x:row r="414" ht="30" customHeight="1">
      <x:c r="A414" s="59" t="str">
        <x:v>ENERGA_PLAN</x:v>
      </x:c>
      <x:c r="B414" s="59" t="str">
        <x:v>quality_score_status</x:v>
      </x:c>
      <x:c r="C414" s="59" t="str">
        <x:v>NOT_CALIBRATED — autorytet źródła nie jest procentem kompletności lub trafności.</x:v>
      </x:c>
    </x:row>
    <x:row r="415" ht="30" customHeight="1">
      <x:c r="A415" s="59" t="str">
        <x:v>ENERGA_PLAN</x:v>
      </x:c>
      <x:c r="B415" s="59" t="str">
        <x:v>last_verified</x:v>
      </x:c>
      <x:c r="C415" s="60" t="n">
        <x:v>46275</x:v>
      </x:c>
    </x:row>
    <x:row r="416" ht="30" customHeight="1">
      <x:c r="A416" s="59" t="str">
        <x:v>ENERGA_PLAN</x:v>
      </x:c>
      <x:c r="B416" s="59" t="str">
        <x:v>last_successful_verification</x:v>
      </x:c>
      <x:c r="C416" s="60" t="n">
        <x:v>46275</x:v>
      </x:c>
    </x:row>
    <x:row r="417" ht="30" customHeight="1">
      <x:c r="A417" s="59" t="str">
        <x:v>ENERGA_PLAN</x:v>
      </x:c>
      <x:c r="B417" s="59" t="str">
        <x:v>source_date</x:v>
      </x:c>
      <x:c r="C417" s="59" t="str">
        <x:v>UNKNOWN — nie ustalono</x:v>
      </x:c>
    </x:row>
    <x:row r="418" ht="30" customHeight="1">
      <x:c r="A418" s="59" t="str">
        <x:v>ENERGA_PLAN</x:v>
      </x:c>
      <x:c r="B418" s="59" t="str">
        <x:v>publication_date</x:v>
      </x:c>
      <x:c r="C418" s="59" t="str">
        <x:v>UNKNOWN — nie ustalono</x:v>
      </x:c>
    </x:row>
    <x:row r="419" ht="30" customHeight="1">
      <x:c r="A419" s="59" t="str">
        <x:v>ENERGA_PLAN</x:v>
      </x:c>
      <x:c r="B419" s="59" t="str">
        <x:v>source_version</x:v>
      </x:c>
      <x:c r="C419" s="59" t="str">
        <x:v>UNKNOWN — nie ustalono</x:v>
      </x:c>
    </x:row>
    <x:row r="420" ht="30" customHeight="1">
      <x:c r="A420" s="59" t="str">
        <x:v>ENERGA_PLAN</x:v>
      </x:c>
      <x:c r="B420" s="59" t="str">
        <x:v>source_page</x:v>
      </x:c>
      <x:c r="C420" s="59" t="str">
        <x:v>UNKNOWN — nie ustalono</x:v>
      </x:c>
    </x:row>
    <x:row r="421" ht="30" customHeight="1">
      <x:c r="A421" s="59" t="str">
        <x:v>ENERGA_PLAN</x:v>
      </x:c>
      <x:c r="B421" s="59" t="str">
        <x:v>valid_from</x:v>
      </x:c>
      <x:c r="C421" s="59" t="str">
        <x:v>UNKNOWN — nie ustalono</x:v>
      </x:c>
    </x:row>
    <x:row r="422" ht="30" customHeight="1">
      <x:c r="A422" s="59" t="str">
        <x:v>ENERGA_PLAN</x:v>
      </x:c>
      <x:c r="B422" s="59" t="str">
        <x:v>valid_to</x:v>
      </x:c>
      <x:c r="C422" s="59" t="str">
        <x:v>UNKNOWN — nie ustalono</x:v>
      </x:c>
    </x:row>
    <x:row r="423" ht="30" customHeight="1">
      <x:c r="A423" s="59" t="str">
        <x:v>ENERGA_PLAN</x:v>
      </x:c>
      <x:c r="B423" s="59" t="str">
        <x:v>current_future_scope</x:v>
      </x:c>
      <x:c r="C423" s="59" t="str">
        <x:v>FUTURE_GRID</x:v>
      </x:c>
    </x:row>
    <x:row r="424" ht="30" customHeight="1">
      <x:c r="A424" s="59" t="str">
        <x:v>ENERGA_PLAN</x:v>
      </x:c>
      <x:c r="B424" s="59" t="str">
        <x:v>value_classification_default</x:v>
      </x:c>
      <x:c r="C424" s="59" t="str">
        <x:v>REPORTED</x:v>
      </x:c>
    </x:row>
    <x:row r="425" ht="38" customHeight="1">
      <x:c r="A425" s="59" t="str">
        <x:v>ENERGA_PLAN</x:v>
      </x:c>
      <x:c r="B425" s="59" t="str">
        <x:v>automation_notes</x:v>
      </x:c>
      <x:c r="C425" s="59" t="str">
        <x:v>Jednorazowy przegląd; brak zgody na stały scraper wynikającej z samego dostępu. Sprawdzić warunki, robots.txt i limity przed wdrożeniem.</x:v>
      </x:c>
    </x:row>
    <x:row r="426" ht="30" customHeight="1">
      <x:c r="A426" s="59" t="str">
        <x:v>ENERGA_PLAN</x:v>
      </x:c>
      <x:c r="B426" s="59" t="str">
        <x:v>probe_ids</x:v>
      </x:c>
      <x:c r="C426" s="59" t="str">
        <x:v>[]</x:v>
      </x:c>
    </x:row>
    <x:row r="427" ht="30" customHeight="1">
      <x:c r="A427" s="59" t="str">
        <x:v>ENERGA_PLAN</x:v>
      </x:c>
      <x:c r="B427" s="59" t="str">
        <x:v>related_urls</x:v>
      </x:c>
      <x:c r="C427" s="59" t="str">
        <x:v>[ "https://cdn-netpr.pl/file/mediakit/2972639/30/uzgodniony_plan_rozwoju_2026_2031_energa_operator_sa.pdf" ]</x:v>
      </x:c>
    </x:row>
    <x:row r="428" ht="30" customHeight="1">
      <x:c r="A428" s="59" t="str">
        <x:v>ENERGA_PLAN</x:v>
      </x:c>
      <x:c r="B428" s="59" t="str">
        <x:v>source_id</x:v>
      </x:c>
      <x:c r="C428" s="59" t="str">
        <x:v>ENERGA_PLAN</x:v>
      </x:c>
    </x:row>
    <x:row r="429" ht="30" customHeight="1">
      <x:c r="A429" s="59" t="str">
        <x:v>ENERGA_PLAN</x:v>
      </x:c>
      <x:c r="B429" s="59" t="str">
        <x:v>operator</x:v>
      </x:c>
      <x:c r="C429" s="59" t="str">
        <x:v>Energa-Operator</x:v>
      </x:c>
    </x:row>
    <x:row r="430" ht="30" customHeight="1">
      <x:c r="A430" s="59" t="str">
        <x:v>ENERGA_PLAN</x:v>
      </x:c>
      <x:c r="B430" s="59" t="str">
        <x:v>source_name</x:v>
      </x:c>
      <x:c r="C430" s="59" t="str">
        <x:v>Uzgodniony plan rozwoju 2026–2031</x:v>
      </x:c>
    </x:row>
    <x:row r="431" ht="30" customHeight="1">
      <x:c r="A431" s="59" t="str">
        <x:v>ENERGA_PLAN</x:v>
      </x:c>
      <x:c r="B431" s="59" t="str">
        <x:v>url</x:v>
      </x:c>
      <x:c r="C431" s="59" t="str">
        <x:v>https://energa-operator.pl/raporty-i-liczby/plan-rozwoju</x:v>
      </x:c>
    </x:row>
    <x:row r="432" ht="30" customHeight="1">
      <x:c r="A432" s="59" t="str">
        <x:v>ENERGA_PLAN</x:v>
      </x:c>
      <x:c r="B432" s="59" t="str">
        <x:v>data_owner</x:v>
      </x:c>
      <x:c r="C432" s="59" t="str">
        <x:v>Energa-Operator S.A.</x:v>
      </x:c>
    </x:row>
    <x:row r="433" ht="30" customHeight="1">
      <x:c r="A433" s="59" t="str">
        <x:v>ENERGA_PLAN</x:v>
      </x:c>
      <x:c r="B433" s="59" t="str">
        <x:v>data_category</x:v>
      </x:c>
      <x:c r="C433" s="59" t="str">
        <x:v>grid_investments</x:v>
      </x:c>
    </x:row>
    <x:row r="434" ht="30" customHeight="1">
      <x:c r="A434" s="59" t="str">
        <x:v>ENERGA_PLAN</x:v>
      </x:c>
      <x:c r="B434" s="59" t="str">
        <x:v>data_format</x:v>
      </x:c>
      <x:c r="C434" s="59" t="str">
        <x:v>[ "HTML", "PDF" ]</x:v>
      </x:c>
    </x:row>
    <x:row r="435" ht="30" customHeight="1">
      <x:c r="A435" s="59" t="str">
        <x:v>ENERGA_PLAN</x:v>
      </x:c>
      <x:c r="B435" s="59" t="str">
        <x:v>verification_status</x:v>
      </x:c>
      <x:c r="C435" s="59" t="str">
        <x:v>CONTENT_REVIEWED</x:v>
      </x:c>
    </x:row>
    <x:row r="436" ht="30" customHeight="1">
      <x:c r="A436" s="59" t="str">
        <x:v>ENERGA_PLAN</x:v>
      </x:c>
      <x:c r="B436" s="59" t="str">
        <x:v>reliability</x:v>
      </x:c>
      <x:c r="C436" s="59" t="str">
        <x:v>B</x:v>
      </x:c>
    </x:row>
    <x:row r="437" ht="30" customHeight="1">
      <x:c r="A437" s="59" t="str">
        <x:v>ENERGA_PLAN</x:v>
      </x:c>
      <x:c r="B437" s="59" t="str">
        <x:v>key_fields</x:v>
      </x:c>
      <x:c r="C437" s="59" t="str">
        <x:v>[ "inwestycja", "horyzont", "status planu" ]</x:v>
      </x:c>
    </x:row>
    <x:row r="438" ht="30" customHeight="1">
      <x:c r="A438" s="59" t="str">
        <x:v>ENERGA_PLAN</x:v>
      </x:c>
      <x:c r="B438" s="59" t="str">
        <x:v>potential_application</x:v>
      </x:c>
      <x:c r="C438" s="59" t="str">
        <x:v>Rejestr przyszłych wzmocnień.</x:v>
      </x:c>
    </x:row>
    <x:row r="439" ht="30" customHeight="1">
      <x:c r="A439" s="59" t="str">
        <x:v>ENERGA_PLAN</x:v>
      </x:c>
      <x:c r="B439" s="59" t="str">
        <x:v>known_limitations</x:v>
      </x:c>
      <x:c r="C439" s="59" t="str">
        <x:v>[ "Plan nie potwierdza wykonania inwestycji." ]</x:v>
      </x:c>
    </x:row>
    <x:row r="440" ht="30" customHeight="1">
      <x:c r="A440" s="59" t="str">
        <x:v>ENERGA_PLAN</x:v>
      </x:c>
      <x:c r="B440" s="59" t="str">
        <x:v>priority</x:v>
      </x:c>
      <x:c r="C440" s="59" t="str">
        <x:v>P1</x:v>
      </x:c>
    </x:row>
    <x:row r="441" ht="30" customHeight="1">
      <x:c r="A441" s="59" t="str">
        <x:v>ENERGA_PLAN</x:v>
      </x:c>
      <x:c r="B441" s="59" t="str">
        <x:v>evidence</x:v>
      </x:c>
      <x:c r="C441" s="59" t="str">
        <x:v>[]</x:v>
      </x:c>
    </x:row>
    <x:row r="442" ht="30" customHeight="1">
      <x:c r="A442" s="59" t="str">
        <x:v>ENERGA_PLAN</x:v>
      </x:c>
      <x:c r="B442" s="59" t="str">
        <x:v>retrieval_date</x:v>
      </x:c>
      <x:c r="C442" s="59" t="str">
        <x:v>[]</x:v>
      </x:c>
    </x:row>
    <x:row r="443" ht="30" customHeight="1">
      <x:c r="A443" s="59" t="str">
        <x:v>ENEA_PIPELINE</x:v>
      </x:c>
      <x:c r="B443" s="59" t="str">
        <x:v>country</x:v>
      </x:c>
      <x:c r="C443" s="59" t="str">
        <x:v>PL</x:v>
      </x:c>
    </x:row>
    <x:row r="444" ht="30" customHeight="1">
      <x:c r="A444" s="59" t="str">
        <x:v>ENEA_PIPELINE</x:v>
      </x:c>
      <x:c r="B444" s="59" t="str">
        <x:v>geographical_scope</x:v>
      </x:c>
      <x:c r="C444" s="59" t="str">
        <x:v>Zakres publikacji danego operatora/instytucji; nie założono pełnego pokrycia kraju.</x:v>
      </x:c>
    </x:row>
    <x:row r="445" ht="30" customHeight="1">
      <x:c r="A445" s="59" t="str">
        <x:v>ENEA_PIPELINE</x:v>
      </x:c>
      <x:c r="B445" s="59" t="str">
        <x:v>grid_voltage</x:v>
      </x:c>
      <x:c r="C445" s="59" t="str">
        <x:v>[ "SN", "110 kV" ]</x:v>
      </x:c>
    </x:row>
    <x:row r="446" ht="30" customHeight="1">
      <x:c r="A446" s="59" t="str">
        <x:v>ENEA_PIPELINE</x:v>
      </x:c>
      <x:c r="B446" s="59" t="str">
        <x:v>api_available</x:v>
      </x:c>
      <x:c r="C446" s="59" t="str">
        <x:v>UNKNOWN</x:v>
      </x:c>
    </x:row>
    <x:row r="447" ht="30" customHeight="1">
      <x:c r="A447" s="59" t="str">
        <x:v>ENEA_PIPELINE</x:v>
      </x:c>
      <x:c r="B447" s="59" t="str">
        <x:v>gis_available</x:v>
      </x:c>
      <x:c r="C447" s="59" t="str">
        <x:v>UNKNOWN</x:v>
      </x:c>
    </x:row>
    <x:row r="448" ht="30" customHeight="1">
      <x:c r="A448" s="59" t="str">
        <x:v>ENEA_PIPELINE</x:v>
      </x:c>
      <x:c r="B448" s="59" t="str">
        <x:v>update_frequency</x:v>
      </x:c>
      <x:c r="C448" s="59" t="str">
        <x:v>UNKNOWN — nie ustalono gwarantowanego cyklu publikacji.</x:v>
      </x:c>
    </x:row>
    <x:row r="449" ht="30" customHeight="1">
      <x:c r="A449" s="59" t="str">
        <x:v>ENEA_PIPELINE</x:v>
      </x:c>
      <x:c r="B449" s="59" t="str">
        <x:v>historical_data</x:v>
      </x:c>
      <x:c r="C449" s="59" t="str">
        <x:v>UNKNOWN — własne snapshoty od 10.09.2026, jeśli zapisano próbkę.</x:v>
      </x:c>
    </x:row>
    <x:row r="450" ht="30" customHeight="1">
      <x:c r="A450" s="59" t="str">
        <x:v>ENEA_PIPELINE</x:v>
      </x:c>
      <x:c r="B450" s="59" t="str">
        <x:v>authentication</x:v>
      </x:c>
      <x:c r="C450" s="59" t="str">
        <x:v>Odczyt publicznej strony bez konta; nie dowodzi dostępu do wszystkich danych.</x:v>
      </x:c>
    </x:row>
    <x:row r="451" ht="30" customHeight="1">
      <x:c r="A451" s="59" t="str">
        <x:v>ENEA_PIPELINE</x:v>
      </x:c>
      <x:c r="B451" s="59" t="str">
        <x:v>license</x:v>
      </x:c>
      <x:c r="C451" s="59" t="str">
        <x:v>UNKNOWN — nie potwierdzono otwartej licencji wybranego zbioru.</x:v>
      </x:c>
    </x:row>
    <x:row r="452" ht="30" customHeight="1">
      <x:c r="A452" s="59" t="str">
        <x:v>ENEA_PIPELINE</x:v>
      </x:c>
      <x:c r="B452" s="59" t="str">
        <x:v>license_url</x:v>
      </x:c>
      <x:c r="C452" s="59" t="str">
        <x:v>UNKNOWN — nie ustalono</x:v>
      </x:c>
    </x:row>
    <x:row r="453" ht="30" customHeight="1">
      <x:c r="A453" s="59" t="str">
        <x:v>ENEA_PIPELINE</x:v>
      </x:c>
      <x:c r="B453" s="59" t="str">
        <x:v>commercial_use</x:v>
      </x:c>
      <x:c r="C453" s="59" t="str">
        <x:v>UNKNOWN</x:v>
      </x:c>
    </x:row>
    <x:row r="454" ht="30" customHeight="1">
      <x:c r="A454" s="59" t="str">
        <x:v>ENEA_PIPELINE</x:v>
      </x:c>
      <x:c r="B454" s="59" t="str">
        <x:v>machine_readable</x:v>
      </x:c>
      <x:c r="C454" s="59" t="str">
        <x:v>UNKNOWN</x:v>
      </x:c>
    </x:row>
    <x:row r="455" ht="30" customHeight="1">
      <x:c r="A455" s="59" t="str">
        <x:v>ENEA_PIPELINE</x:v>
      </x:c>
      <x:c r="B455" s="59" t="str">
        <x:v>scraping_required</x:v>
      </x:c>
      <x:c r="C455" s="59" t="str">
        <x:v>HTML_LINK_DISCOVERY_ONLY</x:v>
      </x:c>
    </x:row>
    <x:row r="456" ht="30" customHeight="1">
      <x:c r="A456" s="59" t="str">
        <x:v>ENEA_PIPELINE</x:v>
      </x:c>
      <x:c r="B456" s="59" t="str">
        <x:v>data_quality_score</x:v>
      </x:c>
      <x:c r="C456" s="59" t="str">
        <x:v>UNKNOWN — nie ustalono</x:v>
      </x:c>
    </x:row>
    <x:row r="457" ht="30" customHeight="1">
      <x:c r="A457" s="59" t="str">
        <x:v>ENEA_PIPELINE</x:v>
      </x:c>
      <x:c r="B457" s="59" t="str">
        <x:v>quality_score_status</x:v>
      </x:c>
      <x:c r="C457" s="59" t="str">
        <x:v>NOT_CALIBRATED — autorytet źródła nie jest procentem kompletności lub trafności.</x:v>
      </x:c>
    </x:row>
    <x:row r="458" ht="30" customHeight="1">
      <x:c r="A458" s="59" t="str">
        <x:v>ENEA_PIPELINE</x:v>
      </x:c>
      <x:c r="B458" s="59" t="str">
        <x:v>last_verified</x:v>
      </x:c>
      <x:c r="C458" s="60" t="n">
        <x:v>46275</x:v>
      </x:c>
    </x:row>
    <x:row r="459" ht="30" customHeight="1">
      <x:c r="A459" s="59" t="str">
        <x:v>ENEA_PIPELINE</x:v>
      </x:c>
      <x:c r="B459" s="59" t="str">
        <x:v>last_successful_verification</x:v>
      </x:c>
      <x:c r="C459" s="60" t="n">
        <x:v>46275</x:v>
      </x:c>
    </x:row>
    <x:row r="460" ht="30" customHeight="1">
      <x:c r="A460" s="59" t="str">
        <x:v>ENEA_PIPELINE</x:v>
      </x:c>
      <x:c r="B460" s="59" t="str">
        <x:v>source_date</x:v>
      </x:c>
      <x:c r="C460" s="59" t="str">
        <x:v>UNKNOWN — nie ustalono</x:v>
      </x:c>
    </x:row>
    <x:row r="461" ht="30" customHeight="1">
      <x:c r="A461" s="59" t="str">
        <x:v>ENEA_PIPELINE</x:v>
      </x:c>
      <x:c r="B461" s="59" t="str">
        <x:v>publication_date</x:v>
      </x:c>
      <x:c r="C461" s="59" t="str">
        <x:v>UNKNOWN — nie ustalono</x:v>
      </x:c>
    </x:row>
    <x:row r="462" ht="30" customHeight="1">
      <x:c r="A462" s="59" t="str">
        <x:v>ENEA_PIPELINE</x:v>
      </x:c>
      <x:c r="B462" s="59" t="str">
        <x:v>source_version</x:v>
      </x:c>
      <x:c r="C462" s="59" t="str">
        <x:v>UNKNOWN — nie ustalono</x:v>
      </x:c>
    </x:row>
    <x:row r="463" ht="30" customHeight="1">
      <x:c r="A463" s="59" t="str">
        <x:v>ENEA_PIPELINE</x:v>
      </x:c>
      <x:c r="B463" s="59" t="str">
        <x:v>source_page</x:v>
      </x:c>
      <x:c r="C463" s="59" t="str">
        <x:v>UNKNOWN — nie ustalono</x:v>
      </x:c>
    </x:row>
    <x:row r="464" ht="30" customHeight="1">
      <x:c r="A464" s="59" t="str">
        <x:v>ENEA_PIPELINE</x:v>
      </x:c>
      <x:c r="B464" s="59" t="str">
        <x:v>valid_from</x:v>
      </x:c>
      <x:c r="C464" s="59" t="str">
        <x:v>UNKNOWN — nie ustalono</x:v>
      </x:c>
    </x:row>
    <x:row r="465" ht="30" customHeight="1">
      <x:c r="A465" s="59" t="str">
        <x:v>ENEA_PIPELINE</x:v>
      </x:c>
      <x:c r="B465" s="59" t="str">
        <x:v>valid_to</x:v>
      </x:c>
      <x:c r="C465" s="59" t="str">
        <x:v>UNKNOWN — nie ustalono</x:v>
      </x:c>
    </x:row>
    <x:row r="466" ht="30" customHeight="1">
      <x:c r="A466" s="59" t="str">
        <x:v>ENEA_PIPELINE</x:v>
      </x:c>
      <x:c r="B466" s="59" t="str">
        <x:v>current_future_scope</x:v>
      </x:c>
      <x:c r="C466" s="59" t="str">
        <x:v>SOURCE_DEPENDENT</x:v>
      </x:c>
    </x:row>
    <x:row r="467" ht="30" customHeight="1">
      <x:c r="A467" s="59" t="str">
        <x:v>ENEA_PIPELINE</x:v>
      </x:c>
      <x:c r="B467" s="59" t="str">
        <x:v>value_classification_default</x:v>
      </x:c>
      <x:c r="C467" s="59" t="str">
        <x:v>REPORTED</x:v>
      </x:c>
    </x:row>
    <x:row r="468" ht="38" customHeight="1">
      <x:c r="A468" s="59" t="str">
        <x:v>ENEA_PIPELINE</x:v>
      </x:c>
      <x:c r="B468" s="59" t="str">
        <x:v>automation_notes</x:v>
      </x:c>
      <x:c r="C468" s="59" t="str">
        <x:v>Jednorazowy przegląd; brak zgody na stały scraper wynikającej z samego dostępu. Sprawdzić warunki, robots.txt i limity przed wdrożeniem.</x:v>
      </x:c>
    </x:row>
    <x:row r="469" ht="30" customHeight="1">
      <x:c r="A469" s="59" t="str">
        <x:v>ENEA_PIPELINE</x:v>
      </x:c>
      <x:c r="B469" s="59" t="str">
        <x:v>probe_ids</x:v>
      </x:c>
      <x:c r="C469" s="59" t="str">
        <x:v>[ "ENEA_PIPELINE_HTML" ]</x:v>
      </x:c>
    </x:row>
    <x:row r="470" ht="30" customHeight="1">
      <x:c r="A470" s="59" t="str">
        <x:v>ENEA_PIPELINE</x:v>
      </x:c>
      <x:c r="B470" s="59" t="str">
        <x:v>related_urls</x:v>
      </x:c>
      <x:c r="C470" s="59" t="str">
        <x:v>[]</x:v>
      </x:c>
    </x:row>
    <x:row r="471" ht="30" customHeight="1">
      <x:c r="A471" s="59" t="str">
        <x:v>ENEA_PIPELINE</x:v>
      </x:c>
      <x:c r="B471" s="59" t="str">
        <x:v>source_id</x:v>
      </x:c>
      <x:c r="C471" s="59" t="str">
        <x:v>ENEA_PIPELINE</x:v>
      </x:c>
    </x:row>
    <x:row r="472" ht="30" customHeight="1">
      <x:c r="A472" s="59" t="str">
        <x:v>ENEA_PIPELINE</x:v>
      </x:c>
      <x:c r="B472" s="59" t="str">
        <x:v>operator</x:v>
      </x:c>
      <x:c r="C472" s="59" t="str">
        <x:v>ENEA Operator</x:v>
      </x:c>
    </x:row>
    <x:row r="473" ht="30" customHeight="1">
      <x:c r="A473" s="59" t="str">
        <x:v>ENEA_PIPELINE</x:v>
      </x:c>
      <x:c r="B473" s="59" t="str">
        <x:v>source_name</x:v>
      </x:c>
      <x:c r="C473" s="59" t="str">
        <x:v>Informacje o przyłączeniach i kryteria SN</x:v>
      </x:c>
    </x:row>
    <x:row r="474" ht="30" customHeight="1">
      <x:c r="A474" s="59" t="str">
        <x:v>ENEA_PIPELINE</x:v>
      </x:c>
      <x:c r="B474" s="59" t="str">
        <x:v>url</x:v>
      </x:c>
      <x:c r="C474" s="59" t="str">
        <x:v>https://www.operator.enea.pl/przylaczenie-do-sieci/informacje-o-przylaczeniach</x:v>
      </x:c>
    </x:row>
    <x:row r="475" ht="30" customHeight="1">
      <x:c r="A475" s="59" t="str">
        <x:v>ENEA_PIPELINE</x:v>
      </x:c>
      <x:c r="B475" s="59" t="str">
        <x:v>data_owner</x:v>
      </x:c>
      <x:c r="C475" s="59" t="str">
        <x:v>ENEA Operator sp. z o.o.</x:v>
      </x:c>
    </x:row>
    <x:row r="476" ht="30" customHeight="1">
      <x:c r="A476" s="59" t="str">
        <x:v>ENEA_PIPELINE</x:v>
      </x:c>
      <x:c r="B476" s="59" t="str">
        <x:v>data_category</x:v>
      </x:c>
      <x:c r="C476" s="59" t="str">
        <x:v>connection_pipeline_and_criteria</x:v>
      </x:c>
    </x:row>
    <x:row r="477" ht="30" customHeight="1">
      <x:c r="A477" s="59" t="str">
        <x:v>ENEA_PIPELINE</x:v>
      </x:c>
      <x:c r="B477" s="59" t="str">
        <x:v>data_format</x:v>
      </x:c>
      <x:c r="C477" s="59" t="str">
        <x:v>[ "HTML", "PDF" ]</x:v>
      </x:c>
    </x:row>
    <x:row r="478" ht="30" customHeight="1">
      <x:c r="A478" s="59" t="str">
        <x:v>ENEA_PIPELINE</x:v>
      </x:c>
      <x:c r="B478" s="59" t="str">
        <x:v>verification_status</x:v>
      </x:c>
      <x:c r="C478" s="59" t="str">
        <x:v>CONTENT_REVIEWED</x:v>
      </x:c>
    </x:row>
    <x:row r="479" ht="30" customHeight="1">
      <x:c r="A479" s="59" t="str">
        <x:v>ENEA_PIPELINE</x:v>
      </x:c>
      <x:c r="B479" s="59" t="str">
        <x:v>reliability</x:v>
      </x:c>
      <x:c r="C479" s="59" t="str">
        <x:v>B</x:v>
      </x:c>
    </x:row>
    <x:row r="480" ht="30" customHeight="1">
      <x:c r="A480" s="59" t="str">
        <x:v>ENEA_PIPELINE</x:v>
      </x:c>
      <x:c r="B480" s="59" t="str">
        <x:v>key_fields</x:v>
      </x:c>
      <x:c r="C480" s="59" t="str">
        <x:v>[ "wykazy podmiotów", "kryteria SN", "wybrane GPZ", "daty publikacji" ]</x:v>
      </x:c>
    </x:row>
    <x:row r="481" ht="30" customHeight="1">
      <x:c r="A481" s="59" t="str">
        <x:v>ENEA_PIPELINE</x:v>
      </x:c>
      <x:c r="B481" s="59" t="str">
        <x:v>potential_application</x:v>
      </x:c>
      <x:c r="C481" s="59" t="str">
        <x:v>Pipeline i lokalne techniczne ograniczenia SN.</x:v>
      </x:c>
    </x:row>
    <x:row r="482" ht="38" customHeight="1">
      <x:c r="A482" s="59" t="str">
        <x:v>ENEA_PIPELINE</x:v>
      </x:c>
      <x:c r="B482" s="59" t="str">
        <x:v>known_limitations</x:v>
      </x:c>
      <x:c r="C482" s="59" t="str">
        <x:v>[ "Nie przeprowadzono pełnego odczytu wierszy najnowszych załączników.", "Kryteria dotyczące wybranych GPZ nie są uniwersalne." ]</x:v>
      </x:c>
    </x:row>
    <x:row r="483" ht="30" customHeight="1">
      <x:c r="A483" s="59" t="str">
        <x:v>ENEA_PIPELINE</x:v>
      </x:c>
      <x:c r="B483" s="59" t="str">
        <x:v>priority</x:v>
      </x:c>
      <x:c r="C483" s="59" t="str">
        <x:v>P1</x:v>
      </x:c>
    </x:row>
    <x:row r="484" ht="80" customHeight="1">
      <x:c r="A484" s="59" t="str">
        <x:v>ENEA_PIPELINE</x:v>
      </x:c>
      <x:c r="B484" s="59" t="str">
        <x:v>evidence</x:v>
      </x:c>
      <x:c r="C484" s="59" t="str">
        <x:v>[ { "source_id": "ENEA_PIPELINE_HTML", "url": "https://www.operator.enea.pl/przylaczenie-do-sieci/informacje-o-przylaczeniach", "retrieval_date": "2026-09-10T11:19:57.8537807Z", "http_status": 200, "content_type": "text/html; charset=utf-8", "bytes": 369250, "sha256": "fc4376106902eeda779096cf56b2abad023f6180be77bb49777bcd8526da6247", "local_path": "data/raw/research/2026-09-10/enea_pipeline_landing.html", "error": null, "manifest": "data/catalog/probe_results_20260910T111959000Z.json" } ]</x:v>
      </x:c>
    </x:row>
    <x:row r="485" ht="30" customHeight="1">
      <x:c r="A485" s="59" t="str">
        <x:v>ENEA_PIPELINE</x:v>
      </x:c>
      <x:c r="B485" s="59" t="str">
        <x:v>retrieval_date</x:v>
      </x:c>
      <x:c r="C485" s="59" t="str">
        <x:v>[ "2026-09-10T11:19:57.8537807Z" ]</x:v>
      </x:c>
    </x:row>
    <x:row r="486" ht="30" customHeight="1">
      <x:c r="A486" s="59" t="str">
        <x:v>ENEA_MAP</x:v>
      </x:c>
      <x:c r="B486" s="59" t="str">
        <x:v>country</x:v>
      </x:c>
      <x:c r="C486" s="59" t="str">
        <x:v>PL</x:v>
      </x:c>
    </x:row>
    <x:row r="487" ht="30" customHeight="1">
      <x:c r="A487" s="59" t="str">
        <x:v>ENEA_MAP</x:v>
      </x:c>
      <x:c r="B487" s="59" t="str">
        <x:v>geographical_scope</x:v>
      </x:c>
      <x:c r="C487" s="59" t="str">
        <x:v>Zakres publikacji danego operatora/instytucji; nie założono pełnego pokrycia kraju.</x:v>
      </x:c>
    </x:row>
    <x:row r="488" ht="30" customHeight="1">
      <x:c r="A488" s="59" t="str">
        <x:v>ENEA_MAP</x:v>
      </x:c>
      <x:c r="B488" s="59" t="str">
        <x:v>grid_voltage</x:v>
      </x:c>
      <x:c r="C488" s="59" t="str">
        <x:v>[ "SN", "110 kV" ]</x:v>
      </x:c>
    </x:row>
    <x:row r="489" ht="30" customHeight="1">
      <x:c r="A489" s="59" t="str">
        <x:v>ENEA_MAP</x:v>
      </x:c>
      <x:c r="B489" s="59" t="str">
        <x:v>api_available</x:v>
      </x:c>
      <x:c r="C489" s="59" t="str">
        <x:v>UNKNOWN</x:v>
      </x:c>
    </x:row>
    <x:row r="490" ht="30" customHeight="1">
      <x:c r="A490" s="59" t="str">
        <x:v>ENEA_MAP</x:v>
      </x:c>
      <x:c r="B490" s="59" t="str">
        <x:v>gis_available</x:v>
      </x:c>
      <x:c r="C490" s="59" t="str">
        <x:v>VIEWER_ONLY</x:v>
      </x:c>
    </x:row>
    <x:row r="491" ht="30" customHeight="1">
      <x:c r="A491" s="59" t="str">
        <x:v>ENEA_MAP</x:v>
      </x:c>
      <x:c r="B491" s="59" t="str">
        <x:v>update_frequency</x:v>
      </x:c>
      <x:c r="C491" s="59" t="str">
        <x:v>Operator deklaruje codzienną aktualizację w komunikacie z 16.01.2026.</x:v>
      </x:c>
    </x:row>
    <x:row r="492" ht="30" customHeight="1">
      <x:c r="A492" s="59" t="str">
        <x:v>ENEA_MAP</x:v>
      </x:c>
      <x:c r="B492" s="59" t="str">
        <x:v>historical_data</x:v>
      </x:c>
      <x:c r="C492" s="59" t="str">
        <x:v>UNKNOWN — własne snapshoty od 10.09.2026, jeśli zapisano próbkę.</x:v>
      </x:c>
    </x:row>
    <x:row r="493" ht="30" customHeight="1">
      <x:c r="A493" s="59" t="str">
        <x:v>ENEA_MAP</x:v>
      </x:c>
      <x:c r="B493" s="59" t="str">
        <x:v>authentication</x:v>
      </x:c>
      <x:c r="C493" s="59" t="str">
        <x:v>Odczyt publicznej strony bez konta; nie dowodzi dostępu do wszystkich danych.</x:v>
      </x:c>
    </x:row>
    <x:row r="494" ht="30" customHeight="1">
      <x:c r="A494" s="59" t="str">
        <x:v>ENEA_MAP</x:v>
      </x:c>
      <x:c r="B494" s="59" t="str">
        <x:v>license</x:v>
      </x:c>
      <x:c r="C494" s="59" t="str">
        <x:v>UNKNOWN — nie potwierdzono otwartej licencji wybranego zbioru.</x:v>
      </x:c>
    </x:row>
    <x:row r="495" ht="30" customHeight="1">
      <x:c r="A495" s="59" t="str">
        <x:v>ENEA_MAP</x:v>
      </x:c>
      <x:c r="B495" s="59" t="str">
        <x:v>license_url</x:v>
      </x:c>
      <x:c r="C495" s="59" t="str">
        <x:v>UNKNOWN — nie ustalono</x:v>
      </x:c>
    </x:row>
    <x:row r="496" ht="30" customHeight="1">
      <x:c r="A496" s="59" t="str">
        <x:v>ENEA_MAP</x:v>
      </x:c>
      <x:c r="B496" s="59" t="str">
        <x:v>commercial_use</x:v>
      </x:c>
      <x:c r="C496" s="59" t="str">
        <x:v>UNKNOWN</x:v>
      </x:c>
    </x:row>
    <x:row r="497" ht="30" customHeight="1">
      <x:c r="A497" s="59" t="str">
        <x:v>ENEA_MAP</x:v>
      </x:c>
      <x:c r="B497" s="59" t="str">
        <x:v>machine_readable</x:v>
      </x:c>
      <x:c r="C497" s="59" t="str">
        <x:v>UNKNOWN</x:v>
      </x:c>
    </x:row>
    <x:row r="498" ht="30" customHeight="1">
      <x:c r="A498" s="59" t="str">
        <x:v>ENEA_MAP</x:v>
      </x:c>
      <x:c r="B498" s="59" t="str">
        <x:v>scraping_required</x:v>
      </x:c>
      <x:c r="C498" s="59" t="str">
        <x:v>UNKNOWN — przed scraperem preferować oficjalny plik lub API.</x:v>
      </x:c>
    </x:row>
    <x:row r="499" ht="30" customHeight="1">
      <x:c r="A499" s="59" t="str">
        <x:v>ENEA_MAP</x:v>
      </x:c>
      <x:c r="B499" s="59" t="str">
        <x:v>data_quality_score</x:v>
      </x:c>
      <x:c r="C499" s="59" t="str">
        <x:v>UNKNOWN — nie ustalono</x:v>
      </x:c>
    </x:row>
    <x:row r="500" ht="30" customHeight="1">
      <x:c r="A500" s="59" t="str">
        <x:v>ENEA_MAP</x:v>
      </x:c>
      <x:c r="B500" s="59" t="str">
        <x:v>quality_score_status</x:v>
      </x:c>
      <x:c r="C500" s="59" t="str">
        <x:v>NOT_CALIBRATED — autorytet źródła nie jest procentem kompletności lub trafności.</x:v>
      </x:c>
    </x:row>
    <x:row r="501" ht="30" customHeight="1">
      <x:c r="A501" s="59" t="str">
        <x:v>ENEA_MAP</x:v>
      </x:c>
      <x:c r="B501" s="59" t="str">
        <x:v>last_verified</x:v>
      </x:c>
      <x:c r="C501" s="60" t="n">
        <x:v>46275</x:v>
      </x:c>
    </x:row>
    <x:row r="502" ht="30" customHeight="1">
      <x:c r="A502" s="59" t="str">
        <x:v>ENEA_MAP</x:v>
      </x:c>
      <x:c r="B502" s="59" t="str">
        <x:v>last_successful_verification</x:v>
      </x:c>
      <x:c r="C502" s="60" t="n">
        <x:v>46275</x:v>
      </x:c>
    </x:row>
    <x:row r="503" ht="30" customHeight="1">
      <x:c r="A503" s="59" t="str">
        <x:v>ENEA_MAP</x:v>
      </x:c>
      <x:c r="B503" s="59" t="str">
        <x:v>source_date</x:v>
      </x:c>
      <x:c r="C503" s="59" t="str">
        <x:v>UNKNOWN — nie ustalono</x:v>
      </x:c>
    </x:row>
    <x:row r="504" ht="30" customHeight="1">
      <x:c r="A504" s="59" t="str">
        <x:v>ENEA_MAP</x:v>
      </x:c>
      <x:c r="B504" s="59" t="str">
        <x:v>publication_date</x:v>
      </x:c>
      <x:c r="C504" s="59" t="str">
        <x:v>UNKNOWN — nie ustalono</x:v>
      </x:c>
    </x:row>
    <x:row r="505" ht="30" customHeight="1">
      <x:c r="A505" s="59" t="str">
        <x:v>ENEA_MAP</x:v>
      </x:c>
      <x:c r="B505" s="59" t="str">
        <x:v>source_version</x:v>
      </x:c>
      <x:c r="C505" s="59" t="str">
        <x:v>UNKNOWN — nie ustalono</x:v>
      </x:c>
    </x:row>
    <x:row r="506" ht="30" customHeight="1">
      <x:c r="A506" s="59" t="str">
        <x:v>ENEA_MAP</x:v>
      </x:c>
      <x:c r="B506" s="59" t="str">
        <x:v>source_page</x:v>
      </x:c>
      <x:c r="C506" s="59" t="str">
        <x:v>UNKNOWN — nie ustalono</x:v>
      </x:c>
    </x:row>
    <x:row r="507" ht="30" customHeight="1">
      <x:c r="A507" s="59" t="str">
        <x:v>ENEA_MAP</x:v>
      </x:c>
      <x:c r="B507" s="59" t="str">
        <x:v>valid_from</x:v>
      </x:c>
      <x:c r="C507" s="59" t="str">
        <x:v>UNKNOWN — nie ustalono</x:v>
      </x:c>
    </x:row>
    <x:row r="508" ht="30" customHeight="1">
      <x:c r="A508" s="59" t="str">
        <x:v>ENEA_MAP</x:v>
      </x:c>
      <x:c r="B508" s="59" t="str">
        <x:v>valid_to</x:v>
      </x:c>
      <x:c r="C508" s="59" t="str">
        <x:v>UNKNOWN — nie ustalono</x:v>
      </x:c>
    </x:row>
    <x:row r="509" ht="30" customHeight="1">
      <x:c r="A509" s="59" t="str">
        <x:v>ENEA_MAP</x:v>
      </x:c>
      <x:c r="B509" s="59" t="str">
        <x:v>current_future_scope</x:v>
      </x:c>
      <x:c r="C509" s="59" t="str">
        <x:v>SOURCE_DEPENDENT</x:v>
      </x:c>
    </x:row>
    <x:row r="510" ht="30" customHeight="1">
      <x:c r="A510" s="59" t="str">
        <x:v>ENEA_MAP</x:v>
      </x:c>
      <x:c r="B510" s="59" t="str">
        <x:v>value_classification_default</x:v>
      </x:c>
      <x:c r="C510" s="59" t="str">
        <x:v>REPORTED</x:v>
      </x:c>
    </x:row>
    <x:row r="511" ht="38" customHeight="1">
      <x:c r="A511" s="59" t="str">
        <x:v>ENEA_MAP</x:v>
      </x:c>
      <x:c r="B511" s="59" t="str">
        <x:v>automation_notes</x:v>
      </x:c>
      <x:c r="C511" s="59" t="str">
        <x:v>Jednorazowy przegląd; brak zgody na stały scraper wynikającej z samego dostępu. Sprawdzić warunki, robots.txt i limity przed wdrożeniem.</x:v>
      </x:c>
    </x:row>
    <x:row r="512" ht="30" customHeight="1">
      <x:c r="A512" s="59" t="str">
        <x:v>ENEA_MAP</x:v>
      </x:c>
      <x:c r="B512" s="59" t="str">
        <x:v>probe_ids</x:v>
      </x:c>
      <x:c r="C512" s="59" t="str">
        <x:v>[ "ENEA_MAP" ]</x:v>
      </x:c>
    </x:row>
    <x:row r="513" ht="30" customHeight="1">
      <x:c r="A513" s="59" t="str">
        <x:v>ENEA_MAP</x:v>
      </x:c>
      <x:c r="B513" s="59" t="str">
        <x:v>related_urls</x:v>
      </x:c>
      <x:c r="C513" s="59" t="str">
        <x:v>[ "https://media.enea.pl/pr/863306/enea-operator-codziennie-publikuje-aktualne-dane-dotyczace-oze-dla-inwestorow" ]</x:v>
      </x:c>
    </x:row>
    <x:row r="514" ht="30" customHeight="1">
      <x:c r="A514" s="59" t="str">
        <x:v>ENEA_MAP</x:v>
      </x:c>
      <x:c r="B514" s="59" t="str">
        <x:v>source_id</x:v>
      </x:c>
      <x:c r="C514" s="59" t="str">
        <x:v>ENEA_MAP</x:v>
      </x:c>
    </x:row>
    <x:row r="515" ht="30" customHeight="1">
      <x:c r="A515" s="59" t="str">
        <x:v>ENEA_MAP</x:v>
      </x:c>
      <x:c r="B515" s="59" t="str">
        <x:v>operator</x:v>
      </x:c>
      <x:c r="C515" s="59" t="str">
        <x:v>ENEA Operator</x:v>
      </x:c>
    </x:row>
    <x:row r="516" ht="30" customHeight="1">
      <x:c r="A516" s="59" t="str">
        <x:v>ENEA_MAP</x:v>
      </x:c>
      <x:c r="B516" s="59" t="str">
        <x:v>source_name</x:v>
      </x:c>
      <x:c r="C516" s="59" t="str">
        <x:v>Mapy przyłączonych i dostępnych mocy OZE</x:v>
      </x:c>
    </x:row>
    <x:row r="517" ht="30" customHeight="1">
      <x:c r="A517" s="59" t="str">
        <x:v>ENEA_MAP</x:v>
      </x:c>
      <x:c r="B517" s="59" t="str">
        <x:v>url</x:v>
      </x:c>
      <x:c r="C517" s="59" t="str">
        <x:v>https://www.operator.enea.pl/przylaczone-i-dostepne-moce-oze</x:v>
      </x:c>
    </x:row>
    <x:row r="518" ht="30" customHeight="1">
      <x:c r="A518" s="59" t="str">
        <x:v>ENEA_MAP</x:v>
      </x:c>
      <x:c r="B518" s="59" t="str">
        <x:v>data_owner</x:v>
      </x:c>
      <x:c r="C518" s="59" t="str">
        <x:v>ENEA Operator sp. z o.o.</x:v>
      </x:c>
    </x:row>
    <x:row r="519" ht="30" customHeight="1">
      <x:c r="A519" s="59" t="str">
        <x:v>ENEA_MAP</x:v>
      </x:c>
      <x:c r="B519" s="59" t="str">
        <x:v>data_category</x:v>
      </x:c>
      <x:c r="C519" s="59" t="str">
        <x:v>connection_capacity_map</x:v>
      </x:c>
    </x:row>
    <x:row r="520" ht="30" customHeight="1">
      <x:c r="A520" s="59" t="str">
        <x:v>ENEA_MAP</x:v>
      </x:c>
      <x:c r="B520" s="59" t="str">
        <x:v>data_format</x:v>
      </x:c>
      <x:c r="C520" s="59" t="str">
        <x:v>[ "HTML", "Power BI" ]</x:v>
      </x:c>
    </x:row>
    <x:row r="521" ht="30" customHeight="1">
      <x:c r="A521" s="59" t="str">
        <x:v>ENEA_MAP</x:v>
      </x:c>
      <x:c r="B521" s="59" t="str">
        <x:v>verification_status</x:v>
      </x:c>
      <x:c r="C521" s="59" t="str">
        <x:v>CONTENT_REVIEWED</x:v>
      </x:c>
    </x:row>
    <x:row r="522" ht="30" customHeight="1">
      <x:c r="A522" s="59" t="str">
        <x:v>ENEA_MAP</x:v>
      </x:c>
      <x:c r="B522" s="59" t="str">
        <x:v>reliability</x:v>
      </x:c>
      <x:c r="C522" s="59" t="str">
        <x:v>B</x:v>
      </x:c>
    </x:row>
    <x:row r="523" ht="30" customHeight="1">
      <x:c r="A523" s="59" t="str">
        <x:v>ENEA_MAP</x:v>
      </x:c>
      <x:c r="B523" s="59" t="str">
        <x:v>key_fields</x:v>
      </x:c>
      <x:c r="C523" s="59" t="str">
        <x:v>[ "lokalizacja", "obszar", "moce OZE" ]</x:v>
      </x:c>
    </x:row>
    <x:row r="524" ht="30" customHeight="1">
      <x:c r="A524" s="59" t="str">
        <x:v>ENEA_MAP</x:v>
      </x:c>
      <x:c r="B524" s="59" t="str">
        <x:v>potential_application</x:v>
      </x:c>
      <x:c r="C524" s="59" t="str">
        <x:v>Eksploracja i weryfikacja lokalnych kandydatów.</x:v>
      </x:c>
    </x:row>
    <x:row r="525" ht="38" customHeight="1">
      <x:c r="A525" s="59" t="str">
        <x:v>ENEA_MAP</x:v>
      </x:c>
      <x:c r="B525" s="59" t="str">
        <x:v>known_limitations</x:v>
      </x:c>
      <x:c r="C525" s="59" t="str">
        <x:v>[ "Pięć osadzeń Power BI w HTML; nie potwierdzono publicznego API, WFS lub dozwolonego eksportu całej bazy.", "Poprzednio sprawdzana ścieżka /oze/ zwróciła 404." ]</x:v>
      </x:c>
    </x:row>
    <x:row r="526" ht="30" customHeight="1">
      <x:c r="A526" s="59" t="str">
        <x:v>ENEA_MAP</x:v>
      </x:c>
      <x:c r="B526" s="59" t="str">
        <x:v>priority</x:v>
      </x:c>
      <x:c r="C526" s="59" t="str">
        <x:v>P1</x:v>
      </x:c>
    </x:row>
    <x:row r="527" ht="66" customHeight="1">
      <x:c r="A527" s="59" t="str">
        <x:v>ENEA_MAP</x:v>
      </x:c>
      <x:c r="B527" s="59" t="str">
        <x:v>evidence</x:v>
      </x:c>
      <x:c r="C527" s="59" t="str">
        <x:v>[ { "source_id": "ENEA_MAP", "url": "https://www.operator.enea.pl/przylaczone-i-dostepne-moce-oze", "retrieval_date": "2026-09-10T11:21:03.6443935Z", "http_status": 200, "content_type": "text/html; charset=utf-8", "bytes": 298632, "sha256": "0bb3e9e725d4f060cb6107c5996d0fd78e37eca94d089f42fa815f287461370c", "local_path": "data/raw/research/2026-09-10/enea_maps.html", "error": null, "manifest": "data/catalog/probe_results_20260910T112104907Z.json" } ]</x:v>
      </x:c>
    </x:row>
    <x:row r="528" ht="30" customHeight="1">
      <x:c r="A528" s="59" t="str">
        <x:v>ENEA_MAP</x:v>
      </x:c>
      <x:c r="B528" s="59" t="str">
        <x:v>retrieval_date</x:v>
      </x:c>
      <x:c r="C528" s="59" t="str">
        <x:v>[ "2026-09-10T11:21:03.6443935Z" ]</x:v>
      </x:c>
    </x:row>
    <x:row r="529" ht="30" customHeight="1">
      <x:c r="A529" s="59" t="str">
        <x:v>ENEA_PLAN</x:v>
      </x:c>
      <x:c r="B529" s="59" t="str">
        <x:v>country</x:v>
      </x:c>
      <x:c r="C529" s="59" t="str">
        <x:v>PL</x:v>
      </x:c>
    </x:row>
    <x:row r="530" ht="30" customHeight="1">
      <x:c r="A530" s="59" t="str">
        <x:v>ENEA_PLAN</x:v>
      </x:c>
      <x:c r="B530" s="59" t="str">
        <x:v>geographical_scope</x:v>
      </x:c>
      <x:c r="C530" s="59" t="str">
        <x:v>Zakres publikacji danego operatora/instytucji; nie założono pełnego pokrycia kraju.</x:v>
      </x:c>
    </x:row>
    <x:row r="531" ht="30" customHeight="1">
      <x:c r="A531" s="59" t="str">
        <x:v>ENEA_PLAN</x:v>
      </x:c>
      <x:c r="B531" s="59" t="str">
        <x:v>grid_voltage</x:v>
      </x:c>
      <x:c r="C531" s="59" t="str">
        <x:v>[ "SN", "110 kV" ]</x:v>
      </x:c>
    </x:row>
    <x:row r="532" ht="30" customHeight="1">
      <x:c r="A532" s="59" t="str">
        <x:v>ENEA_PLAN</x:v>
      </x:c>
      <x:c r="B532" s="59" t="str">
        <x:v>api_available</x:v>
      </x:c>
      <x:c r="C532" s="59" t="str">
        <x:v>UNKNOWN</x:v>
      </x:c>
    </x:row>
    <x:row r="533" ht="30" customHeight="1">
      <x:c r="A533" s="59" t="str">
        <x:v>ENEA_PLAN</x:v>
      </x:c>
      <x:c r="B533" s="59" t="str">
        <x:v>gis_available</x:v>
      </x:c>
      <x:c r="C533" s="59" t="str">
        <x:v>UNKNOWN</x:v>
      </x:c>
    </x:row>
    <x:row r="534" ht="30" customHeight="1">
      <x:c r="A534" s="59" t="str">
        <x:v>ENEA_PLAN</x:v>
      </x:c>
      <x:c r="B534" s="59" t="str">
        <x:v>update_frequency</x:v>
      </x:c>
      <x:c r="C534" s="59" t="str">
        <x:v>UNKNOWN — nie ustalono gwarantowanego cyklu publikacji.</x:v>
      </x:c>
    </x:row>
    <x:row r="535" ht="30" customHeight="1">
      <x:c r="A535" s="59" t="str">
        <x:v>ENEA_PLAN</x:v>
      </x:c>
      <x:c r="B535" s="59" t="str">
        <x:v>historical_data</x:v>
      </x:c>
      <x:c r="C535" s="59" t="str">
        <x:v>UNKNOWN — własne snapshoty od 10.09.2026, jeśli zapisano próbkę.</x:v>
      </x:c>
    </x:row>
    <x:row r="536" ht="30" customHeight="1">
      <x:c r="A536" s="59" t="str">
        <x:v>ENEA_PLAN</x:v>
      </x:c>
      <x:c r="B536" s="59" t="str">
        <x:v>authentication</x:v>
      </x:c>
      <x:c r="C536" s="59" t="str">
        <x:v>Odczyt publicznej strony bez konta; nie dowodzi dostępu do wszystkich danych.</x:v>
      </x:c>
    </x:row>
    <x:row r="537" ht="30" customHeight="1">
      <x:c r="A537" s="59" t="str">
        <x:v>ENEA_PLAN</x:v>
      </x:c>
      <x:c r="B537" s="59" t="str">
        <x:v>license</x:v>
      </x:c>
      <x:c r="C537" s="59" t="str">
        <x:v>UNKNOWN — nie potwierdzono otwartej licencji wybranego zbioru.</x:v>
      </x:c>
    </x:row>
    <x:row r="538" ht="30" customHeight="1">
      <x:c r="A538" s="59" t="str">
        <x:v>ENEA_PLAN</x:v>
      </x:c>
      <x:c r="B538" s="59" t="str">
        <x:v>license_url</x:v>
      </x:c>
      <x:c r="C538" s="59" t="str">
        <x:v>UNKNOWN — nie ustalono</x:v>
      </x:c>
    </x:row>
    <x:row r="539" ht="30" customHeight="1">
      <x:c r="A539" s="59" t="str">
        <x:v>ENEA_PLAN</x:v>
      </x:c>
      <x:c r="B539" s="59" t="str">
        <x:v>commercial_use</x:v>
      </x:c>
      <x:c r="C539" s="59" t="str">
        <x:v>UNKNOWN</x:v>
      </x:c>
    </x:row>
    <x:row r="540" ht="30" customHeight="1">
      <x:c r="A540" s="59" t="str">
        <x:v>ENEA_PLAN</x:v>
      </x:c>
      <x:c r="B540" s="59" t="str">
        <x:v>machine_readable</x:v>
      </x:c>
      <x:c r="C540" s="59" t="str">
        <x:v>UNKNOWN</x:v>
      </x:c>
    </x:row>
    <x:row r="541" ht="30" customHeight="1">
      <x:c r="A541" s="59" t="str">
        <x:v>ENEA_PLAN</x:v>
      </x:c>
      <x:c r="B541" s="59" t="str">
        <x:v>scraping_required</x:v>
      </x:c>
      <x:c r="C541" s="59" t="str">
        <x:v>UNKNOWN — przed scraperem preferować oficjalny plik lub API.</x:v>
      </x:c>
    </x:row>
    <x:row r="542" ht="30" customHeight="1">
      <x:c r="A542" s="59" t="str">
        <x:v>ENEA_PLAN</x:v>
      </x:c>
      <x:c r="B542" s="59" t="str">
        <x:v>data_quality_score</x:v>
      </x:c>
      <x:c r="C542" s="59" t="str">
        <x:v>UNKNOWN — nie ustalono</x:v>
      </x:c>
    </x:row>
    <x:row r="543" ht="30" customHeight="1">
      <x:c r="A543" s="59" t="str">
        <x:v>ENEA_PLAN</x:v>
      </x:c>
      <x:c r="B543" s="59" t="str">
        <x:v>quality_score_status</x:v>
      </x:c>
      <x:c r="C543" s="59" t="str">
        <x:v>NOT_CALIBRATED — autorytet źródła nie jest procentem kompletności lub trafności.</x:v>
      </x:c>
    </x:row>
    <x:row r="544" ht="30" customHeight="1">
      <x:c r="A544" s="59" t="str">
        <x:v>ENEA_PLAN</x:v>
      </x:c>
      <x:c r="B544" s="59" t="str">
        <x:v>last_verified</x:v>
      </x:c>
      <x:c r="C544" s="60" t="n">
        <x:v>46275</x:v>
      </x:c>
    </x:row>
    <x:row r="545" ht="30" customHeight="1">
      <x:c r="A545" s="59" t="str">
        <x:v>ENEA_PLAN</x:v>
      </x:c>
      <x:c r="B545" s="59" t="str">
        <x:v>last_successful_verification</x:v>
      </x:c>
      <x:c r="C545" s="60" t="n">
        <x:v>46275</x:v>
      </x:c>
    </x:row>
    <x:row r="546" ht="30" customHeight="1">
      <x:c r="A546" s="59" t="str">
        <x:v>ENEA_PLAN</x:v>
      </x:c>
      <x:c r="B546" s="59" t="str">
        <x:v>source_date</x:v>
      </x:c>
      <x:c r="C546" s="59" t="str">
        <x:v>UNKNOWN — nie ustalono</x:v>
      </x:c>
    </x:row>
    <x:row r="547" ht="30" customHeight="1">
      <x:c r="A547" s="59" t="str">
        <x:v>ENEA_PLAN</x:v>
      </x:c>
      <x:c r="B547" s="59" t="str">
        <x:v>publication_date</x:v>
      </x:c>
      <x:c r="C547" s="59" t="str">
        <x:v>UNKNOWN — nie ustalono</x:v>
      </x:c>
    </x:row>
    <x:row r="548" ht="30" customHeight="1">
      <x:c r="A548" s="59" t="str">
        <x:v>ENEA_PLAN</x:v>
      </x:c>
      <x:c r="B548" s="59" t="str">
        <x:v>source_version</x:v>
      </x:c>
      <x:c r="C548" s="59" t="str">
        <x:v>UNKNOWN — nie ustalono</x:v>
      </x:c>
    </x:row>
    <x:row r="549" ht="30" customHeight="1">
      <x:c r="A549" s="59" t="str">
        <x:v>ENEA_PLAN</x:v>
      </x:c>
      <x:c r="B549" s="59" t="str">
        <x:v>source_page</x:v>
      </x:c>
      <x:c r="C549" s="59" t="str">
        <x:v>UNKNOWN — nie ustalono</x:v>
      </x:c>
    </x:row>
    <x:row r="550" ht="30" customHeight="1">
      <x:c r="A550" s="59" t="str">
        <x:v>ENEA_PLAN</x:v>
      </x:c>
      <x:c r="B550" s="59" t="str">
        <x:v>valid_from</x:v>
      </x:c>
      <x:c r="C550" s="59" t="str">
        <x:v>UNKNOWN — nie ustalono</x:v>
      </x:c>
    </x:row>
    <x:row r="551" ht="30" customHeight="1">
      <x:c r="A551" s="59" t="str">
        <x:v>ENEA_PLAN</x:v>
      </x:c>
      <x:c r="B551" s="59" t="str">
        <x:v>valid_to</x:v>
      </x:c>
      <x:c r="C551" s="59" t="str">
        <x:v>UNKNOWN — nie ustalono</x:v>
      </x:c>
    </x:row>
    <x:row r="552" ht="30" customHeight="1">
      <x:c r="A552" s="59" t="str">
        <x:v>ENEA_PLAN</x:v>
      </x:c>
      <x:c r="B552" s="59" t="str">
        <x:v>current_future_scope</x:v>
      </x:c>
      <x:c r="C552" s="59" t="str">
        <x:v>FUTURE_GRID</x:v>
      </x:c>
    </x:row>
    <x:row r="553" ht="30" customHeight="1">
      <x:c r="A553" s="59" t="str">
        <x:v>ENEA_PLAN</x:v>
      </x:c>
      <x:c r="B553" s="59" t="str">
        <x:v>value_classification_default</x:v>
      </x:c>
      <x:c r="C553" s="59" t="str">
        <x:v>REPORTED</x:v>
      </x:c>
    </x:row>
    <x:row r="554" ht="38" customHeight="1">
      <x:c r="A554" s="59" t="str">
        <x:v>ENEA_PLAN</x:v>
      </x:c>
      <x:c r="B554" s="59" t="str">
        <x:v>automation_notes</x:v>
      </x:c>
      <x:c r="C554" s="59" t="str">
        <x:v>Jednorazowy przegląd; brak zgody na stały scraper wynikającej z samego dostępu. Sprawdzić warunki, robots.txt i limity przed wdrożeniem.</x:v>
      </x:c>
    </x:row>
    <x:row r="555" ht="30" customHeight="1">
      <x:c r="A555" s="59" t="str">
        <x:v>ENEA_PLAN</x:v>
      </x:c>
      <x:c r="B555" s="59" t="str">
        <x:v>probe_ids</x:v>
      </x:c>
      <x:c r="C555" s="59" t="str">
        <x:v>[ "ENEA_PLAN" ]</x:v>
      </x:c>
    </x:row>
    <x:row r="556" ht="30" customHeight="1">
      <x:c r="A556" s="59" t="str">
        <x:v>ENEA_PLAN</x:v>
      </x:c>
      <x:c r="B556" s="59" t="str">
        <x:v>related_urls</x:v>
      </x:c>
      <x:c r="C556" s="59" t="str">
        <x:v>[ "https://www.operator.enea.pl/media/4501/inwestycje/plan-rozwoju-enea-operator-na-lata-2026-2031pdf.pdf" ]</x:v>
      </x:c>
    </x:row>
    <x:row r="557" ht="30" customHeight="1">
      <x:c r="A557" s="59" t="str">
        <x:v>ENEA_PLAN</x:v>
      </x:c>
      <x:c r="B557" s="59" t="str">
        <x:v>source_id</x:v>
      </x:c>
      <x:c r="C557" s="59" t="str">
        <x:v>ENEA_PLAN</x:v>
      </x:c>
    </x:row>
    <x:row r="558" ht="30" customHeight="1">
      <x:c r="A558" s="59" t="str">
        <x:v>ENEA_PLAN</x:v>
      </x:c>
      <x:c r="B558" s="59" t="str">
        <x:v>operator</x:v>
      </x:c>
      <x:c r="C558" s="59" t="str">
        <x:v>ENEA Operator</x:v>
      </x:c>
    </x:row>
    <x:row r="559" ht="30" customHeight="1">
      <x:c r="A559" s="59" t="str">
        <x:v>ENEA_PLAN</x:v>
      </x:c>
      <x:c r="B559" s="59" t="str">
        <x:v>source_name</x:v>
      </x:c>
      <x:c r="C559" s="59" t="str">
        <x:v>Plan rozwoju 2026–2031</x:v>
      </x:c>
    </x:row>
    <x:row r="560" ht="30" customHeight="1">
      <x:c r="A560" s="59" t="str">
        <x:v>ENEA_PLAN</x:v>
      </x:c>
      <x:c r="B560" s="59" t="str">
        <x:v>url</x:v>
      </x:c>
      <x:c r="C560" s="59" t="str">
        <x:v>https://www.operator.enea.pl/plan-rozwoju-enea-operator-na-lata-2026-2031</x:v>
      </x:c>
    </x:row>
    <x:row r="561" ht="30" customHeight="1">
      <x:c r="A561" s="59" t="str">
        <x:v>ENEA_PLAN</x:v>
      </x:c>
      <x:c r="B561" s="59" t="str">
        <x:v>data_owner</x:v>
      </x:c>
      <x:c r="C561" s="59" t="str">
        <x:v>ENEA Operator sp. z o.o.</x:v>
      </x:c>
    </x:row>
    <x:row r="562" ht="30" customHeight="1">
      <x:c r="A562" s="59" t="str">
        <x:v>ENEA_PLAN</x:v>
      </x:c>
      <x:c r="B562" s="59" t="str">
        <x:v>data_category</x:v>
      </x:c>
      <x:c r="C562" s="59" t="str">
        <x:v>grid_investments</x:v>
      </x:c>
    </x:row>
    <x:row r="563" ht="30" customHeight="1">
      <x:c r="A563" s="59" t="str">
        <x:v>ENEA_PLAN</x:v>
      </x:c>
      <x:c r="B563" s="59" t="str">
        <x:v>data_format</x:v>
      </x:c>
      <x:c r="C563" s="59" t="str">
        <x:v>[ "HTML", "PDF" ]</x:v>
      </x:c>
    </x:row>
    <x:row r="564" ht="30" customHeight="1">
      <x:c r="A564" s="59" t="str">
        <x:v>ENEA_PLAN</x:v>
      </x:c>
      <x:c r="B564" s="59" t="str">
        <x:v>verification_status</x:v>
      </x:c>
      <x:c r="C564" s="59" t="str">
        <x:v>CONTENT_REVIEWED</x:v>
      </x:c>
    </x:row>
    <x:row r="565" ht="30" customHeight="1">
      <x:c r="A565" s="59" t="str">
        <x:v>ENEA_PLAN</x:v>
      </x:c>
      <x:c r="B565" s="59" t="str">
        <x:v>reliability</x:v>
      </x:c>
      <x:c r="C565" s="59" t="str">
        <x:v>B</x:v>
      </x:c>
    </x:row>
    <x:row r="566" ht="30" customHeight="1">
      <x:c r="A566" s="59" t="str">
        <x:v>ENEA_PLAN</x:v>
      </x:c>
      <x:c r="B566" s="59" t="str">
        <x:v>key_fields</x:v>
      </x:c>
      <x:c r="C566" s="59" t="str">
        <x:v>[ "inwestycja", "okres", "status uzgodnienia" ]</x:v>
      </x:c>
    </x:row>
    <x:row r="567" ht="30" customHeight="1">
      <x:c r="A567" s="59" t="str">
        <x:v>ENEA_PLAN</x:v>
      </x:c>
      <x:c r="B567" s="59" t="str">
        <x:v>potential_application</x:v>
      </x:c>
      <x:c r="C567" s="59" t="str">
        <x:v>Planowane wzmocnienia.</x:v>
      </x:c>
    </x:row>
    <x:row r="568" ht="30" customHeight="1">
      <x:c r="A568" s="59" t="str">
        <x:v>ENEA_PLAN</x:v>
      </x:c>
      <x:c r="B568" s="59" t="str">
        <x:v>known_limitations</x:v>
      </x:c>
      <x:c r="C568" s="59" t="str">
        <x:v>[ "Nie potwierdza oddania do ruchu." ]</x:v>
      </x:c>
    </x:row>
    <x:row r="569" ht="30" customHeight="1">
      <x:c r="A569" s="59" t="str">
        <x:v>ENEA_PLAN</x:v>
      </x:c>
      <x:c r="B569" s="59" t="str">
        <x:v>priority</x:v>
      </x:c>
      <x:c r="C569" s="59" t="str">
        <x:v>P1</x:v>
      </x:c>
    </x:row>
    <x:row r="570" ht="80" customHeight="1">
      <x:c r="A570" s="59" t="str">
        <x:v>ENEA_PLAN</x:v>
      </x:c>
      <x:c r="B570" s="59" t="str">
        <x:v>evidence</x:v>
      </x:c>
      <x:c r="C570" s="59" t="str">
        <x:v>[ { "source_id": "ENEA_PLAN", "url": "https://www.operator.enea.pl/plan-rozwoju-enea-operator-na-lata-2026-2031", "retrieval_date": "2026-09-10T11:21:03.8528543Z", "http_status": 200, "content_type": "text/html; charset=utf-8", "bytes": 282539, "sha256": "63205797c3b2033038582048e836a879af9ced663fd7870296f2cd3b37e4ef5c", "local_path": "data/raw/research/2026-09-10/enea_plan_landing.html", "error": null, "manifest": "data/catalog/probe_results_20260910T112104907Z.json" } ]</x:v>
      </x:c>
    </x:row>
    <x:row r="571" ht="30" customHeight="1">
      <x:c r="A571" s="59" t="str">
        <x:v>ENEA_PLAN</x:v>
      </x:c>
      <x:c r="B571" s="59" t="str">
        <x:v>retrieval_date</x:v>
      </x:c>
      <x:c r="C571" s="59" t="str">
        <x:v>[ "2026-09-10T11:21:03.8528543Z" ]</x:v>
      </x:c>
    </x:row>
    <x:row r="572" ht="30" customHeight="1">
      <x:c r="A572" s="59" t="str">
        <x:v>TAURON_PIPELINE</x:v>
      </x:c>
      <x:c r="B572" s="59" t="str">
        <x:v>country</x:v>
      </x:c>
      <x:c r="C572" s="59" t="str">
        <x:v>PL</x:v>
      </x:c>
    </x:row>
    <x:row r="573" ht="30" customHeight="1">
      <x:c r="A573" s="59" t="str">
        <x:v>TAURON_PIPELINE</x:v>
      </x:c>
      <x:c r="B573" s="59" t="str">
        <x:v>geographical_scope</x:v>
      </x:c>
      <x:c r="C573" s="59" t="str">
        <x:v>Zakres publikacji danego operatora/instytucji; nie założono pełnego pokrycia kraju.</x:v>
      </x:c>
    </x:row>
    <x:row r="574" ht="30" customHeight="1">
      <x:c r="A574" s="59" t="str">
        <x:v>TAURON_PIPELINE</x:v>
      </x:c>
      <x:c r="B574" s="59" t="str">
        <x:v>grid_voltage</x:v>
      </x:c>
      <x:c r="C574" s="59" t="str">
        <x:v>[ "SN", "110 kV" ]</x:v>
      </x:c>
    </x:row>
    <x:row r="575" ht="30" customHeight="1">
      <x:c r="A575" s="59" t="str">
        <x:v>TAURON_PIPELINE</x:v>
      </x:c>
      <x:c r="B575" s="59" t="str">
        <x:v>api_available</x:v>
      </x:c>
      <x:c r="C575" s="59" t="str">
        <x:v>UNKNOWN</x:v>
      </x:c>
    </x:row>
    <x:row r="576" ht="30" customHeight="1">
      <x:c r="A576" s="59" t="str">
        <x:v>TAURON_PIPELINE</x:v>
      </x:c>
      <x:c r="B576" s="59" t="str">
        <x:v>gis_available</x:v>
      </x:c>
      <x:c r="C576" s="59" t="str">
        <x:v>UNKNOWN</x:v>
      </x:c>
    </x:row>
    <x:row r="577" ht="30" customHeight="1">
      <x:c r="A577" s="59" t="str">
        <x:v>TAURON_PIPELINE</x:v>
      </x:c>
      <x:c r="B577" s="59" t="str">
        <x:v>update_frequency</x:v>
      </x:c>
      <x:c r="C577" s="59" t="str">
        <x:v>UNKNOWN — nie ustalono gwarantowanego cyklu publikacji.</x:v>
      </x:c>
    </x:row>
    <x:row r="578" ht="30" customHeight="1">
      <x:c r="A578" s="59" t="str">
        <x:v>TAURON_PIPELINE</x:v>
      </x:c>
      <x:c r="B578" s="59" t="str">
        <x:v>historical_data</x:v>
      </x:c>
      <x:c r="C578" s="59" t="str">
        <x:v>UNKNOWN — własne snapshoty od 10.09.2026, jeśli zapisano próbkę.</x:v>
      </x:c>
    </x:row>
    <x:row r="579" ht="30" customHeight="1">
      <x:c r="A579" s="59" t="str">
        <x:v>TAURON_PIPELINE</x:v>
      </x:c>
      <x:c r="B579" s="59" t="str">
        <x:v>authentication</x:v>
      </x:c>
      <x:c r="C579" s="59" t="str">
        <x:v>Odczyt publicznej strony bez konta; nie dowodzi dostępu do wszystkich danych.</x:v>
      </x:c>
    </x:row>
    <x:row r="580" ht="30" customHeight="1">
      <x:c r="A580" s="59" t="str">
        <x:v>TAURON_PIPELINE</x:v>
      </x:c>
      <x:c r="B580" s="59" t="str">
        <x:v>license</x:v>
      </x:c>
      <x:c r="C580" s="59" t="str">
        <x:v>UNKNOWN — nie potwierdzono otwartej licencji wybranego zbioru.</x:v>
      </x:c>
    </x:row>
    <x:row r="581" ht="30" customHeight="1">
      <x:c r="A581" s="59" t="str">
        <x:v>TAURON_PIPELINE</x:v>
      </x:c>
      <x:c r="B581" s="59" t="str">
        <x:v>license_url</x:v>
      </x:c>
      <x:c r="C581" s="59" t="str">
        <x:v>UNKNOWN — nie ustalono</x:v>
      </x:c>
    </x:row>
    <x:row r="582" ht="30" customHeight="1">
      <x:c r="A582" s="59" t="str">
        <x:v>TAURON_PIPELINE</x:v>
      </x:c>
      <x:c r="B582" s="59" t="str">
        <x:v>commercial_use</x:v>
      </x:c>
      <x:c r="C582" s="59" t="str">
        <x:v>UNKNOWN</x:v>
      </x:c>
    </x:row>
    <x:row r="583" ht="30" customHeight="1">
      <x:c r="A583" s="59" t="str">
        <x:v>TAURON_PIPELINE</x:v>
      </x:c>
      <x:c r="B583" s="59" t="str">
        <x:v>machine_readable</x:v>
      </x:c>
      <x:c r="C583" s="59" t="str">
        <x:v>PARTIAL</x:v>
      </x:c>
    </x:row>
    <x:row r="584" ht="30" customHeight="1">
      <x:c r="A584" s="59" t="str">
        <x:v>TAURON_PIPELINE</x:v>
      </x:c>
      <x:c r="B584" s="59" t="str">
        <x:v>scraping_required</x:v>
      </x:c>
      <x:c r="C584" s="59" t="str">
        <x:v>UNKNOWN — przed scraperem preferować oficjalny plik lub API.</x:v>
      </x:c>
    </x:row>
    <x:row r="585" ht="30" customHeight="1">
      <x:c r="A585" s="59" t="str">
        <x:v>TAURON_PIPELINE</x:v>
      </x:c>
      <x:c r="B585" s="59" t="str">
        <x:v>data_quality_score</x:v>
      </x:c>
      <x:c r="C585" s="59" t="str">
        <x:v>UNKNOWN — nie ustalono</x:v>
      </x:c>
    </x:row>
    <x:row r="586" ht="30" customHeight="1">
      <x:c r="A586" s="59" t="str">
        <x:v>TAURON_PIPELINE</x:v>
      </x:c>
      <x:c r="B586" s="59" t="str">
        <x:v>quality_score_status</x:v>
      </x:c>
      <x:c r="C586" s="59" t="str">
        <x:v>NOT_CALIBRATED — autorytet źródła nie jest procentem kompletności lub trafności.</x:v>
      </x:c>
    </x:row>
    <x:row r="587" ht="30" customHeight="1">
      <x:c r="A587" s="59" t="str">
        <x:v>TAURON_PIPELINE</x:v>
      </x:c>
      <x:c r="B587" s="59" t="str">
        <x:v>last_verified</x:v>
      </x:c>
      <x:c r="C587" s="60" t="n">
        <x:v>46275</x:v>
      </x:c>
    </x:row>
    <x:row r="588" ht="30" customHeight="1">
      <x:c r="A588" s="59" t="str">
        <x:v>TAURON_PIPELINE</x:v>
      </x:c>
      <x:c r="B588" s="59" t="str">
        <x:v>last_successful_verification</x:v>
      </x:c>
      <x:c r="C588" s="60" t="n">
        <x:v>46275</x:v>
      </x:c>
    </x:row>
    <x:row r="589" ht="30" customHeight="1">
      <x:c r="A589" s="59" t="str">
        <x:v>TAURON_PIPELINE</x:v>
      </x:c>
      <x:c r="B589" s="59" t="str">
        <x:v>source_date</x:v>
      </x:c>
      <x:c r="C589" s="59" t="str">
        <x:v>UNKNOWN — nie ustalono</x:v>
      </x:c>
    </x:row>
    <x:row r="590" ht="30" customHeight="1">
      <x:c r="A590" s="59" t="str">
        <x:v>TAURON_PIPELINE</x:v>
      </x:c>
      <x:c r="B590" s="59" t="str">
        <x:v>publication_date</x:v>
      </x:c>
      <x:c r="C590" s="60" t="n">
        <x:v>46265</x:v>
      </x:c>
    </x:row>
    <x:row r="591" ht="30" customHeight="1">
      <x:c r="A591" s="59" t="str">
        <x:v>TAURON_PIPELINE</x:v>
      </x:c>
      <x:c r="B591" s="59" t="str">
        <x:v>source_version</x:v>
      </x:c>
      <x:c r="C591" s="59" t="str">
        <x:v>UNKNOWN — nie ustalono</x:v>
      </x:c>
    </x:row>
    <x:row r="592" ht="30" customHeight="1">
      <x:c r="A592" s="59" t="str">
        <x:v>TAURON_PIPELINE</x:v>
      </x:c>
      <x:c r="B592" s="59" t="str">
        <x:v>source_page</x:v>
      </x:c>
      <x:c r="C592" s="59" t="str">
        <x:v>UNKNOWN — nie ustalono</x:v>
      </x:c>
    </x:row>
    <x:row r="593" ht="30" customHeight="1">
      <x:c r="A593" s="59" t="str">
        <x:v>TAURON_PIPELINE</x:v>
      </x:c>
      <x:c r="B593" s="59" t="str">
        <x:v>valid_from</x:v>
      </x:c>
      <x:c r="C593" s="59" t="str">
        <x:v>UNKNOWN — nie ustalono</x:v>
      </x:c>
    </x:row>
    <x:row r="594" ht="30" customHeight="1">
      <x:c r="A594" s="59" t="str">
        <x:v>TAURON_PIPELINE</x:v>
      </x:c>
      <x:c r="B594" s="59" t="str">
        <x:v>valid_to</x:v>
      </x:c>
      <x:c r="C594" s="59" t="str">
        <x:v>UNKNOWN — nie ustalono</x:v>
      </x:c>
    </x:row>
    <x:row r="595" ht="30" customHeight="1">
      <x:c r="A595" s="59" t="str">
        <x:v>TAURON_PIPELINE</x:v>
      </x:c>
      <x:c r="B595" s="59" t="str">
        <x:v>current_future_scope</x:v>
      </x:c>
      <x:c r="C595" s="59" t="str">
        <x:v>SOURCE_DEPENDENT</x:v>
      </x:c>
    </x:row>
    <x:row r="596" ht="30" customHeight="1">
      <x:c r="A596" s="59" t="str">
        <x:v>TAURON_PIPELINE</x:v>
      </x:c>
      <x:c r="B596" s="59" t="str">
        <x:v>value_classification_default</x:v>
      </x:c>
      <x:c r="C596" s="59" t="str">
        <x:v>REPORTED</x:v>
      </x:c>
    </x:row>
    <x:row r="597" ht="38" customHeight="1">
      <x:c r="A597" s="59" t="str">
        <x:v>TAURON_PIPELINE</x:v>
      </x:c>
      <x:c r="B597" s="59" t="str">
        <x:v>automation_notes</x:v>
      </x:c>
      <x:c r="C597" s="59" t="str">
        <x:v>Jednorazowy przegląd; brak zgody na stały scraper wynikającej z samego dostępu. Sprawdzić warunki, robots.txt i limity przed wdrożeniem.</x:v>
      </x:c>
    </x:row>
    <x:row r="598" ht="30" customHeight="1">
      <x:c r="A598" s="59" t="str">
        <x:v>TAURON_PIPELINE</x:v>
      </x:c>
      <x:c r="B598" s="59" t="str">
        <x:v>probe_ids</x:v>
      </x:c>
      <x:c r="C598" s="59" t="str">
        <x:v>[ "TAURON_PIPELINE_PDF", "TAURON_PIPELINE" ]</x:v>
      </x:c>
    </x:row>
    <x:row r="599" ht="30" customHeight="1">
      <x:c r="A599" s="59" t="str">
        <x:v>TAURON_PIPELINE</x:v>
      </x:c>
      <x:c r="B599" s="59" t="str">
        <x:v>related_urls</x:v>
      </x:c>
      <x:c r="C599" s="59" t="str">
        <x:v>[ "https://www.tauron-dystrybucja.pl/przylaczenie-do-sieci/dostepne-moce/podmioty-ubiegajace-sie" ]</x:v>
      </x:c>
    </x:row>
    <x:row r="600" ht="30" customHeight="1">
      <x:c r="A600" s="59" t="str">
        <x:v>TAURON_PIPELINE</x:v>
      </x:c>
      <x:c r="B600" s="59" t="str">
        <x:v>source_id</x:v>
      </x:c>
      <x:c r="C600" s="59" t="str">
        <x:v>TAURON_PIPELINE</x:v>
      </x:c>
    </x:row>
    <x:row r="601" ht="30" customHeight="1">
      <x:c r="A601" s="59" t="str">
        <x:v>TAURON_PIPELINE</x:v>
      </x:c>
      <x:c r="B601" s="59" t="str">
        <x:v>operator</x:v>
      </x:c>
      <x:c r="C601" s="59" t="str">
        <x:v>TAURON Dystrybucja</x:v>
      </x:c>
    </x:row>
    <x:row r="602" ht="30" customHeight="1">
      <x:c r="A602" s="59" t="str">
        <x:v>TAURON_PIPELINE</x:v>
      </x:c>
      <x:c r="B602" s="59" t="str">
        <x:v>source_name</x:v>
      </x:c>
      <x:c r="C602" s="59" t="str">
        <x:v>Przyłączane obiekty i wydane odmowy</x:v>
      </x:c>
    </x:row>
    <x:row r="603" ht="38" customHeight="1">
      <x:c r="A603" s="59" t="str">
        <x:v>TAURON_PIPELINE</x:v>
      </x:c>
      <x:c r="B603" s="59" t="str">
        <x:v>url</x:v>
      </x:c>
      <x:c r="C603" s="59" t="str">
        <x:v>https://www.tauron-dystrybucja.pl/-/media/offer-documents/dystrybucja/przylaczenie/dostepne-moce/informacja-o-przylaczanych-obiektach-i-wydanych-odmowach.ashx</x:v>
      </x:c>
    </x:row>
    <x:row r="604" ht="30" customHeight="1">
      <x:c r="A604" s="59" t="str">
        <x:v>TAURON_PIPELINE</x:v>
      </x:c>
      <x:c r="B604" s="59" t="str">
        <x:v>data_owner</x:v>
      </x:c>
      <x:c r="C604" s="59" t="str">
        <x:v>TAURON Dystrybucja S.A.</x:v>
      </x:c>
    </x:row>
    <x:row r="605" ht="30" customHeight="1">
      <x:c r="A605" s="59" t="str">
        <x:v>TAURON_PIPELINE</x:v>
      </x:c>
      <x:c r="B605" s="59" t="str">
        <x:v>data_category</x:v>
      </x:c>
      <x:c r="C605" s="59" t="str">
        <x:v>connection_pipeline</x:v>
      </x:c>
    </x:row>
    <x:row r="606" ht="30" customHeight="1">
      <x:c r="A606" s="59" t="str">
        <x:v>TAURON_PIPELINE</x:v>
      </x:c>
      <x:c r="B606" s="59" t="str">
        <x:v>data_format</x:v>
      </x:c>
      <x:c r="C606" s="59" t="str">
        <x:v>[ "PDF" ]</x:v>
      </x:c>
    </x:row>
    <x:row r="607" ht="30" customHeight="1">
      <x:c r="A607" s="59" t="str">
        <x:v>TAURON_PIPELINE</x:v>
      </x:c>
      <x:c r="B607" s="59" t="str">
        <x:v>verification_status</x:v>
      </x:c>
      <x:c r="C607" s="59" t="str">
        <x:v>SAMPLE_VERIFIED</x:v>
      </x:c>
    </x:row>
    <x:row r="608" ht="30" customHeight="1">
      <x:c r="A608" s="59" t="str">
        <x:v>TAURON_PIPELINE</x:v>
      </x:c>
      <x:c r="B608" s="59" t="str">
        <x:v>reliability</x:v>
      </x:c>
      <x:c r="C608" s="59" t="str">
        <x:v>B</x:v>
      </x:c>
    </x:row>
    <x:row r="609" ht="30" customHeight="1">
      <x:c r="A609" s="59" t="str">
        <x:v>TAURON_PIPELINE</x:v>
      </x:c>
      <x:c r="B609" s="59" t="str">
        <x:v>key_fields</x:v>
      </x:c>
      <x:c r="C609" s="59" t="str">
        <x:v>[ "wnioskodawca", "obiekt", "miejsce przyłączenia", "moc", "status", "daty" ]</x:v>
      </x:c>
    </x:row>
    <x:row r="610" ht="30" customHeight="1">
      <x:c r="A610" s="59" t="str">
        <x:v>TAURON_PIPELINE</x:v>
      </x:c>
      <x:c r="B610" s="59" t="str">
        <x:v>potential_application</x:v>
      </x:c>
      <x:c r="C610" s="59" t="str">
        <x:v>Pipeline i odmowy; kontrola zmian.</x:v>
      </x:c>
    </x:row>
    <x:row r="611" ht="38" customHeight="1">
      <x:c r="A611" s="59" t="str">
        <x:v>TAURON_PIPELINE</x:v>
      </x:c>
      <x:c r="B611" s="59" t="str">
        <x:v>known_limitations</x:v>
      </x:c>
      <x:c r="C611" s="59" t="str">
        <x:v>[ "99 stron; nie zwalidowano wszystkich rekordów.", "W próbce anonimizacja podmiotów i nieokreślone miejsca przyłączeń." ]</x:v>
      </x:c>
    </x:row>
    <x:row r="612" ht="30" customHeight="1">
      <x:c r="A612" s="59" t="str">
        <x:v>TAURON_PIPELINE</x:v>
      </x:c>
      <x:c r="B612" s="59" t="str">
        <x:v>priority</x:v>
      </x:c>
      <x:c r="C612" s="59" t="str">
        <x:v>P1</x:v>
      </x:c>
    </x:row>
    <x:row r="613" ht="30" customHeight="1">
      <x:c r="A613" s="59" t="str">
        <x:v>TAURON_PIPELINE</x:v>
      </x:c>
      <x:c r="B613" s="59" t="str">
        <x:v>date_notes</x:v>
      </x:c>
      <x:c r="C613" s="59" t="str">
        <x:v>Data opisu publikacji na stronie; nie przypisywać automatycznie wszystkim rekordom.</x:v>
      </x:c>
    </x:row>
    <x:row r="614" ht="80" customHeight="1">
      <x:c r="A614" s="59" t="str">
        <x:v>TAURON_PIPELINE</x:v>
      </x:c>
      <x:c r="B614" s="59" t="str">
        <x:v>evidence (1/2)</x:v>
      </x:c>
      <x:c r="C614" s="59" t="str">
        <x:v>[ { "source_id": "TAURON_PIPELINE", "url": "https://www.tauron-dystrybucja.pl/przylaczenie-do-sieci/dostepne-moce/podmioty-ubiegajace-sie", "retrieval_date": "2026-09-10T11:18:12.5881143Z", "http_status": 200, "content_type": "text/html; charset=utf-8", "bytes": 97324, "sha256": "f99110f8a0b5c9eba98c160beb0c97405e33e5b36ca5e7d18b6c5af829b39f2e", "local_path": "data/raw/research/2026-09-10/tauron_pipeline_landing.html", "error": null, "manifest": "data/catalog/probe_results_20260910T111813793Z.json" }, { "source_id": "TAURON_PIPELINE_PDF", "url":</x:v>
      </x:c>
    </x:row>
    <x:row r="615" ht="80" customHeight="1">
      <x:c r="A615" s="59" t="str">
        <x:v>TAURON_PIPELINE</x:v>
      </x:c>
      <x:c r="B615" s="59" t="str">
        <x:v>evidence (2/2)</x:v>
      </x:c>
      <x:c r="C615" s="59" t="str">
        <x:v>"https://www.tauron-dystrybucja.pl/-/media/offer-documents/dystrybucja/przylaczenie/dostepne-moce/informacja-o-przylaczanych-obiektach-i-wydanych-odmowach.ashx", "retrieval_date": "2026-09-10T11:19:38.2544804Z", "http_status": 200, "content_type": "application/pdf", "bytes": 61058229, "sha256": "ce11455a2575454588fef46f711700b476ead67f4cd0b9a829b96e6698bc83b8", "local_path": "data/raw/research/2026-09-10/tauron_pipeline_retrieved_2026-09-10.pdf", "error": null, "manifest": "data/catalog/probe_results_20260910T111959000Z.json" } ]</x:v>
      </x:c>
    </x:row>
    <x:row r="616" ht="30" customHeight="1">
      <x:c r="A616" s="59" t="str">
        <x:v>TAURON_PIPELINE</x:v>
      </x:c>
      <x:c r="B616" s="59" t="str">
        <x:v>retrieval_date</x:v>
      </x:c>
      <x:c r="C616" s="59" t="str">
        <x:v>[ "2026-09-10T11:18:12.5881143Z", "2026-09-10T11:19:38.2544804Z" ]</x:v>
      </x:c>
    </x:row>
    <x:row r="617" ht="30" customHeight="1">
      <x:c r="A617" s="59" t="str">
        <x:v>TAURON_MAP</x:v>
      </x:c>
      <x:c r="B617" s="59" t="str">
        <x:v>country</x:v>
      </x:c>
      <x:c r="C617" s="59" t="str">
        <x:v>PL</x:v>
      </x:c>
    </x:row>
    <x:row r="618" ht="30" customHeight="1">
      <x:c r="A618" s="59" t="str">
        <x:v>TAURON_MAP</x:v>
      </x:c>
      <x:c r="B618" s="59" t="str">
        <x:v>geographical_scope</x:v>
      </x:c>
      <x:c r="C618" s="59" t="str">
        <x:v>Zakres publikacji danego operatora/instytucji; nie założono pełnego pokrycia kraju.</x:v>
      </x:c>
    </x:row>
    <x:row r="619" ht="30" customHeight="1">
      <x:c r="A619" s="59" t="str">
        <x:v>TAURON_MAP</x:v>
      </x:c>
      <x:c r="B619" s="59" t="str">
        <x:v>grid_voltage</x:v>
      </x:c>
      <x:c r="C619" s="59" t="str">
        <x:v>[ "SN", "110 kV" ]</x:v>
      </x:c>
    </x:row>
    <x:row r="620" ht="30" customHeight="1">
      <x:c r="A620" s="59" t="str">
        <x:v>TAURON_MAP</x:v>
      </x:c>
      <x:c r="B620" s="59" t="str">
        <x:v>api_available</x:v>
      </x:c>
      <x:c r="C620" s="59" t="str">
        <x:v>UNKNOWN</x:v>
      </x:c>
    </x:row>
    <x:row r="621" ht="30" customHeight="1">
      <x:c r="A621" s="59" t="str">
        <x:v>TAURON_MAP</x:v>
      </x:c>
      <x:c r="B621" s="59" t="str">
        <x:v>gis_available</x:v>
      </x:c>
      <x:c r="C621" s="59" t="str">
        <x:v>VIEWER_ONLY</x:v>
      </x:c>
    </x:row>
    <x:row r="622" ht="30" customHeight="1">
      <x:c r="A622" s="59" t="str">
        <x:v>TAURON_MAP</x:v>
      </x:c>
      <x:c r="B622" s="59" t="str">
        <x:v>update_frequency</x:v>
      </x:c>
      <x:c r="C622" s="59" t="str">
        <x:v>UNKNOWN — nie ustalono gwarantowanego cyklu publikacji.</x:v>
      </x:c>
    </x:row>
    <x:row r="623" ht="30" customHeight="1">
      <x:c r="A623" s="59" t="str">
        <x:v>TAURON_MAP</x:v>
      </x:c>
      <x:c r="B623" s="59" t="str">
        <x:v>historical_data</x:v>
      </x:c>
      <x:c r="C623" s="59" t="str">
        <x:v>UNKNOWN — własne snapshoty od 10.09.2026, jeśli zapisano próbkę.</x:v>
      </x:c>
    </x:row>
    <x:row r="624" ht="30" customHeight="1">
      <x:c r="A624" s="59" t="str">
        <x:v>TAURON_MAP</x:v>
      </x:c>
      <x:c r="B624" s="59" t="str">
        <x:v>authentication</x:v>
      </x:c>
      <x:c r="C624" s="59" t="str">
        <x:v>Odczyt publicznej strony bez konta; nie dowodzi dostępu do wszystkich danych.</x:v>
      </x:c>
    </x:row>
    <x:row r="625" ht="30" customHeight="1">
      <x:c r="A625" s="59" t="str">
        <x:v>TAURON_MAP</x:v>
      </x:c>
      <x:c r="B625" s="59" t="str">
        <x:v>license</x:v>
      </x:c>
      <x:c r="C625" s="59" t="str">
        <x:v>UNKNOWN — nie potwierdzono otwartej licencji wybranego zbioru.</x:v>
      </x:c>
    </x:row>
    <x:row r="626" ht="30" customHeight="1">
      <x:c r="A626" s="59" t="str">
        <x:v>TAURON_MAP</x:v>
      </x:c>
      <x:c r="B626" s="59" t="str">
        <x:v>license_url</x:v>
      </x:c>
      <x:c r="C626" s="59" t="str">
        <x:v>UNKNOWN — nie ustalono</x:v>
      </x:c>
    </x:row>
    <x:row r="627" ht="30" customHeight="1">
      <x:c r="A627" s="59" t="str">
        <x:v>TAURON_MAP</x:v>
      </x:c>
      <x:c r="B627" s="59" t="str">
        <x:v>commercial_use</x:v>
      </x:c>
      <x:c r="C627" s="59" t="str">
        <x:v>UNKNOWN</x:v>
      </x:c>
    </x:row>
    <x:row r="628" ht="30" customHeight="1">
      <x:c r="A628" s="59" t="str">
        <x:v>TAURON_MAP</x:v>
      </x:c>
      <x:c r="B628" s="59" t="str">
        <x:v>machine_readable</x:v>
      </x:c>
      <x:c r="C628" s="59" t="str">
        <x:v>UNKNOWN</x:v>
      </x:c>
    </x:row>
    <x:row r="629" ht="30" customHeight="1">
      <x:c r="A629" s="59" t="str">
        <x:v>TAURON_MAP</x:v>
      </x:c>
      <x:c r="B629" s="59" t="str">
        <x:v>scraping_required</x:v>
      </x:c>
      <x:c r="C629" s="59" t="str">
        <x:v>UNKNOWN — przed scraperem preferować oficjalny plik lub API.</x:v>
      </x:c>
    </x:row>
    <x:row r="630" ht="30" customHeight="1">
      <x:c r="A630" s="59" t="str">
        <x:v>TAURON_MAP</x:v>
      </x:c>
      <x:c r="B630" s="59" t="str">
        <x:v>data_quality_score</x:v>
      </x:c>
      <x:c r="C630" s="59" t="str">
        <x:v>UNKNOWN — nie ustalono</x:v>
      </x:c>
    </x:row>
    <x:row r="631" ht="30" customHeight="1">
      <x:c r="A631" s="59" t="str">
        <x:v>TAURON_MAP</x:v>
      </x:c>
      <x:c r="B631" s="59" t="str">
        <x:v>quality_score_status</x:v>
      </x:c>
      <x:c r="C631" s="59" t="str">
        <x:v>NOT_CALIBRATED — autorytet źródła nie jest procentem kompletności lub trafności.</x:v>
      </x:c>
    </x:row>
    <x:row r="632" ht="30" customHeight="1">
      <x:c r="A632" s="59" t="str">
        <x:v>TAURON_MAP</x:v>
      </x:c>
      <x:c r="B632" s="59" t="str">
        <x:v>last_verified</x:v>
      </x:c>
      <x:c r="C632" s="60" t="n">
        <x:v>46275</x:v>
      </x:c>
    </x:row>
    <x:row r="633" ht="30" customHeight="1">
      <x:c r="A633" s="59" t="str">
        <x:v>TAURON_MAP</x:v>
      </x:c>
      <x:c r="B633" s="59" t="str">
        <x:v>last_successful_verification</x:v>
      </x:c>
      <x:c r="C633" s="60" t="n">
        <x:v>46275</x:v>
      </x:c>
    </x:row>
    <x:row r="634" ht="30" customHeight="1">
      <x:c r="A634" s="59" t="str">
        <x:v>TAURON_MAP</x:v>
      </x:c>
      <x:c r="B634" s="59" t="str">
        <x:v>source_date</x:v>
      </x:c>
      <x:c r="C634" s="59" t="str">
        <x:v>UNKNOWN — nie ustalono</x:v>
      </x:c>
    </x:row>
    <x:row r="635" ht="30" customHeight="1">
      <x:c r="A635" s="59" t="str">
        <x:v>TAURON_MAP</x:v>
      </x:c>
      <x:c r="B635" s="59" t="str">
        <x:v>publication_date</x:v>
      </x:c>
      <x:c r="C635" s="59" t="str">
        <x:v>UNKNOWN — nie ustalono</x:v>
      </x:c>
    </x:row>
    <x:row r="636" ht="30" customHeight="1">
      <x:c r="A636" s="59" t="str">
        <x:v>TAURON_MAP</x:v>
      </x:c>
      <x:c r="B636" s="59" t="str">
        <x:v>source_version</x:v>
      </x:c>
      <x:c r="C636" s="59" t="str">
        <x:v>UNKNOWN — nie ustalono</x:v>
      </x:c>
    </x:row>
    <x:row r="637" ht="30" customHeight="1">
      <x:c r="A637" s="59" t="str">
        <x:v>TAURON_MAP</x:v>
      </x:c>
      <x:c r="B637" s="59" t="str">
        <x:v>source_page</x:v>
      </x:c>
      <x:c r="C637" s="59" t="str">
        <x:v>UNKNOWN — nie ustalono</x:v>
      </x:c>
    </x:row>
    <x:row r="638" ht="30" customHeight="1">
      <x:c r="A638" s="59" t="str">
        <x:v>TAURON_MAP</x:v>
      </x:c>
      <x:c r="B638" s="59" t="str">
        <x:v>valid_from</x:v>
      </x:c>
      <x:c r="C638" s="59" t="str">
        <x:v>UNKNOWN — nie ustalono</x:v>
      </x:c>
    </x:row>
    <x:row r="639" ht="30" customHeight="1">
      <x:c r="A639" s="59" t="str">
        <x:v>TAURON_MAP</x:v>
      </x:c>
      <x:c r="B639" s="59" t="str">
        <x:v>valid_to</x:v>
      </x:c>
      <x:c r="C639" s="59" t="str">
        <x:v>UNKNOWN — nie ustalono</x:v>
      </x:c>
    </x:row>
    <x:row r="640" ht="30" customHeight="1">
      <x:c r="A640" s="59" t="str">
        <x:v>TAURON_MAP</x:v>
      </x:c>
      <x:c r="B640" s="59" t="str">
        <x:v>current_future_scope</x:v>
      </x:c>
      <x:c r="C640" s="59" t="str">
        <x:v>SOURCE_DEPENDENT</x:v>
      </x:c>
    </x:row>
    <x:row r="641" ht="30" customHeight="1">
      <x:c r="A641" s="59" t="str">
        <x:v>TAURON_MAP</x:v>
      </x:c>
      <x:c r="B641" s="59" t="str">
        <x:v>value_classification_default</x:v>
      </x:c>
      <x:c r="C641" s="59" t="str">
        <x:v>REPORTED</x:v>
      </x:c>
    </x:row>
    <x:row r="642" ht="38" customHeight="1">
      <x:c r="A642" s="59" t="str">
        <x:v>TAURON_MAP</x:v>
      </x:c>
      <x:c r="B642" s="59" t="str">
        <x:v>automation_notes</x:v>
      </x:c>
      <x:c r="C642" s="59" t="str">
        <x:v>Jednorazowy przegląd; brak zgody na stały scraper wynikającej z samego dostępu. Sprawdzić warunki, robots.txt i limity przed wdrożeniem.</x:v>
      </x:c>
    </x:row>
    <x:row r="643" ht="30" customHeight="1">
      <x:c r="A643" s="59" t="str">
        <x:v>TAURON_MAP</x:v>
      </x:c>
      <x:c r="B643" s="59" t="str">
        <x:v>probe_ids</x:v>
      </x:c>
      <x:c r="C643" s="59" t="str">
        <x:v>[]</x:v>
      </x:c>
    </x:row>
    <x:row r="644" ht="30" customHeight="1">
      <x:c r="A644" s="59" t="str">
        <x:v>TAURON_MAP</x:v>
      </x:c>
      <x:c r="B644" s="59" t="str">
        <x:v>related_urls</x:v>
      </x:c>
      <x:c r="C644" s="59" t="str">
        <x:v>[]</x:v>
      </x:c>
    </x:row>
    <x:row r="645" ht="30" customHeight="1">
      <x:c r="A645" s="59" t="str">
        <x:v>TAURON_MAP</x:v>
      </x:c>
      <x:c r="B645" s="59" t="str">
        <x:v>source_id</x:v>
      </x:c>
      <x:c r="C645" s="59" t="str">
        <x:v>TAURON_MAP</x:v>
      </x:c>
    </x:row>
    <x:row r="646" ht="30" customHeight="1">
      <x:c r="A646" s="59" t="str">
        <x:v>TAURON_MAP</x:v>
      </x:c>
      <x:c r="B646" s="59" t="str">
        <x:v>operator</x:v>
      </x:c>
      <x:c r="C646" s="59" t="str">
        <x:v>TAURON Dystrybucja</x:v>
      </x:c>
    </x:row>
    <x:row r="647" ht="30" customHeight="1">
      <x:c r="A647" s="59" t="str">
        <x:v>TAURON_MAP</x:v>
      </x:c>
      <x:c r="B647" s="59" t="str">
        <x:v>source_name</x:v>
      </x:c>
      <x:c r="C647" s="59" t="str">
        <x:v>Portal dostępnych mocy</x:v>
      </x:c>
    </x:row>
    <x:row r="648" ht="30" customHeight="1">
      <x:c r="A648" s="59" t="str">
        <x:v>TAURON_MAP</x:v>
      </x:c>
      <x:c r="B648" s="59" t="str">
        <x:v>url</x:v>
      </x:c>
      <x:c r="C648" s="59" t="str">
        <x:v>https://dostepnemoce.tauron-dystrybucja.pl/</x:v>
      </x:c>
    </x:row>
    <x:row r="649" ht="30" customHeight="1">
      <x:c r="A649" s="59" t="str">
        <x:v>TAURON_MAP</x:v>
      </x:c>
      <x:c r="B649" s="59" t="str">
        <x:v>data_owner</x:v>
      </x:c>
      <x:c r="C649" s="59" t="str">
        <x:v>TAURON Dystrybucja S.A.</x:v>
      </x:c>
    </x:row>
    <x:row r="650" ht="30" customHeight="1">
      <x:c r="A650" s="59" t="str">
        <x:v>TAURON_MAP</x:v>
      </x:c>
      <x:c r="B650" s="59" t="str">
        <x:v>data_category</x:v>
      </x:c>
      <x:c r="C650" s="59" t="str">
        <x:v>connection_capacity_map</x:v>
      </x:c>
    </x:row>
    <x:row r="651" ht="30" customHeight="1">
      <x:c r="A651" s="59" t="str">
        <x:v>TAURON_MAP</x:v>
      </x:c>
      <x:c r="B651" s="59" t="str">
        <x:v>data_format</x:v>
      </x:c>
      <x:c r="C651" s="59" t="str">
        <x:v>[ "HTML", "web application" ]</x:v>
      </x:c>
    </x:row>
    <x:row r="652" ht="30" customHeight="1">
      <x:c r="A652" s="59" t="str">
        <x:v>TAURON_MAP</x:v>
      </x:c>
      <x:c r="B652" s="59" t="str">
        <x:v>verification_status</x:v>
      </x:c>
      <x:c r="C652" s="59" t="str">
        <x:v>CONTENT_REVIEWED</x:v>
      </x:c>
    </x:row>
    <x:row r="653" ht="30" customHeight="1">
      <x:c r="A653" s="59" t="str">
        <x:v>TAURON_MAP</x:v>
      </x:c>
      <x:c r="B653" s="59" t="str">
        <x:v>reliability</x:v>
      </x:c>
      <x:c r="C653" s="59" t="str">
        <x:v>B</x:v>
      </x:c>
    </x:row>
    <x:row r="654" ht="30" customHeight="1">
      <x:c r="A654" s="59" t="str">
        <x:v>TAURON_MAP</x:v>
      </x:c>
      <x:c r="B654" s="59" t="str">
        <x:v>key_fields</x:v>
      </x:c>
      <x:c r="C654" s="59" t="str">
        <x:v>[ "obszar", "dostępna moc", "inwestycje", "wariant" ]</x:v>
      </x:c>
    </x:row>
    <x:row r="655" ht="30" customHeight="1">
      <x:c r="A655" s="59" t="str">
        <x:v>TAURON_MAP</x:v>
      </x:c>
      <x:c r="B655" s="59" t="str">
        <x:v>potential_application</x:v>
      </x:c>
      <x:c r="C655" s="59" t="str">
        <x:v>Eksploracja opublikowanych możliwości.</x:v>
      </x:c>
    </x:row>
    <x:row r="656" ht="30" customHeight="1">
      <x:c r="A656" s="59" t="str">
        <x:v>TAURON_MAP</x:v>
      </x:c>
      <x:c r="B656" s="59" t="str">
        <x:v>known_limitations</x:v>
      </x:c>
      <x:c r="C656" s="59" t="str">
        <x:v>[ "Nie potwierdzono stabilnego otwartego API eksportu; dane wymagają interpretacji scenariusza." ]</x:v>
      </x:c>
    </x:row>
    <x:row r="657" ht="30" customHeight="1">
      <x:c r="A657" s="59" t="str">
        <x:v>TAURON_MAP</x:v>
      </x:c>
      <x:c r="B657" s="59" t="str">
        <x:v>priority</x:v>
      </x:c>
      <x:c r="C657" s="59" t="str">
        <x:v>P2</x:v>
      </x:c>
    </x:row>
    <x:row r="658" ht="30" customHeight="1">
      <x:c r="A658" s="59" t="str">
        <x:v>TAURON_MAP</x:v>
      </x:c>
      <x:c r="B658" s="59" t="str">
        <x:v>evidence</x:v>
      </x:c>
      <x:c r="C658" s="59" t="str">
        <x:v>[]</x:v>
      </x:c>
    </x:row>
    <x:row r="659" ht="30" customHeight="1">
      <x:c r="A659" s="59" t="str">
        <x:v>TAURON_MAP</x:v>
      </x:c>
      <x:c r="B659" s="59" t="str">
        <x:v>retrieval_date</x:v>
      </x:c>
      <x:c r="C659" s="59" t="str">
        <x:v>[]</x:v>
      </x:c>
    </x:row>
    <x:row r="660" ht="30" customHeight="1">
      <x:c r="A660" s="59" t="str">
        <x:v>TAURON_PLAN</x:v>
      </x:c>
      <x:c r="B660" s="59" t="str">
        <x:v>country</x:v>
      </x:c>
      <x:c r="C660" s="59" t="str">
        <x:v>PL</x:v>
      </x:c>
    </x:row>
    <x:row r="661" ht="30" customHeight="1">
      <x:c r="A661" s="59" t="str">
        <x:v>TAURON_PLAN</x:v>
      </x:c>
      <x:c r="B661" s="59" t="str">
        <x:v>geographical_scope</x:v>
      </x:c>
      <x:c r="C661" s="59" t="str">
        <x:v>Zakres publikacji danego operatora/instytucji; nie założono pełnego pokrycia kraju.</x:v>
      </x:c>
    </x:row>
    <x:row r="662" ht="30" customHeight="1">
      <x:c r="A662" s="59" t="str">
        <x:v>TAURON_PLAN</x:v>
      </x:c>
      <x:c r="B662" s="59" t="str">
        <x:v>grid_voltage</x:v>
      </x:c>
      <x:c r="C662" s="59" t="str">
        <x:v>[ "SN", "110 kV" ]</x:v>
      </x:c>
    </x:row>
    <x:row r="663" ht="30" customHeight="1">
      <x:c r="A663" s="59" t="str">
        <x:v>TAURON_PLAN</x:v>
      </x:c>
      <x:c r="B663" s="59" t="str">
        <x:v>api_available</x:v>
      </x:c>
      <x:c r="C663" s="59" t="str">
        <x:v>UNKNOWN</x:v>
      </x:c>
    </x:row>
    <x:row r="664" ht="30" customHeight="1">
      <x:c r="A664" s="59" t="str">
        <x:v>TAURON_PLAN</x:v>
      </x:c>
      <x:c r="B664" s="59" t="str">
        <x:v>gis_available</x:v>
      </x:c>
      <x:c r="C664" s="59" t="str">
        <x:v>UNKNOWN</x:v>
      </x:c>
    </x:row>
    <x:row r="665" ht="30" customHeight="1">
      <x:c r="A665" s="59" t="str">
        <x:v>TAURON_PLAN</x:v>
      </x:c>
      <x:c r="B665" s="59" t="str">
        <x:v>update_frequency</x:v>
      </x:c>
      <x:c r="C665" s="59" t="str">
        <x:v>UNKNOWN — nie ustalono gwarantowanego cyklu publikacji.</x:v>
      </x:c>
    </x:row>
    <x:row r="666" ht="30" customHeight="1">
      <x:c r="A666" s="59" t="str">
        <x:v>TAURON_PLAN</x:v>
      </x:c>
      <x:c r="B666" s="59" t="str">
        <x:v>historical_data</x:v>
      </x:c>
      <x:c r="C666" s="59" t="str">
        <x:v>UNKNOWN — własne snapshoty od 10.09.2026, jeśli zapisano próbkę.</x:v>
      </x:c>
    </x:row>
    <x:row r="667" ht="30" customHeight="1">
      <x:c r="A667" s="59" t="str">
        <x:v>TAURON_PLAN</x:v>
      </x:c>
      <x:c r="B667" s="59" t="str">
        <x:v>authentication</x:v>
      </x:c>
      <x:c r="C667" s="59" t="str">
        <x:v>Odczyt publicznej strony bez konta; nie dowodzi dostępu do wszystkich danych.</x:v>
      </x:c>
    </x:row>
    <x:row r="668" ht="30" customHeight="1">
      <x:c r="A668" s="59" t="str">
        <x:v>TAURON_PLAN</x:v>
      </x:c>
      <x:c r="B668" s="59" t="str">
        <x:v>license</x:v>
      </x:c>
      <x:c r="C668" s="59" t="str">
        <x:v>UNKNOWN — nie potwierdzono otwartej licencji wybranego zbioru.</x:v>
      </x:c>
    </x:row>
    <x:row r="669" ht="30" customHeight="1">
      <x:c r="A669" s="59" t="str">
        <x:v>TAURON_PLAN</x:v>
      </x:c>
      <x:c r="B669" s="59" t="str">
        <x:v>license_url</x:v>
      </x:c>
      <x:c r="C669" s="59" t="str">
        <x:v>UNKNOWN — nie ustalono</x:v>
      </x:c>
    </x:row>
    <x:row r="670" ht="30" customHeight="1">
      <x:c r="A670" s="59" t="str">
        <x:v>TAURON_PLAN</x:v>
      </x:c>
      <x:c r="B670" s="59" t="str">
        <x:v>commercial_use</x:v>
      </x:c>
      <x:c r="C670" s="59" t="str">
        <x:v>UNKNOWN</x:v>
      </x:c>
    </x:row>
    <x:row r="671" ht="30" customHeight="1">
      <x:c r="A671" s="59" t="str">
        <x:v>TAURON_PLAN</x:v>
      </x:c>
      <x:c r="B671" s="59" t="str">
        <x:v>machine_readable</x:v>
      </x:c>
      <x:c r="C671" s="59" t="str">
        <x:v>UNKNOWN</x:v>
      </x:c>
    </x:row>
    <x:row r="672" ht="30" customHeight="1">
      <x:c r="A672" s="59" t="str">
        <x:v>TAURON_PLAN</x:v>
      </x:c>
      <x:c r="B672" s="59" t="str">
        <x:v>scraping_required</x:v>
      </x:c>
      <x:c r="C672" s="59" t="str">
        <x:v>UNKNOWN — przed scraperem preferować oficjalny plik lub API.</x:v>
      </x:c>
    </x:row>
    <x:row r="673" ht="30" customHeight="1">
      <x:c r="A673" s="59" t="str">
        <x:v>TAURON_PLAN</x:v>
      </x:c>
      <x:c r="B673" s="59" t="str">
        <x:v>data_quality_score</x:v>
      </x:c>
      <x:c r="C673" s="59" t="str">
        <x:v>UNKNOWN — nie ustalono</x:v>
      </x:c>
    </x:row>
    <x:row r="674" ht="30" customHeight="1">
      <x:c r="A674" s="59" t="str">
        <x:v>TAURON_PLAN</x:v>
      </x:c>
      <x:c r="B674" s="59" t="str">
        <x:v>quality_score_status</x:v>
      </x:c>
      <x:c r="C674" s="59" t="str">
        <x:v>NOT_CALIBRATED — autorytet źródła nie jest procentem kompletności lub trafności.</x:v>
      </x:c>
    </x:row>
    <x:row r="675" ht="30" customHeight="1">
      <x:c r="A675" s="59" t="str">
        <x:v>TAURON_PLAN</x:v>
      </x:c>
      <x:c r="B675" s="59" t="str">
        <x:v>last_verified</x:v>
      </x:c>
      <x:c r="C675" s="60" t="n">
        <x:v>46275</x:v>
      </x:c>
    </x:row>
    <x:row r="676" ht="30" customHeight="1">
      <x:c r="A676" s="59" t="str">
        <x:v>TAURON_PLAN</x:v>
      </x:c>
      <x:c r="B676" s="59" t="str">
        <x:v>last_successful_verification</x:v>
      </x:c>
      <x:c r="C676" s="60" t="n">
        <x:v>46275</x:v>
      </x:c>
    </x:row>
    <x:row r="677" ht="30" customHeight="1">
      <x:c r="A677" s="59" t="str">
        <x:v>TAURON_PLAN</x:v>
      </x:c>
      <x:c r="B677" s="59" t="str">
        <x:v>source_date</x:v>
      </x:c>
      <x:c r="C677" s="59" t="str">
        <x:v>UNKNOWN — nie ustalono</x:v>
      </x:c>
    </x:row>
    <x:row r="678" ht="30" customHeight="1">
      <x:c r="A678" s="59" t="str">
        <x:v>TAURON_PLAN</x:v>
      </x:c>
      <x:c r="B678" s="59" t="str">
        <x:v>publication_date</x:v>
      </x:c>
      <x:c r="C678" s="59" t="str">
        <x:v>UNKNOWN — nie ustalono</x:v>
      </x:c>
    </x:row>
    <x:row r="679" ht="30" customHeight="1">
      <x:c r="A679" s="59" t="str">
        <x:v>TAURON_PLAN</x:v>
      </x:c>
      <x:c r="B679" s="59" t="str">
        <x:v>source_version</x:v>
      </x:c>
      <x:c r="C679" s="59" t="str">
        <x:v>UNKNOWN — nie ustalono</x:v>
      </x:c>
    </x:row>
    <x:row r="680" ht="30" customHeight="1">
      <x:c r="A680" s="59" t="str">
        <x:v>TAURON_PLAN</x:v>
      </x:c>
      <x:c r="B680" s="59" t="str">
        <x:v>source_page</x:v>
      </x:c>
      <x:c r="C680" s="59" t="str">
        <x:v>UNKNOWN — nie ustalono</x:v>
      </x:c>
    </x:row>
    <x:row r="681" ht="30" customHeight="1">
      <x:c r="A681" s="59" t="str">
        <x:v>TAURON_PLAN</x:v>
      </x:c>
      <x:c r="B681" s="59" t="str">
        <x:v>valid_from</x:v>
      </x:c>
      <x:c r="C681" s="59" t="str">
        <x:v>UNKNOWN — nie ustalono</x:v>
      </x:c>
    </x:row>
    <x:row r="682" ht="30" customHeight="1">
      <x:c r="A682" s="59" t="str">
        <x:v>TAURON_PLAN</x:v>
      </x:c>
      <x:c r="B682" s="59" t="str">
        <x:v>valid_to</x:v>
      </x:c>
      <x:c r="C682" s="59" t="str">
        <x:v>UNKNOWN — nie ustalono</x:v>
      </x:c>
    </x:row>
    <x:row r="683" ht="30" customHeight="1">
      <x:c r="A683" s="59" t="str">
        <x:v>TAURON_PLAN</x:v>
      </x:c>
      <x:c r="B683" s="59" t="str">
        <x:v>current_future_scope</x:v>
      </x:c>
      <x:c r="C683" s="59" t="str">
        <x:v>FUTURE_GRID</x:v>
      </x:c>
    </x:row>
    <x:row r="684" ht="30" customHeight="1">
      <x:c r="A684" s="59" t="str">
        <x:v>TAURON_PLAN</x:v>
      </x:c>
      <x:c r="B684" s="59" t="str">
        <x:v>value_classification_default</x:v>
      </x:c>
      <x:c r="C684" s="59" t="str">
        <x:v>REPORTED</x:v>
      </x:c>
    </x:row>
    <x:row r="685" ht="38" customHeight="1">
      <x:c r="A685" s="59" t="str">
        <x:v>TAURON_PLAN</x:v>
      </x:c>
      <x:c r="B685" s="59" t="str">
        <x:v>automation_notes</x:v>
      </x:c>
      <x:c r="C685" s="59" t="str">
        <x:v>Jednorazowy przegląd; brak zgody na stały scraper wynikającej z samego dostępu. Sprawdzić warunki, robots.txt i limity przed wdrożeniem.</x:v>
      </x:c>
    </x:row>
    <x:row r="686" ht="30" customHeight="1">
      <x:c r="A686" s="59" t="str">
        <x:v>TAURON_PLAN</x:v>
      </x:c>
      <x:c r="B686" s="59" t="str">
        <x:v>probe_ids</x:v>
      </x:c>
      <x:c r="C686" s="59" t="str">
        <x:v>[]</x:v>
      </x:c>
    </x:row>
    <x:row r="687" ht="30" customHeight="1">
      <x:c r="A687" s="59" t="str">
        <x:v>TAURON_PLAN</x:v>
      </x:c>
      <x:c r="B687" s="59" t="str">
        <x:v>related_urls</x:v>
      </x:c>
      <x:c r="C687" s="59" t="str">
        <x:v>[]</x:v>
      </x:c>
    </x:row>
    <x:row r="688" ht="30" customHeight="1">
      <x:c r="A688" s="59" t="str">
        <x:v>TAURON_PLAN</x:v>
      </x:c>
      <x:c r="B688" s="59" t="str">
        <x:v>source_id</x:v>
      </x:c>
      <x:c r="C688" s="59" t="str">
        <x:v>TAURON_PLAN</x:v>
      </x:c>
    </x:row>
    <x:row r="689" ht="30" customHeight="1">
      <x:c r="A689" s="59" t="str">
        <x:v>TAURON_PLAN</x:v>
      </x:c>
      <x:c r="B689" s="59" t="str">
        <x:v>operator</x:v>
      </x:c>
      <x:c r="C689" s="59" t="str">
        <x:v>TAURON Dystrybucja</x:v>
      </x:c>
    </x:row>
    <x:row r="690" ht="30" customHeight="1">
      <x:c r="A690" s="59" t="str">
        <x:v>TAURON_PLAN</x:v>
      </x:c>
      <x:c r="B690" s="59" t="str">
        <x:v>source_name</x:v>
      </x:c>
      <x:c r="C690" s="59" t="str">
        <x:v>Plan rozwoju — indeks operatora</x:v>
      </x:c>
    </x:row>
    <x:row r="691" ht="30" customHeight="1">
      <x:c r="A691" s="59" t="str">
        <x:v>TAURON_PLAN</x:v>
      </x:c>
      <x:c r="B691" s="59" t="str">
        <x:v>url</x:v>
      </x:c>
      <x:c r="C691" s="59" t="str">
        <x:v>https://www.tauron-dystrybucja.pl/plan-rozwoju</x:v>
      </x:c>
    </x:row>
    <x:row r="692" ht="30" customHeight="1">
      <x:c r="A692" s="59" t="str">
        <x:v>TAURON_PLAN</x:v>
      </x:c>
      <x:c r="B692" s="59" t="str">
        <x:v>data_owner</x:v>
      </x:c>
      <x:c r="C692" s="59" t="str">
        <x:v>TAURON Dystrybucja S.A.</x:v>
      </x:c>
    </x:row>
    <x:row r="693" ht="30" customHeight="1">
      <x:c r="A693" s="59" t="str">
        <x:v>TAURON_PLAN</x:v>
      </x:c>
      <x:c r="B693" s="59" t="str">
        <x:v>data_category</x:v>
      </x:c>
      <x:c r="C693" s="59" t="str">
        <x:v>grid_investments</x:v>
      </x:c>
    </x:row>
    <x:row r="694" ht="30" customHeight="1">
      <x:c r="A694" s="59" t="str">
        <x:v>TAURON_PLAN</x:v>
      </x:c>
      <x:c r="B694" s="59" t="str">
        <x:v>data_format</x:v>
      </x:c>
      <x:c r="C694" s="59" t="str">
        <x:v>[ "HTML", "PDF" ]</x:v>
      </x:c>
    </x:row>
    <x:row r="695" ht="30" customHeight="1">
      <x:c r="A695" s="59" t="str">
        <x:v>TAURON_PLAN</x:v>
      </x:c>
      <x:c r="B695" s="59" t="str">
        <x:v>verification_status</x:v>
      </x:c>
      <x:c r="C695" s="59" t="str">
        <x:v>CONTENT_REVIEWED</x:v>
      </x:c>
    </x:row>
    <x:row r="696" ht="30" customHeight="1">
      <x:c r="A696" s="59" t="str">
        <x:v>TAURON_PLAN</x:v>
      </x:c>
      <x:c r="B696" s="59" t="str">
        <x:v>reliability</x:v>
      </x:c>
      <x:c r="C696" s="59" t="str">
        <x:v>B</x:v>
      </x:c>
    </x:row>
    <x:row r="697" ht="30" customHeight="1">
      <x:c r="A697" s="59" t="str">
        <x:v>TAURON_PLAN</x:v>
      </x:c>
      <x:c r="B697" s="59" t="str">
        <x:v>key_fields</x:v>
      </x:c>
      <x:c r="C697" s="59" t="str">
        <x:v>[ "dokument", "horyzont", "inwestycja" ]</x:v>
      </x:c>
    </x:row>
    <x:row r="698" ht="30" customHeight="1">
      <x:c r="A698" s="59" t="str">
        <x:v>TAURON_PLAN</x:v>
      </x:c>
      <x:c r="B698" s="59" t="str">
        <x:v>potential_application</x:v>
      </x:c>
      <x:c r="C698" s="59" t="str">
        <x:v>Odkrywanie planów sieci.</x:v>
      </x:c>
    </x:row>
    <x:row r="699" ht="30" customHeight="1">
      <x:c r="A699" s="59" t="str">
        <x:v>TAURON_PLAN</x:v>
      </x:c>
      <x:c r="B699" s="59" t="str">
        <x:v>known_limitations</x:v>
      </x:c>
      <x:c r="C699" s="59" t="str">
        <x:v>[ "Nie zwalidowano pełnego wykazu inwestycji ani wszystkich dat realizacji." ]</x:v>
      </x:c>
    </x:row>
    <x:row r="700" ht="30" customHeight="1">
      <x:c r="A700" s="59" t="str">
        <x:v>TAURON_PLAN</x:v>
      </x:c>
      <x:c r="B700" s="59" t="str">
        <x:v>priority</x:v>
      </x:c>
      <x:c r="C700" s="59" t="str">
        <x:v>P2</x:v>
      </x:c>
    </x:row>
    <x:row r="701" ht="30" customHeight="1">
      <x:c r="A701" s="59" t="str">
        <x:v>TAURON_PLAN</x:v>
      </x:c>
      <x:c r="B701" s="59" t="str">
        <x:v>evidence</x:v>
      </x:c>
      <x:c r="C701" s="59" t="str">
        <x:v>[]</x:v>
      </x:c>
    </x:row>
    <x:row r="702" ht="30" customHeight="1">
      <x:c r="A702" s="59" t="str">
        <x:v>TAURON_PLAN</x:v>
      </x:c>
      <x:c r="B702" s="59" t="str">
        <x:v>retrieval_date</x:v>
      </x:c>
      <x:c r="C702" s="59" t="str">
        <x:v>[]</x:v>
      </x:c>
    </x:row>
    <x:row r="703" ht="30" customHeight="1">
      <x:c r="A703" s="59" t="str">
        <x:v>STOEN_LANDING</x:v>
      </x:c>
      <x:c r="B703" s="59" t="str">
        <x:v>country</x:v>
      </x:c>
      <x:c r="C703" s="59" t="str">
        <x:v>PL</x:v>
      </x:c>
    </x:row>
    <x:row r="704" ht="30" customHeight="1">
      <x:c r="A704" s="59" t="str">
        <x:v>STOEN_LANDING</x:v>
      </x:c>
      <x:c r="B704" s="59" t="str">
        <x:v>geographical_scope</x:v>
      </x:c>
      <x:c r="C704" s="59" t="str">
        <x:v>Zakres publikacji danego operatora/instytucji; nie założono pełnego pokrycia kraju.</x:v>
      </x:c>
    </x:row>
    <x:row r="705" ht="30" customHeight="1">
      <x:c r="A705" s="59" t="str">
        <x:v>STOEN_LANDING</x:v>
      </x:c>
      <x:c r="B705" s="59" t="str">
        <x:v>grid_voltage</x:v>
      </x:c>
      <x:c r="C705" s="59" t="str">
        <x:v>[ "SN", "110 kV" ]</x:v>
      </x:c>
    </x:row>
    <x:row r="706" ht="30" customHeight="1">
      <x:c r="A706" s="59" t="str">
        <x:v>STOEN_LANDING</x:v>
      </x:c>
      <x:c r="B706" s="59" t="str">
        <x:v>api_available</x:v>
      </x:c>
      <x:c r="C706" s="59" t="str">
        <x:v>UNKNOWN</x:v>
      </x:c>
    </x:row>
    <x:row r="707" ht="30" customHeight="1">
      <x:c r="A707" s="59" t="str">
        <x:v>STOEN_LANDING</x:v>
      </x:c>
      <x:c r="B707" s="59" t="str">
        <x:v>gis_available</x:v>
      </x:c>
      <x:c r="C707" s="59" t="str">
        <x:v>UNKNOWN</x:v>
      </x:c>
    </x:row>
    <x:row r="708" ht="30" customHeight="1">
      <x:c r="A708" s="59" t="str">
        <x:v>STOEN_LANDING</x:v>
      </x:c>
      <x:c r="B708" s="59" t="str">
        <x:v>update_frequency</x:v>
      </x:c>
      <x:c r="C708" s="59" t="str">
        <x:v>UNKNOWN — nie ustalono gwarantowanego cyklu publikacji.</x:v>
      </x:c>
    </x:row>
    <x:row r="709" ht="30" customHeight="1">
      <x:c r="A709" s="59" t="str">
        <x:v>STOEN_LANDING</x:v>
      </x:c>
      <x:c r="B709" s="59" t="str">
        <x:v>historical_data</x:v>
      </x:c>
      <x:c r="C709" s="59" t="str">
        <x:v>UNKNOWN — własne snapshoty od 10.09.2026, jeśli zapisano próbkę.</x:v>
      </x:c>
    </x:row>
    <x:row r="710" ht="30" customHeight="1">
      <x:c r="A710" s="59" t="str">
        <x:v>STOEN_LANDING</x:v>
      </x:c>
      <x:c r="B710" s="59" t="str">
        <x:v>authentication</x:v>
      </x:c>
      <x:c r="C710" s="59" t="str">
        <x:v>Odczyt publicznej strony bez konta; nie dowodzi dostępu do wszystkich danych.</x:v>
      </x:c>
    </x:row>
    <x:row r="711" ht="30" customHeight="1">
      <x:c r="A711" s="59" t="str">
        <x:v>STOEN_LANDING</x:v>
      </x:c>
      <x:c r="B711" s="59" t="str">
        <x:v>license</x:v>
      </x:c>
      <x:c r="C711" s="59" t="str">
        <x:v>Regulamin §6: zastrzeżenia komercyjnego użycia i wyjątki; zastosowanie do zbiorów wymaga wyjaśnienia.</x:v>
      </x:c>
    </x:row>
    <x:row r="712" ht="30" customHeight="1">
      <x:c r="A712" s="59" t="str">
        <x:v>STOEN_LANDING</x:v>
      </x:c>
      <x:c r="B712" s="59" t="str">
        <x:v>license_url</x:v>
      </x:c>
      <x:c r="C712" s="59" t="str">
        <x:v>https://www.stoen.pl/strona/regulamin</x:v>
      </x:c>
    </x:row>
    <x:row r="713" ht="30" customHeight="1">
      <x:c r="A713" s="59" t="str">
        <x:v>STOEN_LANDING</x:v>
      </x:c>
      <x:c r="B713" s="59" t="str">
        <x:v>commercial_use</x:v>
      </x:c>
      <x:c r="C713" s="59" t="str">
        <x:v>REQUIRES_PERMISSION_REVIEW</x:v>
      </x:c>
    </x:row>
    <x:row r="714" ht="30" customHeight="1">
      <x:c r="A714" s="59" t="str">
        <x:v>STOEN_LANDING</x:v>
      </x:c>
      <x:c r="B714" s="59" t="str">
        <x:v>machine_readable</x:v>
      </x:c>
      <x:c r="C714" s="59" t="str">
        <x:v>UNKNOWN</x:v>
      </x:c>
    </x:row>
    <x:row r="715" ht="30" customHeight="1">
      <x:c r="A715" s="59" t="str">
        <x:v>STOEN_LANDING</x:v>
      </x:c>
      <x:c r="B715" s="59" t="str">
        <x:v>scraping_required</x:v>
      </x:c>
      <x:c r="C715" s="59" t="str">
        <x:v>UNKNOWN — przed scraperem preferować oficjalny plik lub API.</x:v>
      </x:c>
    </x:row>
    <x:row r="716" ht="30" customHeight="1">
      <x:c r="A716" s="59" t="str">
        <x:v>STOEN_LANDING</x:v>
      </x:c>
      <x:c r="B716" s="59" t="str">
        <x:v>data_quality_score</x:v>
      </x:c>
      <x:c r="C716" s="59" t="str">
        <x:v>UNKNOWN — nie ustalono</x:v>
      </x:c>
    </x:row>
    <x:row r="717" ht="30" customHeight="1">
      <x:c r="A717" s="59" t="str">
        <x:v>STOEN_LANDING</x:v>
      </x:c>
      <x:c r="B717" s="59" t="str">
        <x:v>quality_score_status</x:v>
      </x:c>
      <x:c r="C717" s="59" t="str">
        <x:v>NOT_CALIBRATED — autorytet źródła nie jest procentem kompletności lub trafności.</x:v>
      </x:c>
    </x:row>
    <x:row r="718" ht="30" customHeight="1">
      <x:c r="A718" s="59" t="str">
        <x:v>STOEN_LANDING</x:v>
      </x:c>
      <x:c r="B718" s="59" t="str">
        <x:v>last_verified</x:v>
      </x:c>
      <x:c r="C718" s="60" t="n">
        <x:v>46275</x:v>
      </x:c>
    </x:row>
    <x:row r="719" ht="30" customHeight="1">
      <x:c r="A719" s="59" t="str">
        <x:v>STOEN_LANDING</x:v>
      </x:c>
      <x:c r="B719" s="59" t="str">
        <x:v>last_successful_verification</x:v>
      </x:c>
      <x:c r="C719" s="60" t="n">
        <x:v>46275</x:v>
      </x:c>
    </x:row>
    <x:row r="720" ht="30" customHeight="1">
      <x:c r="A720" s="59" t="str">
        <x:v>STOEN_LANDING</x:v>
      </x:c>
      <x:c r="B720" s="59" t="str">
        <x:v>source_date</x:v>
      </x:c>
      <x:c r="C720" s="59" t="str">
        <x:v>UNKNOWN — nie ustalono</x:v>
      </x:c>
    </x:row>
    <x:row r="721" ht="30" customHeight="1">
      <x:c r="A721" s="59" t="str">
        <x:v>STOEN_LANDING</x:v>
      </x:c>
      <x:c r="B721" s="59" t="str">
        <x:v>publication_date</x:v>
      </x:c>
      <x:c r="C721" s="59" t="str">
        <x:v>UNKNOWN — nie ustalono</x:v>
      </x:c>
    </x:row>
    <x:row r="722" ht="30" customHeight="1">
      <x:c r="A722" s="59" t="str">
        <x:v>STOEN_LANDING</x:v>
      </x:c>
      <x:c r="B722" s="59" t="str">
        <x:v>source_version</x:v>
      </x:c>
      <x:c r="C722" s="59" t="str">
        <x:v>UNKNOWN — nie ustalono</x:v>
      </x:c>
    </x:row>
    <x:row r="723" ht="30" customHeight="1">
      <x:c r="A723" s="59" t="str">
        <x:v>STOEN_LANDING</x:v>
      </x:c>
      <x:c r="B723" s="59" t="str">
        <x:v>source_page</x:v>
      </x:c>
      <x:c r="C723" s="59" t="str">
        <x:v>UNKNOWN — nie ustalono</x:v>
      </x:c>
    </x:row>
    <x:row r="724" ht="30" customHeight="1">
      <x:c r="A724" s="59" t="str">
        <x:v>STOEN_LANDING</x:v>
      </x:c>
      <x:c r="B724" s="59" t="str">
        <x:v>valid_from</x:v>
      </x:c>
      <x:c r="C724" s="59" t="str">
        <x:v>UNKNOWN — nie ustalono</x:v>
      </x:c>
    </x:row>
    <x:row r="725" ht="30" customHeight="1">
      <x:c r="A725" s="59" t="str">
        <x:v>STOEN_LANDING</x:v>
      </x:c>
      <x:c r="B725" s="59" t="str">
        <x:v>valid_to</x:v>
      </x:c>
      <x:c r="C725" s="59" t="str">
        <x:v>UNKNOWN — nie ustalono</x:v>
      </x:c>
    </x:row>
    <x:row r="726" ht="30" customHeight="1">
      <x:c r="A726" s="59" t="str">
        <x:v>STOEN_LANDING</x:v>
      </x:c>
      <x:c r="B726" s="59" t="str">
        <x:v>current_future_scope</x:v>
      </x:c>
      <x:c r="C726" s="59" t="str">
        <x:v>SOURCE_DEPENDENT</x:v>
      </x:c>
    </x:row>
    <x:row r="727" ht="30" customHeight="1">
      <x:c r="A727" s="59" t="str">
        <x:v>STOEN_LANDING</x:v>
      </x:c>
      <x:c r="B727" s="59" t="str">
        <x:v>value_classification_default</x:v>
      </x:c>
      <x:c r="C727" s="59" t="str">
        <x:v>REPORTED</x:v>
      </x:c>
    </x:row>
    <x:row r="728" ht="38" customHeight="1">
      <x:c r="A728" s="59" t="str">
        <x:v>STOEN_LANDING</x:v>
      </x:c>
      <x:c r="B728" s="59" t="str">
        <x:v>automation_notes</x:v>
      </x:c>
      <x:c r="C728" s="59" t="str">
        <x:v>Jednorazowy przegląd; brak zgody na stały scraper wynikającej z samego dostępu. Sprawdzić warunki, robots.txt i limity przed wdrożeniem.</x:v>
      </x:c>
    </x:row>
    <x:row r="729" ht="30" customHeight="1">
      <x:c r="A729" s="59" t="str">
        <x:v>STOEN_LANDING</x:v>
      </x:c>
      <x:c r="B729" s="59" t="str">
        <x:v>probe_ids</x:v>
      </x:c>
      <x:c r="C729" s="59" t="str">
        <x:v>[ "STOEN_NETWORK_HTML" ]</x:v>
      </x:c>
    </x:row>
    <x:row r="730" ht="30" customHeight="1">
      <x:c r="A730" s="59" t="str">
        <x:v>STOEN_LANDING</x:v>
      </x:c>
      <x:c r="B730" s="59" t="str">
        <x:v>related_urls</x:v>
      </x:c>
      <x:c r="C730" s="59" t="str">
        <x:v>[]</x:v>
      </x:c>
    </x:row>
    <x:row r="731" ht="30" customHeight="1">
      <x:c r="A731" s="59" t="str">
        <x:v>STOEN_LANDING</x:v>
      </x:c>
      <x:c r="B731" s="59" t="str">
        <x:v>source_id</x:v>
      </x:c>
      <x:c r="C731" s="59" t="str">
        <x:v>STOEN_LANDING</x:v>
      </x:c>
    </x:row>
    <x:row r="732" ht="30" customHeight="1">
      <x:c r="A732" s="59" t="str">
        <x:v>STOEN_LANDING</x:v>
      </x:c>
      <x:c r="B732" s="59" t="str">
        <x:v>operator</x:v>
      </x:c>
      <x:c r="C732" s="59" t="str">
        <x:v>Stoen Operator</x:v>
      </x:c>
    </x:row>
    <x:row r="733" ht="30" customHeight="1">
      <x:c r="A733" s="59" t="str">
        <x:v>STOEN_LANDING</x:v>
      </x:c>
      <x:c r="B733" s="59" t="str">
        <x:v>source_name</x:v>
      </x:c>
      <x:c r="C733" s="59" t="str">
        <x:v>Sieć — indeks dokumentów</x:v>
      </x:c>
    </x:row>
    <x:row r="734" ht="30" customHeight="1">
      <x:c r="A734" s="59" t="str">
        <x:v>STOEN_LANDING</x:v>
      </x:c>
      <x:c r="B734" s="59" t="str">
        <x:v>url</x:v>
      </x:c>
      <x:c r="C734" s="59" t="str">
        <x:v>https://www.stoen.pl/pl/strona/siec</x:v>
      </x:c>
    </x:row>
    <x:row r="735" ht="30" customHeight="1">
      <x:c r="A735" s="59" t="str">
        <x:v>STOEN_LANDING</x:v>
      </x:c>
      <x:c r="B735" s="59" t="str">
        <x:v>data_owner</x:v>
      </x:c>
      <x:c r="C735" s="59" t="str">
        <x:v>Stoen Operator sp. z o.o.</x:v>
      </x:c>
    </x:row>
    <x:row r="736" ht="30" customHeight="1">
      <x:c r="A736" s="59" t="str">
        <x:v>STOEN_LANDING</x:v>
      </x:c>
      <x:c r="B736" s="59" t="str">
        <x:v>data_category</x:v>
      </x:c>
      <x:c r="C736" s="59" t="str">
        <x:v>source_index</x:v>
      </x:c>
    </x:row>
    <x:row r="737" ht="30" customHeight="1">
      <x:c r="A737" s="59" t="str">
        <x:v>STOEN_LANDING</x:v>
      </x:c>
      <x:c r="B737" s="59" t="str">
        <x:v>data_format</x:v>
      </x:c>
      <x:c r="C737" s="59" t="str">
        <x:v>[ "HTML", "PDF" ]</x:v>
      </x:c>
    </x:row>
    <x:row r="738" ht="30" customHeight="1">
      <x:c r="A738" s="59" t="str">
        <x:v>STOEN_LANDING</x:v>
      </x:c>
      <x:c r="B738" s="59" t="str">
        <x:v>verification_status</x:v>
      </x:c>
      <x:c r="C738" s="59" t="str">
        <x:v>CONTENT_REVIEWED</x:v>
      </x:c>
    </x:row>
    <x:row r="739" ht="30" customHeight="1">
      <x:c r="A739" s="59" t="str">
        <x:v>STOEN_LANDING</x:v>
      </x:c>
      <x:c r="B739" s="59" t="str">
        <x:v>reliability</x:v>
      </x:c>
      <x:c r="C739" s="59" t="str">
        <x:v>B</x:v>
      </x:c>
    </x:row>
    <x:row r="740" ht="30" customHeight="1">
      <x:c r="A740" s="59" t="str">
        <x:v>STOEN_LANDING</x:v>
      </x:c>
      <x:c r="B740" s="59" t="str">
        <x:v>key_fields</x:v>
      </x:c>
      <x:c r="C740" s="59" t="str">
        <x:v>[ "moce", "wykazy", "rejestr magazynów", "plan" ]</x:v>
      </x:c>
    </x:row>
    <x:row r="741" ht="30" customHeight="1">
      <x:c r="A741" s="59" t="str">
        <x:v>STOEN_LANDING</x:v>
      </x:c>
      <x:c r="B741" s="59" t="str">
        <x:v>potential_application</x:v>
      </x:c>
      <x:c r="C741" s="59" t="str">
        <x:v>Odkrywanie aktualizacji publikacji.</x:v>
      </x:c>
    </x:row>
    <x:row r="742" ht="30" customHeight="1">
      <x:c r="A742" s="59" t="str">
        <x:v>STOEN_LANDING</x:v>
      </x:c>
      <x:c r="B742" s="59" t="str">
        <x:v>known_limitations</x:v>
      </x:c>
      <x:c r="C742" s="59" t="str">
        <x:v>[ "Nie wszystkie załączniki odczytano; warunki komercyjne wymagają wyjaśnienia." ]</x:v>
      </x:c>
    </x:row>
    <x:row r="743" ht="30" customHeight="1">
      <x:c r="A743" s="59" t="str">
        <x:v>STOEN_LANDING</x:v>
      </x:c>
      <x:c r="B743" s="59" t="str">
        <x:v>priority</x:v>
      </x:c>
      <x:c r="C743" s="59" t="str">
        <x:v>P2</x:v>
      </x:c>
    </x:row>
    <x:row r="744" ht="66" customHeight="1">
      <x:c r="A744" s="59" t="str">
        <x:v>STOEN_LANDING</x:v>
      </x:c>
      <x:c r="B744" s="59" t="str">
        <x:v>evidence</x:v>
      </x:c>
      <x:c r="C744" s="59" t="str">
        <x:v>[ { "source_id": "STOEN_NETWORK_HTML", "url": "https://www.stoen.pl/pl/strona/siec", "retrieval_date": "2026-09-10T11:19:57.4147344Z", "http_status": 200, "content_type": "text/html; charset=UTF-8", "bytes": 315452, "sha256": "a59c8fc6af294ba32cc745b8ddc75fa06d56262c36fb33c4ac6c840cd327a1f5", "local_path": "data/raw/research/2026-09-10/stoen_network_landing.html", "error": null, "manifest": "data/catalog/probe_results_20260910T111959000Z.json" } ]</x:v>
      </x:c>
    </x:row>
    <x:row r="745" ht="30" customHeight="1">
      <x:c r="A745" s="59" t="str">
        <x:v>STOEN_LANDING</x:v>
      </x:c>
      <x:c r="B745" s="59" t="str">
        <x:v>retrieval_date</x:v>
      </x:c>
      <x:c r="C745" s="59" t="str">
        <x:v>[ "2026-09-10T11:19:57.4147344Z" ]</x:v>
      </x:c>
    </x:row>
    <x:row r="746" ht="30" customHeight="1">
      <x:c r="A746" s="59" t="str">
        <x:v>STOEN_EXPORT</x:v>
      </x:c>
      <x:c r="B746" s="59" t="str">
        <x:v>country</x:v>
      </x:c>
      <x:c r="C746" s="59" t="str">
        <x:v>PL</x:v>
      </x:c>
    </x:row>
    <x:row r="747" ht="30" customHeight="1">
      <x:c r="A747" s="59" t="str">
        <x:v>STOEN_EXPORT</x:v>
      </x:c>
      <x:c r="B747" s="59" t="str">
        <x:v>geographical_scope</x:v>
      </x:c>
      <x:c r="C747" s="59" t="str">
        <x:v>Zakres publikacji danego operatora/instytucji; nie założono pełnego pokrycia kraju.</x:v>
      </x:c>
    </x:row>
    <x:row r="748" ht="30" customHeight="1">
      <x:c r="A748" s="59" t="str">
        <x:v>STOEN_EXPORT</x:v>
      </x:c>
      <x:c r="B748" s="59" t="str">
        <x:v>grid_voltage</x:v>
      </x:c>
      <x:c r="C748" s="59" t="str">
        <x:v>[ "15 kV", "110 kV" ]</x:v>
      </x:c>
    </x:row>
    <x:row r="749" ht="30" customHeight="1">
      <x:c r="A749" s="59" t="str">
        <x:v>STOEN_EXPORT</x:v>
      </x:c>
      <x:c r="B749" s="59" t="str">
        <x:v>api_available</x:v>
      </x:c>
      <x:c r="C749" s="59" t="str">
        <x:v>UNKNOWN</x:v>
      </x:c>
    </x:row>
    <x:row r="750" ht="30" customHeight="1">
      <x:c r="A750" s="59" t="str">
        <x:v>STOEN_EXPORT</x:v>
      </x:c>
      <x:c r="B750" s="59" t="str">
        <x:v>gis_available</x:v>
      </x:c>
      <x:c r="C750" s="59" t="str">
        <x:v>UNKNOWN</x:v>
      </x:c>
    </x:row>
    <x:row r="751" ht="30" customHeight="1">
      <x:c r="A751" s="59" t="str">
        <x:v>STOEN_EXPORT</x:v>
      </x:c>
      <x:c r="B751" s="59" t="str">
        <x:v>update_frequency</x:v>
      </x:c>
      <x:c r="C751" s="59" t="str">
        <x:v>Publikacja kwartalna.</x:v>
      </x:c>
    </x:row>
    <x:row r="752" ht="30" customHeight="1">
      <x:c r="A752" s="59" t="str">
        <x:v>STOEN_EXPORT</x:v>
      </x:c>
      <x:c r="B752" s="59" t="str">
        <x:v>historical_data</x:v>
      </x:c>
      <x:c r="C752" s="59" t="str">
        <x:v>UNKNOWN — własne snapshoty od 10.09.2026, jeśli zapisano próbkę.</x:v>
      </x:c>
    </x:row>
    <x:row r="753" ht="30" customHeight="1">
      <x:c r="A753" s="59" t="str">
        <x:v>STOEN_EXPORT</x:v>
      </x:c>
      <x:c r="B753" s="59" t="str">
        <x:v>authentication</x:v>
      </x:c>
      <x:c r="C753" s="59" t="str">
        <x:v>Odczyt publicznej strony bez konta; nie dowodzi dostępu do wszystkich danych.</x:v>
      </x:c>
    </x:row>
    <x:row r="754" ht="30" customHeight="1">
      <x:c r="A754" s="59" t="str">
        <x:v>STOEN_EXPORT</x:v>
      </x:c>
      <x:c r="B754" s="59" t="str">
        <x:v>license</x:v>
      </x:c>
      <x:c r="C754" s="59" t="str">
        <x:v>UNKNOWN — nie potwierdzono otwartej licencji wybranego zbioru.</x:v>
      </x:c>
    </x:row>
    <x:row r="755" ht="30" customHeight="1">
      <x:c r="A755" s="59" t="str">
        <x:v>STOEN_EXPORT</x:v>
      </x:c>
      <x:c r="B755" s="59" t="str">
        <x:v>license_url</x:v>
      </x:c>
      <x:c r="C755" s="59" t="str">
        <x:v>https://www.stoen.pl/strona/regulamin</x:v>
      </x:c>
    </x:row>
    <x:row r="756" ht="30" customHeight="1">
      <x:c r="A756" s="59" t="str">
        <x:v>STOEN_EXPORT</x:v>
      </x:c>
      <x:c r="B756" s="59" t="str">
        <x:v>commercial_use</x:v>
      </x:c>
      <x:c r="C756" s="59" t="str">
        <x:v>REQUIRES_PERMISSION_REVIEW</x:v>
      </x:c>
    </x:row>
    <x:row r="757" ht="30" customHeight="1">
      <x:c r="A757" s="59" t="str">
        <x:v>STOEN_EXPORT</x:v>
      </x:c>
      <x:c r="B757" s="59" t="str">
        <x:v>machine_readable</x:v>
      </x:c>
      <x:c r="C757" s="59" t="str">
        <x:v>PARTIAL</x:v>
      </x:c>
    </x:row>
    <x:row r="758" ht="30" customHeight="1">
      <x:c r="A758" s="59" t="str">
        <x:v>STOEN_EXPORT</x:v>
      </x:c>
      <x:c r="B758" s="59" t="str">
        <x:v>scraping_required</x:v>
      </x:c>
      <x:c r="C758" s="59" t="str">
        <x:v>UNKNOWN — przed scraperem preferować oficjalny plik lub API.</x:v>
      </x:c>
    </x:row>
    <x:row r="759" ht="30" customHeight="1">
      <x:c r="A759" s="59" t="str">
        <x:v>STOEN_EXPORT</x:v>
      </x:c>
      <x:c r="B759" s="59" t="str">
        <x:v>data_quality_score</x:v>
      </x:c>
      <x:c r="C759" s="59" t="str">
        <x:v>UNKNOWN — nie ustalono</x:v>
      </x:c>
    </x:row>
    <x:row r="760" ht="30" customHeight="1">
      <x:c r="A760" s="59" t="str">
        <x:v>STOEN_EXPORT</x:v>
      </x:c>
      <x:c r="B760" s="59" t="str">
        <x:v>quality_score_status</x:v>
      </x:c>
      <x:c r="C760" s="59" t="str">
        <x:v>NOT_CALIBRATED — autorytet źródła nie jest procentem kompletności lub trafności.</x:v>
      </x:c>
    </x:row>
    <x:row r="761" ht="30" customHeight="1">
      <x:c r="A761" s="59" t="str">
        <x:v>STOEN_EXPORT</x:v>
      </x:c>
      <x:c r="B761" s="59" t="str">
        <x:v>last_verified</x:v>
      </x:c>
      <x:c r="C761" s="60" t="n">
        <x:v>46275</x:v>
      </x:c>
    </x:row>
    <x:row r="762" ht="30" customHeight="1">
      <x:c r="A762" s="59" t="str">
        <x:v>STOEN_EXPORT</x:v>
      </x:c>
      <x:c r="B762" s="59" t="str">
        <x:v>last_successful_verification</x:v>
      </x:c>
      <x:c r="C762" s="60" t="n">
        <x:v>46275</x:v>
      </x:c>
    </x:row>
    <x:row r="763" ht="30" customHeight="1">
      <x:c r="A763" s="59" t="str">
        <x:v>STOEN_EXPORT</x:v>
      </x:c>
      <x:c r="B763" s="59" t="str">
        <x:v>source_date</x:v>
      </x:c>
      <x:c r="C763" s="59" t="str">
        <x:v>UNKNOWN — nie ustalono</x:v>
      </x:c>
    </x:row>
    <x:row r="764" ht="30" customHeight="1">
      <x:c r="A764" s="59" t="str">
        <x:v>STOEN_EXPORT</x:v>
      </x:c>
      <x:c r="B764" s="59" t="str">
        <x:v>publication_date</x:v>
      </x:c>
      <x:c r="C764" s="59" t="str">
        <x:v>UNKNOWN — nie ustalono</x:v>
      </x:c>
    </x:row>
    <x:row r="765" ht="30" customHeight="1">
      <x:c r="A765" s="59" t="str">
        <x:v>STOEN_EXPORT</x:v>
      </x:c>
      <x:c r="B765" s="59" t="str">
        <x:v>source_version</x:v>
      </x:c>
      <x:c r="C765" s="59" t="str">
        <x:v>III kwartał 2026</x:v>
      </x:c>
    </x:row>
    <x:row r="766" ht="30" customHeight="1">
      <x:c r="A766" s="59" t="str">
        <x:v>STOEN_EXPORT</x:v>
      </x:c>
      <x:c r="B766" s="59" t="str">
        <x:v>source_page</x:v>
      </x:c>
      <x:c r="C766" s="59" t="str">
        <x:v>3–5</x:v>
      </x:c>
    </x:row>
    <x:row r="767" ht="30" customHeight="1">
      <x:c r="A767" s="59" t="str">
        <x:v>STOEN_EXPORT</x:v>
      </x:c>
      <x:c r="B767" s="59" t="str">
        <x:v>valid_from</x:v>
      </x:c>
      <x:c r="C767" s="59" t="str">
        <x:v>UNKNOWN — nie ustalono</x:v>
      </x:c>
    </x:row>
    <x:row r="768" ht="30" customHeight="1">
      <x:c r="A768" s="59" t="str">
        <x:v>STOEN_EXPORT</x:v>
      </x:c>
      <x:c r="B768" s="59" t="str">
        <x:v>valid_to</x:v>
      </x:c>
      <x:c r="C768" s="59" t="str">
        <x:v>UNKNOWN — nie ustalono</x:v>
      </x:c>
    </x:row>
    <x:row r="769" ht="30" customHeight="1">
      <x:c r="A769" s="59" t="str">
        <x:v>STOEN_EXPORT</x:v>
      </x:c>
      <x:c r="B769" s="59" t="str">
        <x:v>current_future_scope</x:v>
      </x:c>
      <x:c r="C769" s="59" t="str">
        <x:v>SOURCE_DEPENDENT</x:v>
      </x:c>
    </x:row>
    <x:row r="770" ht="30" customHeight="1">
      <x:c r="A770" s="59" t="str">
        <x:v>STOEN_EXPORT</x:v>
      </x:c>
      <x:c r="B770" s="59" t="str">
        <x:v>value_classification_default</x:v>
      </x:c>
      <x:c r="C770" s="59" t="str">
        <x:v>REPORTED</x:v>
      </x:c>
    </x:row>
    <x:row r="771" ht="38" customHeight="1">
      <x:c r="A771" s="59" t="str">
        <x:v>STOEN_EXPORT</x:v>
      </x:c>
      <x:c r="B771" s="59" t="str">
        <x:v>automation_notes</x:v>
      </x:c>
      <x:c r="C771" s="59" t="str">
        <x:v>Jednorazowy przegląd; brak zgody na stały scraper wynikającej z samego dostępu. Sprawdzić warunki, robots.txt i limity przed wdrożeniem.</x:v>
      </x:c>
    </x:row>
    <x:row r="772" ht="30" customHeight="1">
      <x:c r="A772" s="59" t="str">
        <x:v>STOEN_EXPORT</x:v>
      </x:c>
      <x:c r="B772" s="59" t="str">
        <x:v>probe_ids</x:v>
      </x:c>
      <x:c r="C772" s="59" t="str">
        <x:v>[ "STOEN_EXPORT" ]</x:v>
      </x:c>
    </x:row>
    <x:row r="773" ht="30" customHeight="1">
      <x:c r="A773" s="59" t="str">
        <x:v>STOEN_EXPORT</x:v>
      </x:c>
      <x:c r="B773" s="59" t="str">
        <x:v>related_urls</x:v>
      </x:c>
      <x:c r="C773" s="59" t="str">
        <x:v>[]</x:v>
      </x:c>
    </x:row>
    <x:row r="774" ht="30" customHeight="1">
      <x:c r="A774" s="59" t="str">
        <x:v>STOEN_EXPORT</x:v>
      </x:c>
      <x:c r="B774" s="59" t="str">
        <x:v>source_id</x:v>
      </x:c>
      <x:c r="C774" s="59" t="str">
        <x:v>STOEN_EXPORT</x:v>
      </x:c>
    </x:row>
    <x:row r="775" ht="30" customHeight="1">
      <x:c r="A775" s="59" t="str">
        <x:v>STOEN_EXPORT</x:v>
      </x:c>
      <x:c r="B775" s="59" t="str">
        <x:v>operator</x:v>
      </x:c>
      <x:c r="C775" s="59" t="str">
        <x:v>Stoen Operator</x:v>
      </x:c>
    </x:row>
    <x:row r="776" ht="30" customHeight="1">
      <x:c r="A776" s="59" t="str">
        <x:v>STOEN_EXPORT</x:v>
      </x:c>
      <x:c r="B776" s="59" t="str">
        <x:v>source_name</x:v>
      </x:c>
      <x:c r="C776" s="59" t="str">
        <x:v>Dostępna moc źródeł — III kwartał 2026</x:v>
      </x:c>
    </x:row>
    <x:row r="777" ht="38" customHeight="1">
      <x:c r="A777" s="59" t="str">
        <x:v>STOEN_EXPORT</x:v>
      </x:c>
      <x:c r="B777" s="59" t="str">
        <x:v>url</x:v>
      </x:c>
      <x:c r="C777" s="59" t="str">
        <x:v>https://www.stoen.pl/files/2026-07/wielkosc-dostepnej-mocy-przylaczeniowej-zrodel-w-sieci-stoen-operator-iii-kw-2026.pdf</x:v>
      </x:c>
    </x:row>
    <x:row r="778" ht="30" customHeight="1">
      <x:c r="A778" s="59" t="str">
        <x:v>STOEN_EXPORT</x:v>
      </x:c>
      <x:c r="B778" s="59" t="str">
        <x:v>data_owner</x:v>
      </x:c>
      <x:c r="C778" s="59" t="str">
        <x:v>Stoen Operator sp. z o.o.</x:v>
      </x:c>
    </x:row>
    <x:row r="779" ht="30" customHeight="1">
      <x:c r="A779" s="59" t="str">
        <x:v>STOEN_EXPORT</x:v>
      </x:c>
      <x:c r="B779" s="59" t="str">
        <x:v>data_category</x:v>
      </x:c>
      <x:c r="C779" s="59" t="str">
        <x:v>reported_export_capacity</x:v>
      </x:c>
    </x:row>
    <x:row r="780" ht="30" customHeight="1">
      <x:c r="A780" s="59" t="str">
        <x:v>STOEN_EXPORT</x:v>
      </x:c>
      <x:c r="B780" s="59" t="str">
        <x:v>data_format</x:v>
      </x:c>
      <x:c r="C780" s="59" t="str">
        <x:v>[ "PDF" ]</x:v>
      </x:c>
    </x:row>
    <x:row r="781" ht="30" customHeight="1">
      <x:c r="A781" s="59" t="str">
        <x:v>STOEN_EXPORT</x:v>
      </x:c>
      <x:c r="B781" s="59" t="str">
        <x:v>verification_status</x:v>
      </x:c>
      <x:c r="C781" s="59" t="str">
        <x:v>SAMPLE_VERIFIED</x:v>
      </x:c>
    </x:row>
    <x:row r="782" ht="30" customHeight="1">
      <x:c r="A782" s="59" t="str">
        <x:v>STOEN_EXPORT</x:v>
      </x:c>
      <x:c r="B782" s="59" t="str">
        <x:v>reliability</x:v>
      </x:c>
      <x:c r="C782" s="59" t="str">
        <x:v>B</x:v>
      </x:c>
    </x:row>
    <x:row r="783" ht="30" customHeight="1">
      <x:c r="A783" s="59" t="str">
        <x:v>STOEN_EXPORT</x:v>
      </x:c>
      <x:c r="B783" s="59" t="str">
        <x:v>key_fields</x:v>
      </x:c>
      <x:c r="C783" s="59" t="str">
        <x:v>[ "dzielnica/grupa stacji", "napięcie", "moc MW", "założenia" ]</x:v>
      </x:c>
    </x:row>
    <x:row r="784" ht="30" customHeight="1">
      <x:c r="A784" s="59" t="str">
        <x:v>STOEN_EXPORT</x:v>
      </x:c>
      <x:c r="B784" s="59" t="str">
        <x:v>potential_application</x:v>
      </x:c>
      <x:c r="C784" s="59" t="str">
        <x:v>Screening eksportu w jednostce raportowania operatora.</x:v>
      </x:c>
    </x:row>
    <x:row r="785" ht="38" customHeight="1">
      <x:c r="A785" s="59" t="str">
        <x:v>STOEN_EXPORT</x:v>
      </x:c>
      <x:c r="B785" s="59" t="str">
        <x:v>known_limitations</x:v>
      </x:c>
      <x:c r="C785" s="59" t="str">
        <x:v>[ "Grupy nie są niezależnymi rezerwami wszystkich GPZ.", "Część danych wejściowych o małych źródłach z IV kw.2025." ]</x:v>
      </x:c>
    </x:row>
    <x:row r="786" ht="30" customHeight="1">
      <x:c r="A786" s="59" t="str">
        <x:v>STOEN_EXPORT</x:v>
      </x:c>
      <x:c r="B786" s="59" t="str">
        <x:v>priority</x:v>
      </x:c>
      <x:c r="C786" s="59" t="str">
        <x:v>P2</x:v>
      </x:c>
    </x:row>
    <x:row r="787" ht="80" customHeight="1">
      <x:c r="A787" s="59" t="str">
        <x:v>STOEN_EXPORT</x:v>
      </x:c>
      <x:c r="B787" s="59" t="str">
        <x:v>evidence</x:v>
      </x:c>
      <x:c r="C787" s="59" t="str">
        <x:v>[ { "source_id": "STOEN_EXPORT", "url": "https://www.stoen.pl/files/2026-07/wielkosc-dostepnej-mocy-przylaczeniowej-zrodel-w-sieci-stoen-operator-iii-kw-2026.pdf", "retrieval_date": "2026-09-10T11:21:04.0528357Z", "http_status": 200, "content_type": "application/pdf", "bytes": 130676, "sha256": "3e9f7d748ca1504c8590ea0c4340c5ab3316285cdc27297a6c84e33205b3d095", "local_path": "data/raw/research/2026-09-10/stoen_export_2026_q3.pdf", "error": null, "manifest": "data/catalog/probe_results_20260910T112104907Z.json" } ]</x:v>
      </x:c>
    </x:row>
    <x:row r="788" ht="30" customHeight="1">
      <x:c r="A788" s="59" t="str">
        <x:v>STOEN_EXPORT</x:v>
      </x:c>
      <x:c r="B788" s="59" t="str">
        <x:v>retrieval_date</x:v>
      </x:c>
      <x:c r="C788" s="59" t="str">
        <x:v>[ "2026-09-10T11:21:04.0528357Z" ]</x:v>
      </x:c>
    </x:row>
    <x:row r="789" ht="30" customHeight="1">
      <x:c r="A789" s="59" t="str">
        <x:v>STOEN_IMPORT</x:v>
      </x:c>
      <x:c r="B789" s="59" t="str">
        <x:v>country</x:v>
      </x:c>
      <x:c r="C789" s="59" t="str">
        <x:v>PL</x:v>
      </x:c>
    </x:row>
    <x:row r="790" ht="30" customHeight="1">
      <x:c r="A790" s="59" t="str">
        <x:v>STOEN_IMPORT</x:v>
      </x:c>
      <x:c r="B790" s="59" t="str">
        <x:v>geographical_scope</x:v>
      </x:c>
      <x:c r="C790" s="59" t="str">
        <x:v>Zakres publikacji danego operatora/instytucji; nie założono pełnego pokrycia kraju.</x:v>
      </x:c>
    </x:row>
    <x:row r="791" ht="30" customHeight="1">
      <x:c r="A791" s="59" t="str">
        <x:v>STOEN_IMPORT</x:v>
      </x:c>
      <x:c r="B791" s="59" t="str">
        <x:v>grid_voltage</x:v>
      </x:c>
      <x:c r="C791" s="59" t="str">
        <x:v>[ "SN", "110 kV" ]</x:v>
      </x:c>
    </x:row>
    <x:row r="792" ht="30" customHeight="1">
      <x:c r="A792" s="59" t="str">
        <x:v>STOEN_IMPORT</x:v>
      </x:c>
      <x:c r="B792" s="59" t="str">
        <x:v>api_available</x:v>
      </x:c>
      <x:c r="C792" s="59" t="str">
        <x:v>UNKNOWN</x:v>
      </x:c>
    </x:row>
    <x:row r="793" ht="30" customHeight="1">
      <x:c r="A793" s="59" t="str">
        <x:v>STOEN_IMPORT</x:v>
      </x:c>
      <x:c r="B793" s="59" t="str">
        <x:v>gis_available</x:v>
      </x:c>
      <x:c r="C793" s="59" t="str">
        <x:v>UNKNOWN</x:v>
      </x:c>
    </x:row>
    <x:row r="794" ht="30" customHeight="1">
      <x:c r="A794" s="59" t="str">
        <x:v>STOEN_IMPORT</x:v>
      </x:c>
      <x:c r="B794" s="59" t="str">
        <x:v>update_frequency</x:v>
      </x:c>
      <x:c r="C794" s="59" t="str">
        <x:v>UNKNOWN — nie ustalono gwarantowanego cyklu publikacji.</x:v>
      </x:c>
    </x:row>
    <x:row r="795" ht="30" customHeight="1">
      <x:c r="A795" s="59" t="str">
        <x:v>STOEN_IMPORT</x:v>
      </x:c>
      <x:c r="B795" s="59" t="str">
        <x:v>historical_data</x:v>
      </x:c>
      <x:c r="C795" s="59" t="str">
        <x:v>UNKNOWN — własne snapshoty od 10.09.2026, jeśli zapisano próbkę.</x:v>
      </x:c>
    </x:row>
    <x:row r="796" ht="30" customHeight="1">
      <x:c r="A796" s="59" t="str">
        <x:v>STOEN_IMPORT</x:v>
      </x:c>
      <x:c r="B796" s="59" t="str">
        <x:v>authentication</x:v>
      </x:c>
      <x:c r="C796" s="59" t="str">
        <x:v>Odczyt publicznej strony bez konta; nie dowodzi dostępu do wszystkich danych.</x:v>
      </x:c>
    </x:row>
    <x:row r="797" ht="30" customHeight="1">
      <x:c r="A797" s="59" t="str">
        <x:v>STOEN_IMPORT</x:v>
      </x:c>
      <x:c r="B797" s="59" t="str">
        <x:v>license</x:v>
      </x:c>
      <x:c r="C797" s="59" t="str">
        <x:v>UNKNOWN — nie potwierdzono otwartej licencji wybranego zbioru.</x:v>
      </x:c>
    </x:row>
    <x:row r="798" ht="30" customHeight="1">
      <x:c r="A798" s="59" t="str">
        <x:v>STOEN_IMPORT</x:v>
      </x:c>
      <x:c r="B798" s="59" t="str">
        <x:v>license_url</x:v>
      </x:c>
      <x:c r="C798" s="59" t="str">
        <x:v>https://www.stoen.pl/strona/regulamin</x:v>
      </x:c>
    </x:row>
    <x:row r="799" ht="30" customHeight="1">
      <x:c r="A799" s="59" t="str">
        <x:v>STOEN_IMPORT</x:v>
      </x:c>
      <x:c r="B799" s="59" t="str">
        <x:v>commercial_use</x:v>
      </x:c>
      <x:c r="C799" s="59" t="str">
        <x:v>REQUIRES_PERMISSION_REVIEW</x:v>
      </x:c>
    </x:row>
    <x:row r="800" ht="30" customHeight="1">
      <x:c r="A800" s="59" t="str">
        <x:v>STOEN_IMPORT</x:v>
      </x:c>
      <x:c r="B800" s="59" t="str">
        <x:v>machine_readable</x:v>
      </x:c>
      <x:c r="C800" s="59" t="str">
        <x:v>PARTIAL</x:v>
      </x:c>
    </x:row>
    <x:row r="801" ht="30" customHeight="1">
      <x:c r="A801" s="59" t="str">
        <x:v>STOEN_IMPORT</x:v>
      </x:c>
      <x:c r="B801" s="59" t="str">
        <x:v>scraping_required</x:v>
      </x:c>
      <x:c r="C801" s="59" t="str">
        <x:v>UNKNOWN — przed scraperem preferować oficjalny plik lub API.</x:v>
      </x:c>
    </x:row>
    <x:row r="802" ht="30" customHeight="1">
      <x:c r="A802" s="59" t="str">
        <x:v>STOEN_IMPORT</x:v>
      </x:c>
      <x:c r="B802" s="59" t="str">
        <x:v>data_quality_score</x:v>
      </x:c>
      <x:c r="C802" s="59" t="str">
        <x:v>UNKNOWN — nie ustalono</x:v>
      </x:c>
    </x:row>
    <x:row r="803" ht="30" customHeight="1">
      <x:c r="A803" s="59" t="str">
        <x:v>STOEN_IMPORT</x:v>
      </x:c>
      <x:c r="B803" s="59" t="str">
        <x:v>quality_score_status</x:v>
      </x:c>
      <x:c r="C803" s="59" t="str">
        <x:v>NOT_CALIBRATED — autorytet źródła nie jest procentem kompletności lub trafności.</x:v>
      </x:c>
    </x:row>
    <x:row r="804" ht="30" customHeight="1">
      <x:c r="A804" s="59" t="str">
        <x:v>STOEN_IMPORT</x:v>
      </x:c>
      <x:c r="B804" s="59" t="str">
        <x:v>last_verified</x:v>
      </x:c>
      <x:c r="C804" s="60" t="n">
        <x:v>46275</x:v>
      </x:c>
    </x:row>
    <x:row r="805" ht="30" customHeight="1">
      <x:c r="A805" s="59" t="str">
        <x:v>STOEN_IMPORT</x:v>
      </x:c>
      <x:c r="B805" s="59" t="str">
        <x:v>last_successful_verification</x:v>
      </x:c>
      <x:c r="C805" s="60" t="n">
        <x:v>46275</x:v>
      </x:c>
    </x:row>
    <x:row r="806" ht="30" customHeight="1">
      <x:c r="A806" s="59" t="str">
        <x:v>STOEN_IMPORT</x:v>
      </x:c>
      <x:c r="B806" s="59" t="str">
        <x:v>source_date</x:v>
      </x:c>
      <x:c r="C806" s="60" t="n">
        <x:v>46265</x:v>
      </x:c>
    </x:row>
    <x:row r="807" ht="30" customHeight="1">
      <x:c r="A807" s="59" t="str">
        <x:v>STOEN_IMPORT</x:v>
      </x:c>
      <x:c r="B807" s="59" t="str">
        <x:v>publication_date</x:v>
      </x:c>
      <x:c r="C807" s="59" t="str">
        <x:v>UNKNOWN — nie ustalono</x:v>
      </x:c>
    </x:row>
    <x:row r="808" ht="30" customHeight="1">
      <x:c r="A808" s="59" t="str">
        <x:v>STOEN_IMPORT</x:v>
      </x:c>
      <x:c r="B808" s="59" t="str">
        <x:v>source_version</x:v>
      </x:c>
      <x:c r="C808" s="59" t="str">
        <x:v>UNKNOWN — nie ustalono</x:v>
      </x:c>
    </x:row>
    <x:row r="809" ht="30" customHeight="1">
      <x:c r="A809" s="59" t="str">
        <x:v>STOEN_IMPORT</x:v>
      </x:c>
      <x:c r="B809" s="59" t="str">
        <x:v>source_page</x:v>
      </x:c>
      <x:c r="C809" s="59" t="str">
        <x:v>UNKNOWN — nie ustalono</x:v>
      </x:c>
    </x:row>
    <x:row r="810" ht="30" customHeight="1">
      <x:c r="A810" s="59" t="str">
        <x:v>STOEN_IMPORT</x:v>
      </x:c>
      <x:c r="B810" s="59" t="str">
        <x:v>valid_from</x:v>
      </x:c>
      <x:c r="C810" s="59" t="str">
        <x:v>UNKNOWN — nie ustalono</x:v>
      </x:c>
    </x:row>
    <x:row r="811" ht="30" customHeight="1">
      <x:c r="A811" s="59" t="str">
        <x:v>STOEN_IMPORT</x:v>
      </x:c>
      <x:c r="B811" s="59" t="str">
        <x:v>valid_to</x:v>
      </x:c>
      <x:c r="C811" s="59" t="str">
        <x:v>UNKNOWN — nie ustalono</x:v>
      </x:c>
    </x:row>
    <x:row r="812" ht="30" customHeight="1">
      <x:c r="A812" s="59" t="str">
        <x:v>STOEN_IMPORT</x:v>
      </x:c>
      <x:c r="B812" s="59" t="str">
        <x:v>current_future_scope</x:v>
      </x:c>
      <x:c r="C812" s="59" t="str">
        <x:v>SOURCE_DEPENDENT</x:v>
      </x:c>
    </x:row>
    <x:row r="813" ht="30" customHeight="1">
      <x:c r="A813" s="59" t="str">
        <x:v>STOEN_IMPORT</x:v>
      </x:c>
      <x:c r="B813" s="59" t="str">
        <x:v>value_classification_default</x:v>
      </x:c>
      <x:c r="C813" s="59" t="str">
        <x:v>REPORTED</x:v>
      </x:c>
    </x:row>
    <x:row r="814" ht="38" customHeight="1">
      <x:c r="A814" s="59" t="str">
        <x:v>STOEN_IMPORT</x:v>
      </x:c>
      <x:c r="B814" s="59" t="str">
        <x:v>automation_notes</x:v>
      </x:c>
      <x:c r="C814" s="59" t="str">
        <x:v>Jednorazowy przegląd; brak zgody na stały scraper wynikającej z samego dostępu. Sprawdzić warunki, robots.txt i limity przed wdrożeniem.</x:v>
      </x:c>
    </x:row>
    <x:row r="815" ht="30" customHeight="1">
      <x:c r="A815" s="59" t="str">
        <x:v>STOEN_IMPORT</x:v>
      </x:c>
      <x:c r="B815" s="59" t="str">
        <x:v>probe_ids</x:v>
      </x:c>
      <x:c r="C815" s="59" t="str">
        <x:v>[ "STOEN_IMPORT" ]</x:v>
      </x:c>
    </x:row>
    <x:row r="816" ht="30" customHeight="1">
      <x:c r="A816" s="59" t="str">
        <x:v>STOEN_IMPORT</x:v>
      </x:c>
      <x:c r="B816" s="59" t="str">
        <x:v>related_urls</x:v>
      </x:c>
      <x:c r="C816" s="59" t="str">
        <x:v>[]</x:v>
      </x:c>
    </x:row>
    <x:row r="817" ht="30" customHeight="1">
      <x:c r="A817" s="59" t="str">
        <x:v>STOEN_IMPORT</x:v>
      </x:c>
      <x:c r="B817" s="59" t="str">
        <x:v>source_id</x:v>
      </x:c>
      <x:c r="C817" s="59" t="str">
        <x:v>STOEN_IMPORT</x:v>
      </x:c>
    </x:row>
    <x:row r="818" ht="30" customHeight="1">
      <x:c r="A818" s="59" t="str">
        <x:v>STOEN_IMPORT</x:v>
      </x:c>
      <x:c r="B818" s="59" t="str">
        <x:v>operator</x:v>
      </x:c>
      <x:c r="C818" s="59" t="str">
        <x:v>Stoen Operator</x:v>
      </x:c>
    </x:row>
    <x:row r="819" ht="30" customHeight="1">
      <x:c r="A819" s="59" t="str">
        <x:v>STOEN_IMPORT</x:v>
      </x:c>
      <x:c r="B819" s="59" t="str">
        <x:v>source_name</x:v>
      </x:c>
      <x:c r="C819" s="59" t="str">
        <x:v>Dostępna moc odbiorców — 31.08.2026</x:v>
      </x:c>
    </x:row>
    <x:row r="820" ht="38" customHeight="1">
      <x:c r="A820" s="59" t="str">
        <x:v>STOEN_IMPORT</x:v>
      </x:c>
      <x:c r="B820" s="59" t="str">
        <x:v>url</x:v>
      </x:c>
      <x:c r="C820" s="59" t="str">
        <x:v>https://www.stoen.pl/files/2026-09/wielkosc-dostepnej-mocy-przylaczeniowej-dla-odbiorcow-w-sieci-stoen-operator-31.08.2026r.pdf</x:v>
      </x:c>
    </x:row>
    <x:row r="821" ht="30" customHeight="1">
      <x:c r="A821" s="59" t="str">
        <x:v>STOEN_IMPORT</x:v>
      </x:c>
      <x:c r="B821" s="59" t="str">
        <x:v>data_owner</x:v>
      </x:c>
      <x:c r="C821" s="59" t="str">
        <x:v>Stoen Operator sp. z o.o.</x:v>
      </x:c>
    </x:row>
    <x:row r="822" ht="30" customHeight="1">
      <x:c r="A822" s="59" t="str">
        <x:v>STOEN_IMPORT</x:v>
      </x:c>
      <x:c r="B822" s="59" t="str">
        <x:v>data_category</x:v>
      </x:c>
      <x:c r="C822" s="59" t="str">
        <x:v>reported_import_capacity</x:v>
      </x:c>
    </x:row>
    <x:row r="823" ht="30" customHeight="1">
      <x:c r="A823" s="59" t="str">
        <x:v>STOEN_IMPORT</x:v>
      </x:c>
      <x:c r="B823" s="59" t="str">
        <x:v>data_format</x:v>
      </x:c>
      <x:c r="C823" s="59" t="str">
        <x:v>[ "PDF" ]</x:v>
      </x:c>
    </x:row>
    <x:row r="824" ht="30" customHeight="1">
      <x:c r="A824" s="59" t="str">
        <x:v>STOEN_IMPORT</x:v>
      </x:c>
      <x:c r="B824" s="59" t="str">
        <x:v>verification_status</x:v>
      </x:c>
      <x:c r="C824" s="59" t="str">
        <x:v>SAMPLE_VERIFIED</x:v>
      </x:c>
    </x:row>
    <x:row r="825" ht="30" customHeight="1">
      <x:c r="A825" s="59" t="str">
        <x:v>STOEN_IMPORT</x:v>
      </x:c>
      <x:c r="B825" s="59" t="str">
        <x:v>reliability</x:v>
      </x:c>
      <x:c r="C825" s="59" t="str">
        <x:v>B</x:v>
      </x:c>
    </x:row>
    <x:row r="826" ht="30" customHeight="1">
      <x:c r="A826" s="59" t="str">
        <x:v>STOEN_IMPORT</x:v>
      </x:c>
      <x:c r="B826" s="59" t="str">
        <x:v>key_fields</x:v>
      </x:c>
      <x:c r="C826" s="59" t="str">
        <x:v>[ "moc odbiorcza", "jednostka raportowania", "data" ]</x:v>
      </x:c>
    </x:row>
    <x:row r="827" ht="30" customHeight="1">
      <x:c r="A827" s="59" t="str">
        <x:v>STOEN_IMPORT</x:v>
      </x:c>
      <x:c r="B827" s="59" t="str">
        <x:v>potential_application</x:v>
      </x:c>
      <x:c r="C827" s="59" t="str">
        <x:v>Scenariusz poboru i ładowania BESS.</x:v>
      </x:c>
    </x:row>
    <x:row r="828" ht="30" customHeight="1">
      <x:c r="A828" s="59" t="str">
        <x:v>STOEN_IMPORT</x:v>
      </x:c>
      <x:c r="B828" s="59" t="str">
        <x:v>known_limitations</x:v>
      </x:c>
      <x:c r="C828" s="59" t="str">
        <x:v>[ "Potwierdzono format i nagłówek, nie pełną poprawność wszystkich tabel." ]</x:v>
      </x:c>
    </x:row>
    <x:row r="829" ht="30" customHeight="1">
      <x:c r="A829" s="59" t="str">
        <x:v>STOEN_IMPORT</x:v>
      </x:c>
      <x:c r="B829" s="59" t="str">
        <x:v>priority</x:v>
      </x:c>
      <x:c r="C829" s="59" t="str">
        <x:v>P2</x:v>
      </x:c>
    </x:row>
    <x:row r="830" ht="80" customHeight="1">
      <x:c r="A830" s="59" t="str">
        <x:v>STOEN_IMPORT</x:v>
      </x:c>
      <x:c r="B830" s="59" t="str">
        <x:v>evidence</x:v>
      </x:c>
      <x:c r="C830" s="59" t="str">
        <x:v>[ { "source_id": "STOEN_IMPORT", "url": "https://www.stoen.pl/files/2026-09/wielkosc-dostepnej-mocy-przylaczeniowej-dla-odbiorcow-w-sieci-stoen-operator-31.08.2026r.pdf", "retrieval_date": "2026-09-10T11:21:04.2488455Z", "http_status": 200, "content_type": "application/pdf", "bytes": 129010, "sha256": "c1f9d308f682b2012eecdcc7a8e68b2436ea3f382d3e4bf738f00f93c8b2fb0f", "local_path": "data/raw/research/2026-09-10/stoen_import_2026-08-31.pdf", "error": null, "manifest": "data/catalog/probe_results_20260910T112104907Z.json" } ]</x:v>
      </x:c>
    </x:row>
    <x:row r="831" ht="30" customHeight="1">
      <x:c r="A831" s="59" t="str">
        <x:v>STOEN_IMPORT</x:v>
      </x:c>
      <x:c r="B831" s="59" t="str">
        <x:v>retrieval_date</x:v>
      </x:c>
      <x:c r="C831" s="59" t="str">
        <x:v>[ "2026-09-10T11:21:04.2488455Z" ]</x:v>
      </x:c>
    </x:row>
    <x:row r="832" ht="30" customHeight="1">
      <x:c r="A832" s="59" t="str">
        <x:v>STOEN_PIPELINE</x:v>
      </x:c>
      <x:c r="B832" s="59" t="str">
        <x:v>country</x:v>
      </x:c>
      <x:c r="C832" s="59" t="str">
        <x:v>PL</x:v>
      </x:c>
    </x:row>
    <x:row r="833" ht="30" customHeight="1">
      <x:c r="A833" s="59" t="str">
        <x:v>STOEN_PIPELINE</x:v>
      </x:c>
      <x:c r="B833" s="59" t="str">
        <x:v>geographical_scope</x:v>
      </x:c>
      <x:c r="C833" s="59" t="str">
        <x:v>Zakres publikacji danego operatora/instytucji; nie założono pełnego pokrycia kraju.</x:v>
      </x:c>
    </x:row>
    <x:row r="834" ht="30" customHeight="1">
      <x:c r="A834" s="59" t="str">
        <x:v>STOEN_PIPELINE</x:v>
      </x:c>
      <x:c r="B834" s="59" t="str">
        <x:v>grid_voltage</x:v>
      </x:c>
      <x:c r="C834" s="59" t="str">
        <x:v>[ "UNKNOWN_OR_NOT_APPLICABLE" ]</x:v>
      </x:c>
    </x:row>
    <x:row r="835" ht="30" customHeight="1">
      <x:c r="A835" s="59" t="str">
        <x:v>STOEN_PIPELINE</x:v>
      </x:c>
      <x:c r="B835" s="59" t="str">
        <x:v>api_available</x:v>
      </x:c>
      <x:c r="C835" s="59" t="str">
        <x:v>UNKNOWN</x:v>
      </x:c>
    </x:row>
    <x:row r="836" ht="30" customHeight="1">
      <x:c r="A836" s="59" t="str">
        <x:v>STOEN_PIPELINE</x:v>
      </x:c>
      <x:c r="B836" s="59" t="str">
        <x:v>gis_available</x:v>
      </x:c>
      <x:c r="C836" s="59" t="str">
        <x:v>UNKNOWN</x:v>
      </x:c>
    </x:row>
    <x:row r="837" ht="30" customHeight="1">
      <x:c r="A837" s="59" t="str">
        <x:v>STOEN_PIPELINE</x:v>
      </x:c>
      <x:c r="B837" s="59" t="str">
        <x:v>update_frequency</x:v>
      </x:c>
      <x:c r="C837" s="59" t="str">
        <x:v>UNKNOWN — nie ustalono gwarantowanego cyklu publikacji.</x:v>
      </x:c>
    </x:row>
    <x:row r="838" ht="30" customHeight="1">
      <x:c r="A838" s="59" t="str">
        <x:v>STOEN_PIPELINE</x:v>
      </x:c>
      <x:c r="B838" s="59" t="str">
        <x:v>historical_data</x:v>
      </x:c>
      <x:c r="C838" s="59" t="str">
        <x:v>UNKNOWN — własne snapshoty od 10.09.2026, jeśli zapisano próbkę.</x:v>
      </x:c>
    </x:row>
    <x:row r="839" ht="30" customHeight="1">
      <x:c r="A839" s="59" t="str">
        <x:v>STOEN_PIPELINE</x:v>
      </x:c>
      <x:c r="B839" s="59" t="str">
        <x:v>authentication</x:v>
      </x:c>
      <x:c r="C839" s="59" t="str">
        <x:v>UNKNOWN — pełna treść nie została zweryfikowana.</x:v>
      </x:c>
    </x:row>
    <x:row r="840" ht="30" customHeight="1">
      <x:c r="A840" s="59" t="str">
        <x:v>STOEN_PIPELINE</x:v>
      </x:c>
      <x:c r="B840" s="59" t="str">
        <x:v>license</x:v>
      </x:c>
      <x:c r="C840" s="59" t="str">
        <x:v>UNKNOWN — nie potwierdzono otwartej licencji wybranego zbioru.</x:v>
      </x:c>
    </x:row>
    <x:row r="841" ht="30" customHeight="1">
      <x:c r="A841" s="59" t="str">
        <x:v>STOEN_PIPELINE</x:v>
      </x:c>
      <x:c r="B841" s="59" t="str">
        <x:v>license_url</x:v>
      </x:c>
      <x:c r="C841" s="59" t="str">
        <x:v>https://www.stoen.pl/strona/regulamin</x:v>
      </x:c>
    </x:row>
    <x:row r="842" ht="30" customHeight="1">
      <x:c r="A842" s="59" t="str">
        <x:v>STOEN_PIPELINE</x:v>
      </x:c>
      <x:c r="B842" s="59" t="str">
        <x:v>commercial_use</x:v>
      </x:c>
      <x:c r="C842" s="59" t="str">
        <x:v>REQUIRES_PERMISSION_REVIEW</x:v>
      </x:c>
    </x:row>
    <x:row r="843" ht="30" customHeight="1">
      <x:c r="A843" s="59" t="str">
        <x:v>STOEN_PIPELINE</x:v>
      </x:c>
      <x:c r="B843" s="59" t="str">
        <x:v>machine_readable</x:v>
      </x:c>
      <x:c r="C843" s="59" t="str">
        <x:v>UNKNOWN</x:v>
      </x:c>
    </x:row>
    <x:row r="844" ht="30" customHeight="1">
      <x:c r="A844" s="59" t="str">
        <x:v>STOEN_PIPELINE</x:v>
      </x:c>
      <x:c r="B844" s="59" t="str">
        <x:v>scraping_required</x:v>
      </x:c>
      <x:c r="C844" s="59" t="str">
        <x:v>UNKNOWN — przed scraperem preferować oficjalny plik lub API.</x:v>
      </x:c>
    </x:row>
    <x:row r="845" ht="30" customHeight="1">
      <x:c r="A845" s="59" t="str">
        <x:v>STOEN_PIPELINE</x:v>
      </x:c>
      <x:c r="B845" s="59" t="str">
        <x:v>data_quality_score</x:v>
      </x:c>
      <x:c r="C845" s="59" t="str">
        <x:v>UNKNOWN — nie ustalono</x:v>
      </x:c>
    </x:row>
    <x:row r="846" ht="30" customHeight="1">
      <x:c r="A846" s="59" t="str">
        <x:v>STOEN_PIPELINE</x:v>
      </x:c>
      <x:c r="B846" s="59" t="str">
        <x:v>quality_score_status</x:v>
      </x:c>
      <x:c r="C846" s="59" t="str">
        <x:v>NOT_CALIBRATED — autorytet źródła nie jest procentem kompletności lub trafności.</x:v>
      </x:c>
    </x:row>
    <x:row r="847" ht="30" customHeight="1">
      <x:c r="A847" s="59" t="str">
        <x:v>STOEN_PIPELINE</x:v>
      </x:c>
      <x:c r="B847" s="59" t="str">
        <x:v>last_verified</x:v>
      </x:c>
      <x:c r="C847" s="60" t="n">
        <x:v>46275</x:v>
      </x:c>
    </x:row>
    <x:row r="848" ht="30" customHeight="1">
      <x:c r="A848" s="59" t="str">
        <x:v>STOEN_PIPELINE</x:v>
      </x:c>
      <x:c r="B848" s="59" t="str">
        <x:v>last_successful_verification</x:v>
      </x:c>
      <x:c r="C848" s="59" t="str">
        <x:v>UNKNOWN — nie ustalono</x:v>
      </x:c>
    </x:row>
    <x:row r="849" ht="30" customHeight="1">
      <x:c r="A849" s="59" t="str">
        <x:v>STOEN_PIPELINE</x:v>
      </x:c>
      <x:c r="B849" s="59" t="str">
        <x:v>source_date</x:v>
      </x:c>
      <x:c r="C849" s="59" t="str">
        <x:v>UNKNOWN — nie ustalono</x:v>
      </x:c>
    </x:row>
    <x:row r="850" ht="30" customHeight="1">
      <x:c r="A850" s="59" t="str">
        <x:v>STOEN_PIPELINE</x:v>
      </x:c>
      <x:c r="B850" s="59" t="str">
        <x:v>publication_date</x:v>
      </x:c>
      <x:c r="C850" s="59" t="str">
        <x:v>UNKNOWN — nie ustalono</x:v>
      </x:c>
    </x:row>
    <x:row r="851" ht="30" customHeight="1">
      <x:c r="A851" s="59" t="str">
        <x:v>STOEN_PIPELINE</x:v>
      </x:c>
      <x:c r="B851" s="59" t="str">
        <x:v>source_version</x:v>
      </x:c>
      <x:c r="C851" s="59" t="str">
        <x:v>UNKNOWN — nie ustalono</x:v>
      </x:c>
    </x:row>
    <x:row r="852" ht="30" customHeight="1">
      <x:c r="A852" s="59" t="str">
        <x:v>STOEN_PIPELINE</x:v>
      </x:c>
      <x:c r="B852" s="59" t="str">
        <x:v>source_page</x:v>
      </x:c>
      <x:c r="C852" s="59" t="str">
        <x:v>UNKNOWN — nie ustalono</x:v>
      </x:c>
    </x:row>
    <x:row r="853" ht="30" customHeight="1">
      <x:c r="A853" s="59" t="str">
        <x:v>STOEN_PIPELINE</x:v>
      </x:c>
      <x:c r="B853" s="59" t="str">
        <x:v>valid_from</x:v>
      </x:c>
      <x:c r="C853" s="59" t="str">
        <x:v>UNKNOWN — nie ustalono</x:v>
      </x:c>
    </x:row>
    <x:row r="854" ht="30" customHeight="1">
      <x:c r="A854" s="59" t="str">
        <x:v>STOEN_PIPELINE</x:v>
      </x:c>
      <x:c r="B854" s="59" t="str">
        <x:v>valid_to</x:v>
      </x:c>
      <x:c r="C854" s="59" t="str">
        <x:v>UNKNOWN — nie ustalono</x:v>
      </x:c>
    </x:row>
    <x:row r="855" ht="30" customHeight="1">
      <x:c r="A855" s="59" t="str">
        <x:v>STOEN_PIPELINE</x:v>
      </x:c>
      <x:c r="B855" s="59" t="str">
        <x:v>current_future_scope</x:v>
      </x:c>
      <x:c r="C855" s="59" t="str">
        <x:v>SOURCE_DEPENDENT</x:v>
      </x:c>
    </x:row>
    <x:row r="856" ht="30" customHeight="1">
      <x:c r="A856" s="59" t="str">
        <x:v>STOEN_PIPELINE</x:v>
      </x:c>
      <x:c r="B856" s="59" t="str">
        <x:v>value_classification_default</x:v>
      </x:c>
      <x:c r="C856" s="59" t="str">
        <x:v>REPORTED</x:v>
      </x:c>
    </x:row>
    <x:row r="857" ht="38" customHeight="1">
      <x:c r="A857" s="59" t="str">
        <x:v>STOEN_PIPELINE</x:v>
      </x:c>
      <x:c r="B857" s="59" t="str">
        <x:v>automation_notes</x:v>
      </x:c>
      <x:c r="C857" s="59" t="str">
        <x:v>Jednorazowy przegląd; brak zgody na stały scraper wynikającej z samego dostępu. Sprawdzić warunki, robots.txt i limity przed wdrożeniem.</x:v>
      </x:c>
    </x:row>
    <x:row r="858" ht="30" customHeight="1">
      <x:c r="A858" s="59" t="str">
        <x:v>STOEN_PIPELINE</x:v>
      </x:c>
      <x:c r="B858" s="59" t="str">
        <x:v>probe_ids</x:v>
      </x:c>
      <x:c r="C858" s="59" t="str">
        <x:v>[]</x:v>
      </x:c>
    </x:row>
    <x:row r="859" ht="30" customHeight="1">
      <x:c r="A859" s="59" t="str">
        <x:v>STOEN_PIPELINE</x:v>
      </x:c>
      <x:c r="B859" s="59" t="str">
        <x:v>related_urls</x:v>
      </x:c>
      <x:c r="C859" s="59" t="str">
        <x:v>[]</x:v>
      </x:c>
    </x:row>
    <x:row r="860" ht="30" customHeight="1">
      <x:c r="A860" s="59" t="str">
        <x:v>STOEN_PIPELINE</x:v>
      </x:c>
      <x:c r="B860" s="59" t="str">
        <x:v>source_id</x:v>
      </x:c>
      <x:c r="C860" s="59" t="str">
        <x:v>STOEN_PIPELINE</x:v>
      </x:c>
    </x:row>
    <x:row r="861" ht="30" customHeight="1">
      <x:c r="A861" s="59" t="str">
        <x:v>STOEN_PIPELINE</x:v>
      </x:c>
      <x:c r="B861" s="59" t="str">
        <x:v>operator</x:v>
      </x:c>
      <x:c r="C861" s="59" t="str">
        <x:v>Stoen Operator</x:v>
      </x:c>
    </x:row>
    <x:row r="862" ht="30" customHeight="1">
      <x:c r="A862" s="59" t="str">
        <x:v>STOEN_PIPELINE</x:v>
      </x:c>
      <x:c r="B862" s="59" t="str">
        <x:v>source_name</x:v>
      </x:c>
      <x:c r="C862" s="59" t="str">
        <x:v>Wykaz podmiotów powyżej 1 kV — link do PDF</x:v>
      </x:c>
    </x:row>
    <x:row r="863" ht="38" customHeight="1">
      <x:c r="A863" s="59" t="str">
        <x:v>STOEN_PIPELINE</x:v>
      </x:c>
      <x:c r="B863" s="59" t="str">
        <x:v>url</x:v>
      </x:c>
      <x:c r="C863" s="59" t="str">
        <x:v>https://www.stoen.pl/files/2026-08/1788176873_zestawienie-informacji-dot.-podmiotow-ubiegajacych-sie-o-przylaczenie-pow.-1kv-stan-na-30.06.2026-r.pdf</x:v>
      </x:c>
    </x:row>
    <x:row r="864" ht="30" customHeight="1">
      <x:c r="A864" s="59" t="str">
        <x:v>STOEN_PIPELINE</x:v>
      </x:c>
      <x:c r="B864" s="59" t="str">
        <x:v>data_owner</x:v>
      </x:c>
      <x:c r="C864" s="59" t="str">
        <x:v>Stoen Operator sp. z o.o.</x:v>
      </x:c>
    </x:row>
    <x:row r="865" ht="30" customHeight="1">
      <x:c r="A865" s="59" t="str">
        <x:v>STOEN_PIPELINE</x:v>
      </x:c>
      <x:c r="B865" s="59" t="str">
        <x:v>data_category</x:v>
      </x:c>
      <x:c r="C865" s="59" t="str">
        <x:v>connection_pipeline</x:v>
      </x:c>
    </x:row>
    <x:row r="866" ht="30" customHeight="1">
      <x:c r="A866" s="59" t="str">
        <x:v>STOEN_PIPELINE</x:v>
      </x:c>
      <x:c r="B866" s="59" t="str">
        <x:v>data_format</x:v>
      </x:c>
      <x:c r="C866" s="59" t="str">
        <x:v>[ "PDF" ]</x:v>
      </x:c>
    </x:row>
    <x:row r="867" ht="30" customHeight="1">
      <x:c r="A867" s="59" t="str">
        <x:v>STOEN_PIPELINE</x:v>
      </x:c>
      <x:c r="B867" s="59" t="str">
        <x:v>verification_status</x:v>
      </x:c>
      <x:c r="C867" s="59" t="str">
        <x:v>DISCOVERED</x:v>
      </x:c>
    </x:row>
    <x:row r="868" ht="30" customHeight="1">
      <x:c r="A868" s="59" t="str">
        <x:v>STOEN_PIPELINE</x:v>
      </x:c>
      <x:c r="B868" s="59" t="str">
        <x:v>reliability</x:v>
      </x:c>
      <x:c r="C868" s="59" t="str">
        <x:v>B</x:v>
      </x:c>
    </x:row>
    <x:row r="869" ht="30" customHeight="1">
      <x:c r="A869" s="59" t="str">
        <x:v>STOEN_PIPELINE</x:v>
      </x:c>
      <x:c r="B869" s="59" t="str">
        <x:v>key_fields</x:v>
      </x:c>
      <x:c r="C869" s="59" t="str">
        <x:v>[ "UNKNOWN — nie odczytano tabel" ]</x:v>
      </x:c>
    </x:row>
    <x:row r="870" ht="30" customHeight="1">
      <x:c r="A870" s="59" t="str">
        <x:v>STOEN_PIPELINE</x:v>
      </x:c>
      <x:c r="B870" s="59" t="str">
        <x:v>potential_application</x:v>
      </x:c>
      <x:c r="C870" s="59" t="str">
        <x:v>Uzupełnienie lokalnego pipeline po walidacji.</x:v>
      </x:c>
    </x:row>
    <x:row r="871" ht="30" customHeight="1">
      <x:c r="A871" s="59" t="str">
        <x:v>STOEN_PIPELINE</x:v>
      </x:c>
      <x:c r="B871" s="59" t="str">
        <x:v>known_limitations</x:v>
      </x:c>
      <x:c r="C871" s="59" t="str">
        <x:v>[ "Link znaleziony na oficjalnej stronie; data 30.06.2026 z nazwy, bez walidacji treści." ]</x:v>
      </x:c>
    </x:row>
    <x:row r="872" ht="30" customHeight="1">
      <x:c r="A872" s="59" t="str">
        <x:v>STOEN_PIPELINE</x:v>
      </x:c>
      <x:c r="B872" s="59" t="str">
        <x:v>priority</x:v>
      </x:c>
      <x:c r="C872" s="59" t="str">
        <x:v>P2</x:v>
      </x:c>
    </x:row>
    <x:row r="873" ht="30" customHeight="1">
      <x:c r="A873" s="59" t="str">
        <x:v>STOEN_PIPELINE</x:v>
      </x:c>
      <x:c r="B873" s="59" t="str">
        <x:v>evidence</x:v>
      </x:c>
      <x:c r="C873" s="59" t="str">
        <x:v>[]</x:v>
      </x:c>
    </x:row>
    <x:row r="874" ht="30" customHeight="1">
      <x:c r="A874" s="59" t="str">
        <x:v>STOEN_PIPELINE</x:v>
      </x:c>
      <x:c r="B874" s="59" t="str">
        <x:v>retrieval_date</x:v>
      </x:c>
      <x:c r="C874" s="59" t="str">
        <x:v>[]</x:v>
      </x:c>
    </x:row>
    <x:row r="875" ht="30" customHeight="1">
      <x:c r="A875" s="59" t="str">
        <x:v>STOEN_STORAGE</x:v>
      </x:c>
      <x:c r="B875" s="59" t="str">
        <x:v>country</x:v>
      </x:c>
      <x:c r="C875" s="59" t="str">
        <x:v>PL</x:v>
      </x:c>
    </x:row>
    <x:row r="876" ht="30" customHeight="1">
      <x:c r="A876" s="59" t="str">
        <x:v>STOEN_STORAGE</x:v>
      </x:c>
      <x:c r="B876" s="59" t="str">
        <x:v>geographical_scope</x:v>
      </x:c>
      <x:c r="C876" s="59" t="str">
        <x:v>Zakres publikacji danego operatora/instytucji; nie założono pełnego pokrycia kraju.</x:v>
      </x:c>
    </x:row>
    <x:row r="877" ht="30" customHeight="1">
      <x:c r="A877" s="59" t="str">
        <x:v>STOEN_STORAGE</x:v>
      </x:c>
      <x:c r="B877" s="59" t="str">
        <x:v>grid_voltage</x:v>
      </x:c>
      <x:c r="C877" s="59" t="str">
        <x:v>[ "UNKNOWN_OR_NOT_APPLICABLE" ]</x:v>
      </x:c>
    </x:row>
    <x:row r="878" ht="30" customHeight="1">
      <x:c r="A878" s="59" t="str">
        <x:v>STOEN_STORAGE</x:v>
      </x:c>
      <x:c r="B878" s="59" t="str">
        <x:v>api_available</x:v>
      </x:c>
      <x:c r="C878" s="59" t="str">
        <x:v>UNKNOWN</x:v>
      </x:c>
    </x:row>
    <x:row r="879" ht="30" customHeight="1">
      <x:c r="A879" s="59" t="str">
        <x:v>STOEN_STORAGE</x:v>
      </x:c>
      <x:c r="B879" s="59" t="str">
        <x:v>gis_available</x:v>
      </x:c>
      <x:c r="C879" s="59" t="str">
        <x:v>UNKNOWN</x:v>
      </x:c>
    </x:row>
    <x:row r="880" ht="30" customHeight="1">
      <x:c r="A880" s="59" t="str">
        <x:v>STOEN_STORAGE</x:v>
      </x:c>
      <x:c r="B880" s="59" t="str">
        <x:v>update_frequency</x:v>
      </x:c>
      <x:c r="C880" s="59" t="str">
        <x:v>UNKNOWN — nie ustalono gwarantowanego cyklu publikacji.</x:v>
      </x:c>
    </x:row>
    <x:row r="881" ht="30" customHeight="1">
      <x:c r="A881" s="59" t="str">
        <x:v>STOEN_STORAGE</x:v>
      </x:c>
      <x:c r="B881" s="59" t="str">
        <x:v>historical_data</x:v>
      </x:c>
      <x:c r="C881" s="59" t="str">
        <x:v>UNKNOWN — własne snapshoty od 10.09.2026, jeśli zapisano próbkę.</x:v>
      </x:c>
    </x:row>
    <x:row r="882" ht="30" customHeight="1">
      <x:c r="A882" s="59" t="str">
        <x:v>STOEN_STORAGE</x:v>
      </x:c>
      <x:c r="B882" s="59" t="str">
        <x:v>authentication</x:v>
      </x:c>
      <x:c r="C882" s="59" t="str">
        <x:v>UNKNOWN — pełna treść nie została zweryfikowana.</x:v>
      </x:c>
    </x:row>
    <x:row r="883" ht="30" customHeight="1">
      <x:c r="A883" s="59" t="str">
        <x:v>STOEN_STORAGE</x:v>
      </x:c>
      <x:c r="B883" s="59" t="str">
        <x:v>license</x:v>
      </x:c>
      <x:c r="C883" s="59" t="str">
        <x:v>UNKNOWN — nie potwierdzono otwartej licencji wybranego zbioru.</x:v>
      </x:c>
    </x:row>
    <x:row r="884" ht="30" customHeight="1">
      <x:c r="A884" s="59" t="str">
        <x:v>STOEN_STORAGE</x:v>
      </x:c>
      <x:c r="B884" s="59" t="str">
        <x:v>license_url</x:v>
      </x:c>
      <x:c r="C884" s="59" t="str">
        <x:v>https://www.stoen.pl/strona/regulamin</x:v>
      </x:c>
    </x:row>
    <x:row r="885" ht="30" customHeight="1">
      <x:c r="A885" s="59" t="str">
        <x:v>STOEN_STORAGE</x:v>
      </x:c>
      <x:c r="B885" s="59" t="str">
        <x:v>commercial_use</x:v>
      </x:c>
      <x:c r="C885" s="59" t="str">
        <x:v>REQUIRES_PERMISSION_REVIEW</x:v>
      </x:c>
    </x:row>
    <x:row r="886" ht="30" customHeight="1">
      <x:c r="A886" s="59" t="str">
        <x:v>STOEN_STORAGE</x:v>
      </x:c>
      <x:c r="B886" s="59" t="str">
        <x:v>machine_readable</x:v>
      </x:c>
      <x:c r="C886" s="59" t="str">
        <x:v>UNKNOWN</x:v>
      </x:c>
    </x:row>
    <x:row r="887" ht="30" customHeight="1">
      <x:c r="A887" s="59" t="str">
        <x:v>STOEN_STORAGE</x:v>
      </x:c>
      <x:c r="B887" s="59" t="str">
        <x:v>scraping_required</x:v>
      </x:c>
      <x:c r="C887" s="59" t="str">
        <x:v>UNKNOWN — przed scraperem preferować oficjalny plik lub API.</x:v>
      </x:c>
    </x:row>
    <x:row r="888" ht="30" customHeight="1">
      <x:c r="A888" s="59" t="str">
        <x:v>STOEN_STORAGE</x:v>
      </x:c>
      <x:c r="B888" s="59" t="str">
        <x:v>data_quality_score</x:v>
      </x:c>
      <x:c r="C888" s="59" t="str">
        <x:v>UNKNOWN — nie ustalono</x:v>
      </x:c>
    </x:row>
    <x:row r="889" ht="30" customHeight="1">
      <x:c r="A889" s="59" t="str">
        <x:v>STOEN_STORAGE</x:v>
      </x:c>
      <x:c r="B889" s="59" t="str">
        <x:v>quality_score_status</x:v>
      </x:c>
      <x:c r="C889" s="59" t="str">
        <x:v>NOT_CALIBRATED — autorytet źródła nie jest procentem kompletności lub trafności.</x:v>
      </x:c>
    </x:row>
    <x:row r="890" ht="30" customHeight="1">
      <x:c r="A890" s="59" t="str">
        <x:v>STOEN_STORAGE</x:v>
      </x:c>
      <x:c r="B890" s="59" t="str">
        <x:v>last_verified</x:v>
      </x:c>
      <x:c r="C890" s="60" t="n">
        <x:v>46275</x:v>
      </x:c>
    </x:row>
    <x:row r="891" ht="30" customHeight="1">
      <x:c r="A891" s="59" t="str">
        <x:v>STOEN_STORAGE</x:v>
      </x:c>
      <x:c r="B891" s="59" t="str">
        <x:v>last_successful_verification</x:v>
      </x:c>
      <x:c r="C891" s="59" t="str">
        <x:v>UNKNOWN — nie ustalono</x:v>
      </x:c>
    </x:row>
    <x:row r="892" ht="30" customHeight="1">
      <x:c r="A892" s="59" t="str">
        <x:v>STOEN_STORAGE</x:v>
      </x:c>
      <x:c r="B892" s="59" t="str">
        <x:v>source_date</x:v>
      </x:c>
      <x:c r="C892" s="59" t="str">
        <x:v>UNKNOWN — nie ustalono</x:v>
      </x:c>
    </x:row>
    <x:row r="893" ht="30" customHeight="1">
      <x:c r="A893" s="59" t="str">
        <x:v>STOEN_STORAGE</x:v>
      </x:c>
      <x:c r="B893" s="59" t="str">
        <x:v>publication_date</x:v>
      </x:c>
      <x:c r="C893" s="59" t="str">
        <x:v>UNKNOWN — nie ustalono</x:v>
      </x:c>
    </x:row>
    <x:row r="894" ht="30" customHeight="1">
      <x:c r="A894" s="59" t="str">
        <x:v>STOEN_STORAGE</x:v>
      </x:c>
      <x:c r="B894" s="59" t="str">
        <x:v>source_version</x:v>
      </x:c>
      <x:c r="C894" s="59" t="str">
        <x:v>UNKNOWN — nie ustalono</x:v>
      </x:c>
    </x:row>
    <x:row r="895" ht="30" customHeight="1">
      <x:c r="A895" s="59" t="str">
        <x:v>STOEN_STORAGE</x:v>
      </x:c>
      <x:c r="B895" s="59" t="str">
        <x:v>source_page</x:v>
      </x:c>
      <x:c r="C895" s="59" t="str">
        <x:v>UNKNOWN — nie ustalono</x:v>
      </x:c>
    </x:row>
    <x:row r="896" ht="30" customHeight="1">
      <x:c r="A896" s="59" t="str">
        <x:v>STOEN_STORAGE</x:v>
      </x:c>
      <x:c r="B896" s="59" t="str">
        <x:v>valid_from</x:v>
      </x:c>
      <x:c r="C896" s="59" t="str">
        <x:v>UNKNOWN — nie ustalono</x:v>
      </x:c>
    </x:row>
    <x:row r="897" ht="30" customHeight="1">
      <x:c r="A897" s="59" t="str">
        <x:v>STOEN_STORAGE</x:v>
      </x:c>
      <x:c r="B897" s="59" t="str">
        <x:v>valid_to</x:v>
      </x:c>
      <x:c r="C897" s="59" t="str">
        <x:v>UNKNOWN — nie ustalono</x:v>
      </x:c>
    </x:row>
    <x:row r="898" ht="30" customHeight="1">
      <x:c r="A898" s="59" t="str">
        <x:v>STOEN_STORAGE</x:v>
      </x:c>
      <x:c r="B898" s="59" t="str">
        <x:v>current_future_scope</x:v>
      </x:c>
      <x:c r="C898" s="59" t="str">
        <x:v>SOURCE_DEPENDENT</x:v>
      </x:c>
    </x:row>
    <x:row r="899" ht="30" customHeight="1">
      <x:c r="A899" s="59" t="str">
        <x:v>STOEN_STORAGE</x:v>
      </x:c>
      <x:c r="B899" s="59" t="str">
        <x:v>value_classification_default</x:v>
      </x:c>
      <x:c r="C899" s="59" t="str">
        <x:v>REPORTED</x:v>
      </x:c>
    </x:row>
    <x:row r="900" ht="38" customHeight="1">
      <x:c r="A900" s="59" t="str">
        <x:v>STOEN_STORAGE</x:v>
      </x:c>
      <x:c r="B900" s="59" t="str">
        <x:v>automation_notes</x:v>
      </x:c>
      <x:c r="C900" s="59" t="str">
        <x:v>Jednorazowy przegląd; brak zgody na stały scraper wynikającej z samego dostępu. Sprawdzić warunki, robots.txt i limity przed wdrożeniem.</x:v>
      </x:c>
    </x:row>
    <x:row r="901" ht="30" customHeight="1">
      <x:c r="A901" s="59" t="str">
        <x:v>STOEN_STORAGE</x:v>
      </x:c>
      <x:c r="B901" s="59" t="str">
        <x:v>probe_ids</x:v>
      </x:c>
      <x:c r="C901" s="59" t="str">
        <x:v>[]</x:v>
      </x:c>
    </x:row>
    <x:row r="902" ht="30" customHeight="1">
      <x:c r="A902" s="59" t="str">
        <x:v>STOEN_STORAGE</x:v>
      </x:c>
      <x:c r="B902" s="59" t="str">
        <x:v>related_urls</x:v>
      </x:c>
      <x:c r="C902" s="59" t="str">
        <x:v>[]</x:v>
      </x:c>
    </x:row>
    <x:row r="903" ht="30" customHeight="1">
      <x:c r="A903" s="59" t="str">
        <x:v>STOEN_STORAGE</x:v>
      </x:c>
      <x:c r="B903" s="59" t="str">
        <x:v>source_id</x:v>
      </x:c>
      <x:c r="C903" s="59" t="str">
        <x:v>STOEN_STORAGE</x:v>
      </x:c>
    </x:row>
    <x:row r="904" ht="30" customHeight="1">
      <x:c r="A904" s="59" t="str">
        <x:v>STOEN_STORAGE</x:v>
      </x:c>
      <x:c r="B904" s="59" t="str">
        <x:v>operator</x:v>
      </x:c>
      <x:c r="C904" s="59" t="str">
        <x:v>Stoen Operator</x:v>
      </x:c>
    </x:row>
    <x:row r="905" ht="30" customHeight="1">
      <x:c r="A905" s="59" t="str">
        <x:v>STOEN_STORAGE</x:v>
      </x:c>
      <x:c r="B905" s="59" t="str">
        <x:v>source_name</x:v>
      </x:c>
      <x:c r="C905" s="59" t="str">
        <x:v>Rejestr magazynów — link do PDF</x:v>
      </x:c>
    </x:row>
    <x:row r="906" ht="30" customHeight="1">
      <x:c r="A906" s="59" t="str">
        <x:v>STOEN_STORAGE</x:v>
      </x:c>
      <x:c r="B906" s="59" t="str">
        <x:v>url</x:v>
      </x:c>
      <x:c r="C906" s="59" t="str">
        <x:v>https://www.stoen.pl/files/2026-01/rejestr-magazynow-energii-stoen-operator-sp.-z-o.o.pdf</x:v>
      </x:c>
    </x:row>
    <x:row r="907" ht="30" customHeight="1">
      <x:c r="A907" s="59" t="str">
        <x:v>STOEN_STORAGE</x:v>
      </x:c>
      <x:c r="B907" s="59" t="str">
        <x:v>data_owner</x:v>
      </x:c>
      <x:c r="C907" s="59" t="str">
        <x:v>Stoen Operator sp. z o.o.</x:v>
      </x:c>
    </x:row>
    <x:row r="908" ht="30" customHeight="1">
      <x:c r="A908" s="59" t="str">
        <x:v>STOEN_STORAGE</x:v>
      </x:c>
      <x:c r="B908" s="59" t="str">
        <x:v>data_category</x:v>
      </x:c>
      <x:c r="C908" s="59" t="str">
        <x:v>storage_register</x:v>
      </x:c>
    </x:row>
    <x:row r="909" ht="30" customHeight="1">
      <x:c r="A909" s="59" t="str">
        <x:v>STOEN_STORAGE</x:v>
      </x:c>
      <x:c r="B909" s="59" t="str">
        <x:v>data_format</x:v>
      </x:c>
      <x:c r="C909" s="59" t="str">
        <x:v>[ "PDF" ]</x:v>
      </x:c>
    </x:row>
    <x:row r="910" ht="30" customHeight="1">
      <x:c r="A910" s="59" t="str">
        <x:v>STOEN_STORAGE</x:v>
      </x:c>
      <x:c r="B910" s="59" t="str">
        <x:v>verification_status</x:v>
      </x:c>
      <x:c r="C910" s="59" t="str">
        <x:v>DISCOVERED</x:v>
      </x:c>
    </x:row>
    <x:row r="911" ht="30" customHeight="1">
      <x:c r="A911" s="59" t="str">
        <x:v>STOEN_STORAGE</x:v>
      </x:c>
      <x:c r="B911" s="59" t="str">
        <x:v>reliability</x:v>
      </x:c>
      <x:c r="C911" s="59" t="str">
        <x:v>B</x:v>
      </x:c>
    </x:row>
    <x:row r="912" ht="30" customHeight="1">
      <x:c r="A912" s="59" t="str">
        <x:v>STOEN_STORAGE</x:v>
      </x:c>
      <x:c r="B912" s="59" t="str">
        <x:v>key_fields</x:v>
      </x:c>
      <x:c r="C912" s="59" t="str">
        <x:v>[ "UNKNOWN — nie odczytano tabel" ]</x:v>
      </x:c>
    </x:row>
    <x:row r="913" ht="30" customHeight="1">
      <x:c r="A913" s="59" t="str">
        <x:v>STOEN_STORAGE</x:v>
      </x:c>
      <x:c r="B913" s="59" t="str">
        <x:v>potential_application</x:v>
      </x:c>
      <x:c r="C913" s="59" t="str">
        <x:v>Weryfikacja istniejących BESS po sprawdzeniu zakresu rejestru.</x:v>
      </x:c>
    </x:row>
    <x:row r="914" ht="30" customHeight="1">
      <x:c r="A914" s="59" t="str">
        <x:v>STOEN_STORAGE</x:v>
      </x:c>
      <x:c r="B914" s="59" t="str">
        <x:v>known_limitations</x:v>
      </x:c>
      <x:c r="C914" s="59" t="str">
        <x:v>[ "Nie ustalono pól, progów wpisu ani aktualnej daty stanu." ]</x:v>
      </x:c>
    </x:row>
    <x:row r="915" ht="30" customHeight="1">
      <x:c r="A915" s="59" t="str">
        <x:v>STOEN_STORAGE</x:v>
      </x:c>
      <x:c r="B915" s="59" t="str">
        <x:v>priority</x:v>
      </x:c>
      <x:c r="C915" s="59" t="str">
        <x:v>P2</x:v>
      </x:c>
    </x:row>
    <x:row r="916" ht="30" customHeight="1">
      <x:c r="A916" s="59" t="str">
        <x:v>STOEN_STORAGE</x:v>
      </x:c>
      <x:c r="B916" s="59" t="str">
        <x:v>evidence</x:v>
      </x:c>
      <x:c r="C916" s="59" t="str">
        <x:v>[]</x:v>
      </x:c>
    </x:row>
    <x:row r="917" ht="30" customHeight="1">
      <x:c r="A917" s="59" t="str">
        <x:v>STOEN_STORAGE</x:v>
      </x:c>
      <x:c r="B917" s="59" t="str">
        <x:v>retrieval_date</x:v>
      </x:c>
      <x:c r="C917" s="59" t="str">
        <x:v>[]</x:v>
      </x:c>
    </x:row>
    <x:row r="918" ht="30" customHeight="1">
      <x:c r="A918" s="59" t="str">
        <x:v>STOEN_PLAN</x:v>
      </x:c>
      <x:c r="B918" s="59" t="str">
        <x:v>country</x:v>
      </x:c>
      <x:c r="C918" s="59" t="str">
        <x:v>PL</x:v>
      </x:c>
    </x:row>
    <x:row r="919" ht="30" customHeight="1">
      <x:c r="A919" s="59" t="str">
        <x:v>STOEN_PLAN</x:v>
      </x:c>
      <x:c r="B919" s="59" t="str">
        <x:v>geographical_scope</x:v>
      </x:c>
      <x:c r="C919" s="59" t="str">
        <x:v>Zakres publikacji danego operatora/instytucji; nie założono pełnego pokrycia kraju.</x:v>
      </x:c>
    </x:row>
    <x:row r="920" ht="30" customHeight="1">
      <x:c r="A920" s="59" t="str">
        <x:v>STOEN_PLAN</x:v>
      </x:c>
      <x:c r="B920" s="59" t="str">
        <x:v>grid_voltage</x:v>
      </x:c>
      <x:c r="C920" s="59" t="str">
        <x:v>[ "UNKNOWN_OR_NOT_APPLICABLE" ]</x:v>
      </x:c>
    </x:row>
    <x:row r="921" ht="30" customHeight="1">
      <x:c r="A921" s="59" t="str">
        <x:v>STOEN_PLAN</x:v>
      </x:c>
      <x:c r="B921" s="59" t="str">
        <x:v>api_available</x:v>
      </x:c>
      <x:c r="C921" s="59" t="str">
        <x:v>UNKNOWN</x:v>
      </x:c>
    </x:row>
    <x:row r="922" ht="30" customHeight="1">
      <x:c r="A922" s="59" t="str">
        <x:v>STOEN_PLAN</x:v>
      </x:c>
      <x:c r="B922" s="59" t="str">
        <x:v>gis_available</x:v>
      </x:c>
      <x:c r="C922" s="59" t="str">
        <x:v>UNKNOWN</x:v>
      </x:c>
    </x:row>
    <x:row r="923" ht="30" customHeight="1">
      <x:c r="A923" s="59" t="str">
        <x:v>STOEN_PLAN</x:v>
      </x:c>
      <x:c r="B923" s="59" t="str">
        <x:v>update_frequency</x:v>
      </x:c>
      <x:c r="C923" s="59" t="str">
        <x:v>UNKNOWN — nie ustalono gwarantowanego cyklu publikacji.</x:v>
      </x:c>
    </x:row>
    <x:row r="924" ht="30" customHeight="1">
      <x:c r="A924" s="59" t="str">
        <x:v>STOEN_PLAN</x:v>
      </x:c>
      <x:c r="B924" s="59" t="str">
        <x:v>historical_data</x:v>
      </x:c>
      <x:c r="C924" s="59" t="str">
        <x:v>UNKNOWN — własne snapshoty od 10.09.2026, jeśli zapisano próbkę.</x:v>
      </x:c>
    </x:row>
    <x:row r="925" ht="30" customHeight="1">
      <x:c r="A925" s="59" t="str">
        <x:v>STOEN_PLAN</x:v>
      </x:c>
      <x:c r="B925" s="59" t="str">
        <x:v>authentication</x:v>
      </x:c>
      <x:c r="C925" s="59" t="str">
        <x:v>UNKNOWN — pełna treść nie została zweryfikowana.</x:v>
      </x:c>
    </x:row>
    <x:row r="926" ht="30" customHeight="1">
      <x:c r="A926" s="59" t="str">
        <x:v>STOEN_PLAN</x:v>
      </x:c>
      <x:c r="B926" s="59" t="str">
        <x:v>license</x:v>
      </x:c>
      <x:c r="C926" s="59" t="str">
        <x:v>UNKNOWN — nie potwierdzono otwartej licencji wybranego zbioru.</x:v>
      </x:c>
    </x:row>
    <x:row r="927" ht="30" customHeight="1">
      <x:c r="A927" s="59" t="str">
        <x:v>STOEN_PLAN</x:v>
      </x:c>
      <x:c r="B927" s="59" t="str">
        <x:v>license_url</x:v>
      </x:c>
      <x:c r="C927" s="59" t="str">
        <x:v>https://www.stoen.pl/strona/regulamin</x:v>
      </x:c>
    </x:row>
    <x:row r="928" ht="30" customHeight="1">
      <x:c r="A928" s="59" t="str">
        <x:v>STOEN_PLAN</x:v>
      </x:c>
      <x:c r="B928" s="59" t="str">
        <x:v>commercial_use</x:v>
      </x:c>
      <x:c r="C928" s="59" t="str">
        <x:v>REQUIRES_PERMISSION_REVIEW</x:v>
      </x:c>
    </x:row>
    <x:row r="929" ht="30" customHeight="1">
      <x:c r="A929" s="59" t="str">
        <x:v>STOEN_PLAN</x:v>
      </x:c>
      <x:c r="B929" s="59" t="str">
        <x:v>machine_readable</x:v>
      </x:c>
      <x:c r="C929" s="59" t="str">
        <x:v>UNKNOWN</x:v>
      </x:c>
    </x:row>
    <x:row r="930" ht="30" customHeight="1">
      <x:c r="A930" s="59" t="str">
        <x:v>STOEN_PLAN</x:v>
      </x:c>
      <x:c r="B930" s="59" t="str">
        <x:v>scraping_required</x:v>
      </x:c>
      <x:c r="C930" s="59" t="str">
        <x:v>UNKNOWN — przed scraperem preferować oficjalny plik lub API.</x:v>
      </x:c>
    </x:row>
    <x:row r="931" ht="30" customHeight="1">
      <x:c r="A931" s="59" t="str">
        <x:v>STOEN_PLAN</x:v>
      </x:c>
      <x:c r="B931" s="59" t="str">
        <x:v>data_quality_score</x:v>
      </x:c>
      <x:c r="C931" s="59" t="str">
        <x:v>UNKNOWN — nie ustalono</x:v>
      </x:c>
    </x:row>
    <x:row r="932" ht="30" customHeight="1">
      <x:c r="A932" s="59" t="str">
        <x:v>STOEN_PLAN</x:v>
      </x:c>
      <x:c r="B932" s="59" t="str">
        <x:v>quality_score_status</x:v>
      </x:c>
      <x:c r="C932" s="59" t="str">
        <x:v>NOT_CALIBRATED — autorytet źródła nie jest procentem kompletności lub trafności.</x:v>
      </x:c>
    </x:row>
    <x:row r="933" ht="30" customHeight="1">
      <x:c r="A933" s="59" t="str">
        <x:v>STOEN_PLAN</x:v>
      </x:c>
      <x:c r="B933" s="59" t="str">
        <x:v>last_verified</x:v>
      </x:c>
      <x:c r="C933" s="60" t="n">
        <x:v>46275</x:v>
      </x:c>
    </x:row>
    <x:row r="934" ht="30" customHeight="1">
      <x:c r="A934" s="59" t="str">
        <x:v>STOEN_PLAN</x:v>
      </x:c>
      <x:c r="B934" s="59" t="str">
        <x:v>last_successful_verification</x:v>
      </x:c>
      <x:c r="C934" s="59" t="str">
        <x:v>UNKNOWN — nie ustalono</x:v>
      </x:c>
    </x:row>
    <x:row r="935" ht="30" customHeight="1">
      <x:c r="A935" s="59" t="str">
        <x:v>STOEN_PLAN</x:v>
      </x:c>
      <x:c r="B935" s="59" t="str">
        <x:v>source_date</x:v>
      </x:c>
      <x:c r="C935" s="59" t="str">
        <x:v>UNKNOWN — nie ustalono</x:v>
      </x:c>
    </x:row>
    <x:row r="936" ht="30" customHeight="1">
      <x:c r="A936" s="59" t="str">
        <x:v>STOEN_PLAN</x:v>
      </x:c>
      <x:c r="B936" s="59" t="str">
        <x:v>publication_date</x:v>
      </x:c>
      <x:c r="C936" s="59" t="str">
        <x:v>UNKNOWN — nie ustalono</x:v>
      </x:c>
    </x:row>
    <x:row r="937" ht="30" customHeight="1">
      <x:c r="A937" s="59" t="str">
        <x:v>STOEN_PLAN</x:v>
      </x:c>
      <x:c r="B937" s="59" t="str">
        <x:v>source_version</x:v>
      </x:c>
      <x:c r="C937" s="59" t="str">
        <x:v>UNKNOWN — nie ustalono</x:v>
      </x:c>
    </x:row>
    <x:row r="938" ht="30" customHeight="1">
      <x:c r="A938" s="59" t="str">
        <x:v>STOEN_PLAN</x:v>
      </x:c>
      <x:c r="B938" s="59" t="str">
        <x:v>source_page</x:v>
      </x:c>
      <x:c r="C938" s="59" t="str">
        <x:v>UNKNOWN — nie ustalono</x:v>
      </x:c>
    </x:row>
    <x:row r="939" ht="30" customHeight="1">
      <x:c r="A939" s="59" t="str">
        <x:v>STOEN_PLAN</x:v>
      </x:c>
      <x:c r="B939" s="59" t="str">
        <x:v>valid_from</x:v>
      </x:c>
      <x:c r="C939" s="59" t="str">
        <x:v>UNKNOWN — nie ustalono</x:v>
      </x:c>
    </x:row>
    <x:row r="940" ht="30" customHeight="1">
      <x:c r="A940" s="59" t="str">
        <x:v>STOEN_PLAN</x:v>
      </x:c>
      <x:c r="B940" s="59" t="str">
        <x:v>valid_to</x:v>
      </x:c>
      <x:c r="C940" s="59" t="str">
        <x:v>UNKNOWN — nie ustalono</x:v>
      </x:c>
    </x:row>
    <x:row r="941" ht="30" customHeight="1">
      <x:c r="A941" s="59" t="str">
        <x:v>STOEN_PLAN</x:v>
      </x:c>
      <x:c r="B941" s="59" t="str">
        <x:v>current_future_scope</x:v>
      </x:c>
      <x:c r="C941" s="59" t="str">
        <x:v>FUTURE_GRID</x:v>
      </x:c>
    </x:row>
    <x:row r="942" ht="30" customHeight="1">
      <x:c r="A942" s="59" t="str">
        <x:v>STOEN_PLAN</x:v>
      </x:c>
      <x:c r="B942" s="59" t="str">
        <x:v>value_classification_default</x:v>
      </x:c>
      <x:c r="C942" s="59" t="str">
        <x:v>REPORTED</x:v>
      </x:c>
    </x:row>
    <x:row r="943" ht="38" customHeight="1">
      <x:c r="A943" s="59" t="str">
        <x:v>STOEN_PLAN</x:v>
      </x:c>
      <x:c r="B943" s="59" t="str">
        <x:v>automation_notes</x:v>
      </x:c>
      <x:c r="C943" s="59" t="str">
        <x:v>Jednorazowy przegląd; brak zgody na stały scraper wynikającej z samego dostępu. Sprawdzić warunki, robots.txt i limity przed wdrożeniem.</x:v>
      </x:c>
    </x:row>
    <x:row r="944" ht="30" customHeight="1">
      <x:c r="A944" s="59" t="str">
        <x:v>STOEN_PLAN</x:v>
      </x:c>
      <x:c r="B944" s="59" t="str">
        <x:v>probe_ids</x:v>
      </x:c>
      <x:c r="C944" s="59" t="str">
        <x:v>[]</x:v>
      </x:c>
    </x:row>
    <x:row r="945" ht="30" customHeight="1">
      <x:c r="A945" s="59" t="str">
        <x:v>STOEN_PLAN</x:v>
      </x:c>
      <x:c r="B945" s="59" t="str">
        <x:v>related_urls</x:v>
      </x:c>
      <x:c r="C945" s="59" t="str">
        <x:v>[]</x:v>
      </x:c>
    </x:row>
    <x:row r="946" ht="30" customHeight="1">
      <x:c r="A946" s="59" t="str">
        <x:v>STOEN_PLAN</x:v>
      </x:c>
      <x:c r="B946" s="59" t="str">
        <x:v>source_id</x:v>
      </x:c>
      <x:c r="C946" s="59" t="str">
        <x:v>STOEN_PLAN</x:v>
      </x:c>
    </x:row>
    <x:row r="947" ht="30" customHeight="1">
      <x:c r="A947" s="59" t="str">
        <x:v>STOEN_PLAN</x:v>
      </x:c>
      <x:c r="B947" s="59" t="str">
        <x:v>operator</x:v>
      </x:c>
      <x:c r="C947" s="59" t="str">
        <x:v>Stoen Operator</x:v>
      </x:c>
    </x:row>
    <x:row r="948" ht="30" customHeight="1">
      <x:c r="A948" s="59" t="str">
        <x:v>STOEN_PLAN</x:v>
      </x:c>
      <x:c r="B948" s="59" t="str">
        <x:v>source_name</x:v>
      </x:c>
      <x:c r="C948" s="59" t="str">
        <x:v>Plan rozwoju 2026–2031</x:v>
      </x:c>
    </x:row>
    <x:row r="949" ht="38" customHeight="1">
      <x:c r="A949" s="59" t="str">
        <x:v>STOEN_PLAN</x:v>
      </x:c>
      <x:c r="B949" s="59" t="str">
        <x:v>url</x:v>
      </x:c>
      <x:c r="C949" s="59" t="str">
        <x:v>https://stoen.pl/strona/plan-rozwoju-w-zakresie-zaspokojenia-obecnego-i-przyszlego-zapotrzebowania-na-energie-elektryczna-na-lata-2026-2031</x:v>
      </x:c>
    </x:row>
    <x:row r="950" ht="30" customHeight="1">
      <x:c r="A950" s="59" t="str">
        <x:v>STOEN_PLAN</x:v>
      </x:c>
      <x:c r="B950" s="59" t="str">
        <x:v>data_owner</x:v>
      </x:c>
      <x:c r="C950" s="59" t="str">
        <x:v>Stoen Operator sp. z o.o.</x:v>
      </x:c>
    </x:row>
    <x:row r="951" ht="30" customHeight="1">
      <x:c r="A951" s="59" t="str">
        <x:v>STOEN_PLAN</x:v>
      </x:c>
      <x:c r="B951" s="59" t="str">
        <x:v>data_category</x:v>
      </x:c>
      <x:c r="C951" s="59" t="str">
        <x:v>grid_investments</x:v>
      </x:c>
    </x:row>
    <x:row r="952" ht="30" customHeight="1">
      <x:c r="A952" s="59" t="str">
        <x:v>STOEN_PLAN</x:v>
      </x:c>
      <x:c r="B952" s="59" t="str">
        <x:v>data_format</x:v>
      </x:c>
      <x:c r="C952" s="59" t="str">
        <x:v>[ "HTML", "PDF" ]</x:v>
      </x:c>
    </x:row>
    <x:row r="953" ht="30" customHeight="1">
      <x:c r="A953" s="59" t="str">
        <x:v>STOEN_PLAN</x:v>
      </x:c>
      <x:c r="B953" s="59" t="str">
        <x:v>verification_status</x:v>
      </x:c>
      <x:c r="C953" s="59" t="str">
        <x:v>DISCOVERED</x:v>
      </x:c>
    </x:row>
    <x:row r="954" ht="30" customHeight="1">
      <x:c r="A954" s="59" t="str">
        <x:v>STOEN_PLAN</x:v>
      </x:c>
      <x:c r="B954" s="59" t="str">
        <x:v>reliability</x:v>
      </x:c>
      <x:c r="C954" s="59" t="str">
        <x:v>B</x:v>
      </x:c>
    </x:row>
    <x:row r="955" ht="30" customHeight="1">
      <x:c r="A955" s="59" t="str">
        <x:v>STOEN_PLAN</x:v>
      </x:c>
      <x:c r="B955" s="59" t="str">
        <x:v>key_fields</x:v>
      </x:c>
      <x:c r="C955" s="59" t="str">
        <x:v>[ "dokument planu" ]</x:v>
      </x:c>
    </x:row>
    <x:row r="956" ht="30" customHeight="1">
      <x:c r="A956" s="59" t="str">
        <x:v>STOEN_PLAN</x:v>
      </x:c>
      <x:c r="B956" s="59" t="str">
        <x:v>potential_application</x:v>
      </x:c>
      <x:c r="C956" s="59" t="str">
        <x:v>Przyszłe inwestycje po odczycie załącznika.</x:v>
      </x:c>
    </x:row>
    <x:row r="957" ht="30" customHeight="1">
      <x:c r="A957" s="59" t="str">
        <x:v>STOEN_PLAN</x:v>
      </x:c>
      <x:c r="B957" s="59" t="str">
        <x:v>known_limitations</x:v>
      </x:c>
      <x:c r="C957" s="59" t="str">
        <x:v>[ "Indeks sieci opisuje plan jako uzgodniony; pełny dokument nie został zwalidowany." ]</x:v>
      </x:c>
    </x:row>
    <x:row r="958" ht="30" customHeight="1">
      <x:c r="A958" s="59" t="str">
        <x:v>STOEN_PLAN</x:v>
      </x:c>
      <x:c r="B958" s="59" t="str">
        <x:v>priority</x:v>
      </x:c>
      <x:c r="C958" s="59" t="str">
        <x:v>P2</x:v>
      </x:c>
    </x:row>
    <x:row r="959" ht="30" customHeight="1">
      <x:c r="A959" s="59" t="str">
        <x:v>STOEN_PLAN</x:v>
      </x:c>
      <x:c r="B959" s="59" t="str">
        <x:v>evidence</x:v>
      </x:c>
      <x:c r="C959" s="59" t="str">
        <x:v>[]</x:v>
      </x:c>
    </x:row>
    <x:row r="960" ht="30" customHeight="1">
      <x:c r="A960" s="59" t="str">
        <x:v>STOEN_PLAN</x:v>
      </x:c>
      <x:c r="B960" s="59" t="str">
        <x:v>retrieval_date</x:v>
      </x:c>
      <x:c r="C960" s="59" t="str">
        <x:v>[]</x:v>
      </x:c>
    </x:row>
    <x:row r="961" ht="30" customHeight="1">
      <x:c r="A961" s="59" t="str">
        <x:v>PGE_LANDING</x:v>
      </x:c>
      <x:c r="B961" s="59" t="str">
        <x:v>country</x:v>
      </x:c>
      <x:c r="C961" s="59" t="str">
        <x:v>PL</x:v>
      </x:c>
    </x:row>
    <x:row r="962" ht="30" customHeight="1">
      <x:c r="A962" s="59" t="str">
        <x:v>PGE_LANDING</x:v>
      </x:c>
      <x:c r="B962" s="59" t="str">
        <x:v>geographical_scope</x:v>
      </x:c>
      <x:c r="C962" s="59" t="str">
        <x:v>Zakres publikacji danego operatora/instytucji; nie założono pełnego pokrycia kraju.</x:v>
      </x:c>
    </x:row>
    <x:row r="963" ht="30" customHeight="1">
      <x:c r="A963" s="59" t="str">
        <x:v>PGE_LANDING</x:v>
      </x:c>
      <x:c r="B963" s="59" t="str">
        <x:v>grid_voltage</x:v>
      </x:c>
      <x:c r="C963" s="59" t="str">
        <x:v>[ "UNKNOWN_OR_NOT_APPLICABLE" ]</x:v>
      </x:c>
    </x:row>
    <x:row r="964" ht="30" customHeight="1">
      <x:c r="A964" s="59" t="str">
        <x:v>PGE_LANDING</x:v>
      </x:c>
      <x:c r="B964" s="59" t="str">
        <x:v>api_available</x:v>
      </x:c>
      <x:c r="C964" s="59" t="str">
        <x:v>UNKNOWN</x:v>
      </x:c>
    </x:row>
    <x:row r="965" ht="30" customHeight="1">
      <x:c r="A965" s="59" t="str">
        <x:v>PGE_LANDING</x:v>
      </x:c>
      <x:c r="B965" s="59" t="str">
        <x:v>gis_available</x:v>
      </x:c>
      <x:c r="C965" s="59" t="str">
        <x:v>UNKNOWN</x:v>
      </x:c>
    </x:row>
    <x:row r="966" ht="30" customHeight="1">
      <x:c r="A966" s="59" t="str">
        <x:v>PGE_LANDING</x:v>
      </x:c>
      <x:c r="B966" s="59" t="str">
        <x:v>update_frequency</x:v>
      </x:c>
      <x:c r="C966" s="59" t="str">
        <x:v>UNKNOWN — nie ustalono gwarantowanego cyklu publikacji.</x:v>
      </x:c>
    </x:row>
    <x:row r="967" ht="30" customHeight="1">
      <x:c r="A967" s="59" t="str">
        <x:v>PGE_LANDING</x:v>
      </x:c>
      <x:c r="B967" s="59" t="str">
        <x:v>historical_data</x:v>
      </x:c>
      <x:c r="C967" s="59" t="str">
        <x:v>UNKNOWN — własne snapshoty od 10.09.2026, jeśli zapisano próbkę.</x:v>
      </x:c>
    </x:row>
    <x:row r="968" ht="30" customHeight="1">
      <x:c r="A968" s="59" t="str">
        <x:v>PGE_LANDING</x:v>
      </x:c>
      <x:c r="B968" s="59" t="str">
        <x:v>authentication</x:v>
      </x:c>
      <x:c r="C968" s="59" t="str">
        <x:v>UNKNOWN — pełna treść nie została zweryfikowana.</x:v>
      </x:c>
    </x:row>
    <x:row r="969" ht="30" customHeight="1">
      <x:c r="A969" s="59" t="str">
        <x:v>PGE_LANDING</x:v>
      </x:c>
      <x:c r="B969" s="59" t="str">
        <x:v>license</x:v>
      </x:c>
      <x:c r="C969" s="59" t="str">
        <x:v>UNKNOWN — nie potwierdzono otwartej licencji wybranego zbioru.</x:v>
      </x:c>
    </x:row>
    <x:row r="970" ht="30" customHeight="1">
      <x:c r="A970" s="59" t="str">
        <x:v>PGE_LANDING</x:v>
      </x:c>
      <x:c r="B970" s="59" t="str">
        <x:v>license_url</x:v>
      </x:c>
      <x:c r="C970" s="59" t="str">
        <x:v>UNKNOWN — nie ustalono</x:v>
      </x:c>
    </x:row>
    <x:row r="971" ht="30" customHeight="1">
      <x:c r="A971" s="59" t="str">
        <x:v>PGE_LANDING</x:v>
      </x:c>
      <x:c r="B971" s="59" t="str">
        <x:v>commercial_use</x:v>
      </x:c>
      <x:c r="C971" s="59" t="str">
        <x:v>UNKNOWN</x:v>
      </x:c>
    </x:row>
    <x:row r="972" ht="30" customHeight="1">
      <x:c r="A972" s="59" t="str">
        <x:v>PGE_LANDING</x:v>
      </x:c>
      <x:c r="B972" s="59" t="str">
        <x:v>machine_readable</x:v>
      </x:c>
      <x:c r="C972" s="59" t="str">
        <x:v>UNKNOWN</x:v>
      </x:c>
    </x:row>
    <x:row r="973" ht="30" customHeight="1">
      <x:c r="A973" s="59" t="str">
        <x:v>PGE_LANDING</x:v>
      </x:c>
      <x:c r="B973" s="59" t="str">
        <x:v>scraping_required</x:v>
      </x:c>
      <x:c r="C973" s="59" t="str">
        <x:v>UNKNOWN — przed scraperem preferować oficjalny plik lub API.</x:v>
      </x:c>
    </x:row>
    <x:row r="974" ht="30" customHeight="1">
      <x:c r="A974" s="59" t="str">
        <x:v>PGE_LANDING</x:v>
      </x:c>
      <x:c r="B974" s="59" t="str">
        <x:v>data_quality_score</x:v>
      </x:c>
      <x:c r="C974" s="59" t="str">
        <x:v>UNKNOWN — nie ustalono</x:v>
      </x:c>
    </x:row>
    <x:row r="975" ht="30" customHeight="1">
      <x:c r="A975" s="59" t="str">
        <x:v>PGE_LANDING</x:v>
      </x:c>
      <x:c r="B975" s="59" t="str">
        <x:v>quality_score_status</x:v>
      </x:c>
      <x:c r="C975" s="59" t="str">
        <x:v>NOT_CALIBRATED — autorytet źródła nie jest procentem kompletności lub trafności.</x:v>
      </x:c>
    </x:row>
    <x:row r="976" ht="30" customHeight="1">
      <x:c r="A976" s="59" t="str">
        <x:v>PGE_LANDING</x:v>
      </x:c>
      <x:c r="B976" s="59" t="str">
        <x:v>last_verified</x:v>
      </x:c>
      <x:c r="C976" s="60" t="n">
        <x:v>46275</x:v>
      </x:c>
    </x:row>
    <x:row r="977" ht="30" customHeight="1">
      <x:c r="A977" s="59" t="str">
        <x:v>PGE_LANDING</x:v>
      </x:c>
      <x:c r="B977" s="59" t="str">
        <x:v>last_successful_verification</x:v>
      </x:c>
      <x:c r="C977" s="59" t="str">
        <x:v>UNKNOWN — nie ustalono</x:v>
      </x:c>
    </x:row>
    <x:row r="978" ht="30" customHeight="1">
      <x:c r="A978" s="59" t="str">
        <x:v>PGE_LANDING</x:v>
      </x:c>
      <x:c r="B978" s="59" t="str">
        <x:v>source_date</x:v>
      </x:c>
      <x:c r="C978" s="59" t="str">
        <x:v>UNKNOWN — nie ustalono</x:v>
      </x:c>
    </x:row>
    <x:row r="979" ht="30" customHeight="1">
      <x:c r="A979" s="59" t="str">
        <x:v>PGE_LANDING</x:v>
      </x:c>
      <x:c r="B979" s="59" t="str">
        <x:v>publication_date</x:v>
      </x:c>
      <x:c r="C979" s="59" t="str">
        <x:v>UNKNOWN — nie ustalono</x:v>
      </x:c>
    </x:row>
    <x:row r="980" ht="30" customHeight="1">
      <x:c r="A980" s="59" t="str">
        <x:v>PGE_LANDING</x:v>
      </x:c>
      <x:c r="B980" s="59" t="str">
        <x:v>source_version</x:v>
      </x:c>
      <x:c r="C980" s="59" t="str">
        <x:v>UNKNOWN — nie ustalono</x:v>
      </x:c>
    </x:row>
    <x:row r="981" ht="30" customHeight="1">
      <x:c r="A981" s="59" t="str">
        <x:v>PGE_LANDING</x:v>
      </x:c>
      <x:c r="B981" s="59" t="str">
        <x:v>source_page</x:v>
      </x:c>
      <x:c r="C981" s="59" t="str">
        <x:v>UNKNOWN — nie ustalono</x:v>
      </x:c>
    </x:row>
    <x:row r="982" ht="30" customHeight="1">
      <x:c r="A982" s="59" t="str">
        <x:v>PGE_LANDING</x:v>
      </x:c>
      <x:c r="B982" s="59" t="str">
        <x:v>valid_from</x:v>
      </x:c>
      <x:c r="C982" s="59" t="str">
        <x:v>UNKNOWN — nie ustalono</x:v>
      </x:c>
    </x:row>
    <x:row r="983" ht="30" customHeight="1">
      <x:c r="A983" s="59" t="str">
        <x:v>PGE_LANDING</x:v>
      </x:c>
      <x:c r="B983" s="59" t="str">
        <x:v>valid_to</x:v>
      </x:c>
      <x:c r="C983" s="59" t="str">
        <x:v>UNKNOWN — nie ustalono</x:v>
      </x:c>
    </x:row>
    <x:row r="984" ht="30" customHeight="1">
      <x:c r="A984" s="59" t="str">
        <x:v>PGE_LANDING</x:v>
      </x:c>
      <x:c r="B984" s="59" t="str">
        <x:v>current_future_scope</x:v>
      </x:c>
      <x:c r="C984" s="59" t="str">
        <x:v>SOURCE_DEPENDENT</x:v>
      </x:c>
    </x:row>
    <x:row r="985" ht="30" customHeight="1">
      <x:c r="A985" s="59" t="str">
        <x:v>PGE_LANDING</x:v>
      </x:c>
      <x:c r="B985" s="59" t="str">
        <x:v>value_classification_default</x:v>
      </x:c>
      <x:c r="C985" s="59" t="str">
        <x:v>REPORTED</x:v>
      </x:c>
    </x:row>
    <x:row r="986" ht="30" customHeight="1">
      <x:c r="A986" s="59" t="str">
        <x:v>PGE_LANDING</x:v>
      </x:c>
      <x:c r="B986" s="59" t="str">
        <x:v>automation_notes</x:v>
      </x:c>
      <x:c r="C986" s="59" t="str">
        <x:v>Nie obchodzić WAF; potwierdzić zwykły dostęp lub oficjalny kanał.</x:v>
      </x:c>
    </x:row>
    <x:row r="987" ht="30" customHeight="1">
      <x:c r="A987" s="59" t="str">
        <x:v>PGE_LANDING</x:v>
      </x:c>
      <x:c r="B987" s="59" t="str">
        <x:v>probe_ids</x:v>
      </x:c>
      <x:c r="C987" s="59" t="str">
        <x:v>[ "PGE_LANDING" ]</x:v>
      </x:c>
    </x:row>
    <x:row r="988" ht="30" customHeight="1">
      <x:c r="A988" s="59" t="str">
        <x:v>PGE_LANDING</x:v>
      </x:c>
      <x:c r="B988" s="59" t="str">
        <x:v>related_urls</x:v>
      </x:c>
      <x:c r="C988" s="59" t="str">
        <x:v>[]</x:v>
      </x:c>
    </x:row>
    <x:row r="989" ht="30" customHeight="1">
      <x:c r="A989" s="59" t="str">
        <x:v>PGE_LANDING</x:v>
      </x:c>
      <x:c r="B989" s="59" t="str">
        <x:v>source_id</x:v>
      </x:c>
      <x:c r="C989" s="59" t="str">
        <x:v>PGE_LANDING</x:v>
      </x:c>
    </x:row>
    <x:row r="990" ht="30" customHeight="1">
      <x:c r="A990" s="59" t="str">
        <x:v>PGE_LANDING</x:v>
      </x:c>
      <x:c r="B990" s="59" t="str">
        <x:v>operator</x:v>
      </x:c>
      <x:c r="C990" s="59" t="str">
        <x:v>PGE Dystrybucja</x:v>
      </x:c>
    </x:row>
    <x:row r="991" ht="30" customHeight="1">
      <x:c r="A991" s="59" t="str">
        <x:v>PGE_LANDING</x:v>
      </x:c>
      <x:c r="B991" s="59" t="str">
        <x:v>source_name</x:v>
      </x:c>
      <x:c r="C991" s="59" t="str">
        <x:v>Dostępne moce dla źródeł wytwórczych</x:v>
      </x:c>
    </x:row>
    <x:row r="992" ht="30" customHeight="1">
      <x:c r="A992" s="59" t="str">
        <x:v>PGE_LANDING</x:v>
      </x:c>
      <x:c r="B992" s="59" t="str">
        <x:v>url</x:v>
      </x:c>
      <x:c r="C992" s="59" t="str">
        <x:v>https://pgedystrybucja.pl/przylaczenia/procedury-przylaczeniowe/dostepne-moce-dla-zrodel-wytworczych</x:v>
      </x:c>
    </x:row>
    <x:row r="993" ht="30" customHeight="1">
      <x:c r="A993" s="59" t="str">
        <x:v>PGE_LANDING</x:v>
      </x:c>
      <x:c r="B993" s="59" t="str">
        <x:v>data_owner</x:v>
      </x:c>
      <x:c r="C993" s="59" t="str">
        <x:v>PGE Dystrybucja S.A.</x:v>
      </x:c>
    </x:row>
    <x:row r="994" ht="30" customHeight="1">
      <x:c r="A994" s="59" t="str">
        <x:v>PGE_LANDING</x:v>
      </x:c>
      <x:c r="B994" s="59" t="str">
        <x:v>data_category</x:v>
      </x:c>
      <x:c r="C994" s="59" t="str">
        <x:v>connection_capacity</x:v>
      </x:c>
    </x:row>
    <x:row r="995" ht="30" customHeight="1">
      <x:c r="A995" s="59" t="str">
        <x:v>PGE_LANDING</x:v>
      </x:c>
      <x:c r="B995" s="59" t="str">
        <x:v>data_format</x:v>
      </x:c>
      <x:c r="C995" s="59" t="str">
        <x:v>[ "HTML" ]</x:v>
      </x:c>
    </x:row>
    <x:row r="996" ht="30" customHeight="1">
      <x:c r="A996" s="59" t="str">
        <x:v>PGE_LANDING</x:v>
      </x:c>
      <x:c r="B996" s="59" t="str">
        <x:v>verification_status</x:v>
      </x:c>
      <x:c r="C996" s="59" t="str">
        <x:v>BLOCKED</x:v>
      </x:c>
    </x:row>
    <x:row r="997" ht="30" customHeight="1">
      <x:c r="A997" s="59" t="str">
        <x:v>PGE_LANDING</x:v>
      </x:c>
      <x:c r="B997" s="59" t="str">
        <x:v>reliability</x:v>
      </x:c>
      <x:c r="C997" s="59" t="str">
        <x:v>B</x:v>
      </x:c>
    </x:row>
    <x:row r="998" ht="30" customHeight="1">
      <x:c r="A998" s="59" t="str">
        <x:v>PGE_LANDING</x:v>
      </x:c>
      <x:c r="B998" s="59" t="str">
        <x:v>key_fields</x:v>
      </x:c>
      <x:c r="C998" s="59" t="str">
        <x:v>[ "UNKNOWN" ]</x:v>
      </x:c>
    </x:row>
    <x:row r="999" ht="30" customHeight="1">
      <x:c r="A999" s="59" t="str">
        <x:v>PGE_LANDING</x:v>
      </x:c>
      <x:c r="B999" s="59" t="str">
        <x:v>potential_application</x:v>
      </x:c>
      <x:c r="C999" s="59" t="str">
        <x:v>Ważne pokrycie OSD po rozwiązaniu dostępu.</x:v>
      </x:c>
    </x:row>
    <x:row r="1000" ht="38" customHeight="1">
      <x:c r="A1000" s="59" t="str">
        <x:v>PGE_LANDING</x:v>
      </x:c>
      <x:c r="B1000" s="59" t="str">
        <x:v>known_limitations</x:v>
      </x:c>
      <x:c r="C1000" s="59" t="str">
        <x:v>[ "HTTP 200 zawierał 346-bajtową stronę odrzucenia, nie dane.", "Nie wnioskować o jakości datasetu z samej blokady." ]</x:v>
      </x:c>
    </x:row>
    <x:row r="1001" ht="30" customHeight="1">
      <x:c r="A1001" s="59" t="str">
        <x:v>PGE_LANDING</x:v>
      </x:c>
      <x:c r="B1001" s="59" t="str">
        <x:v>priority</x:v>
      </x:c>
      <x:c r="C1001" s="59" t="str">
        <x:v>P1</x:v>
      </x:c>
    </x:row>
    <x:row r="1002" ht="80" customHeight="1">
      <x:c r="A1002" s="59" t="str">
        <x:v>PGE_LANDING</x:v>
      </x:c>
      <x:c r="B1002" s="59" t="str">
        <x:v>evidence</x:v>
      </x:c>
      <x:c r="C1002" s="59" t="str">
        <x:v>[ { "source_id": "PGE_LANDING", "url": "https://pgedystrybucja.pl/przylaczenia/procedury-przylaczeniowe/dostepne-moce-dla-zrodel-wytworczych", "retrieval_date": "2026-09-10T11:18:12.5181247Z", "http_status": 200, "content_type": "text/html", "bytes": 346, "sha256": "c73441b7a02ccd821ccc51e2f95f22195dd028faface80fb40ac21f5151db4df", "local_path": "data/raw/research/2026-09-10/pge_capacity_landing.html", "error": null, "manifest": "data/catalog/probe_results_20260910T111813793Z.json" } ]</x:v>
      </x:c>
    </x:row>
    <x:row r="1003" ht="30" customHeight="1">
      <x:c r="A1003" s="59" t="str">
        <x:v>PGE_LANDING</x:v>
      </x:c>
      <x:c r="B1003" s="59" t="str">
        <x:v>retrieval_date</x:v>
      </x:c>
      <x:c r="C1003" s="59" t="str">
        <x:v>[ "2026-09-10T11:18:12.5181247Z" ]</x:v>
      </x:c>
    </x:row>
    <x:row r="1004" ht="30" customHeight="1">
      <x:c r="A1004" s="59" t="str">
        <x:v>PGE_EXPORT_DISCOVERY</x:v>
      </x:c>
      <x:c r="B1004" s="59" t="str">
        <x:v>country</x:v>
      </x:c>
      <x:c r="C1004" s="59" t="str">
        <x:v>PL</x:v>
      </x:c>
    </x:row>
    <x:row r="1005" ht="30" customHeight="1">
      <x:c r="A1005" s="59" t="str">
        <x:v>PGE_EXPORT_DISCOVERY</x:v>
      </x:c>
      <x:c r="B1005" s="59" t="str">
        <x:v>geographical_scope</x:v>
      </x:c>
      <x:c r="C1005" s="59" t="str">
        <x:v>Zakres publikacji danego operatora/instytucji; nie założono pełnego pokrycia kraju.</x:v>
      </x:c>
    </x:row>
    <x:row r="1006" ht="30" customHeight="1">
      <x:c r="A1006" s="59" t="str">
        <x:v>PGE_EXPORT_DISCOVERY</x:v>
      </x:c>
      <x:c r="B1006" s="59" t="str">
        <x:v>grid_voltage</x:v>
      </x:c>
      <x:c r="C1006" s="59" t="str">
        <x:v>[ "UNKNOWN_OR_NOT_APPLICABLE" ]</x:v>
      </x:c>
    </x:row>
    <x:row r="1007" ht="30" customHeight="1">
      <x:c r="A1007" s="59" t="str">
        <x:v>PGE_EXPORT_DISCOVERY</x:v>
      </x:c>
      <x:c r="B1007" s="59" t="str">
        <x:v>api_available</x:v>
      </x:c>
      <x:c r="C1007" s="59" t="str">
        <x:v>UNKNOWN</x:v>
      </x:c>
    </x:row>
    <x:row r="1008" ht="30" customHeight="1">
      <x:c r="A1008" s="59" t="str">
        <x:v>PGE_EXPORT_DISCOVERY</x:v>
      </x:c>
      <x:c r="B1008" s="59" t="str">
        <x:v>gis_available</x:v>
      </x:c>
      <x:c r="C1008" s="59" t="str">
        <x:v>UNKNOWN</x:v>
      </x:c>
    </x:row>
    <x:row r="1009" ht="30" customHeight="1">
      <x:c r="A1009" s="59" t="str">
        <x:v>PGE_EXPORT_DISCOVERY</x:v>
      </x:c>
      <x:c r="B1009" s="59" t="str">
        <x:v>update_frequency</x:v>
      </x:c>
      <x:c r="C1009" s="59" t="str">
        <x:v>UNKNOWN — nie ustalono gwarantowanego cyklu publikacji.</x:v>
      </x:c>
    </x:row>
    <x:row r="1010" ht="30" customHeight="1">
      <x:c r="A1010" s="59" t="str">
        <x:v>PGE_EXPORT_DISCOVERY</x:v>
      </x:c>
      <x:c r="B1010" s="59" t="str">
        <x:v>historical_data</x:v>
      </x:c>
      <x:c r="C1010" s="59" t="str">
        <x:v>UNKNOWN — własne snapshoty od 10.09.2026, jeśli zapisano próbkę.</x:v>
      </x:c>
    </x:row>
    <x:row r="1011" ht="30" customHeight="1">
      <x:c r="A1011" s="59" t="str">
        <x:v>PGE_EXPORT_DISCOVERY</x:v>
      </x:c>
      <x:c r="B1011" s="59" t="str">
        <x:v>authentication</x:v>
      </x:c>
      <x:c r="C1011" s="59" t="str">
        <x:v>UNKNOWN — pełna treść nie została zweryfikowana.</x:v>
      </x:c>
    </x:row>
    <x:row r="1012" ht="30" customHeight="1">
      <x:c r="A1012" s="59" t="str">
        <x:v>PGE_EXPORT_DISCOVERY</x:v>
      </x:c>
      <x:c r="B1012" s="59" t="str">
        <x:v>license</x:v>
      </x:c>
      <x:c r="C1012" s="59" t="str">
        <x:v>UNKNOWN — nie potwierdzono otwartej licencji wybranego zbioru.</x:v>
      </x:c>
    </x:row>
    <x:row r="1013" ht="30" customHeight="1">
      <x:c r="A1013" s="59" t="str">
        <x:v>PGE_EXPORT_DISCOVERY</x:v>
      </x:c>
      <x:c r="B1013" s="59" t="str">
        <x:v>license_url</x:v>
      </x:c>
      <x:c r="C1013" s="59" t="str">
        <x:v>UNKNOWN — nie ustalono</x:v>
      </x:c>
    </x:row>
    <x:row r="1014" ht="30" customHeight="1">
      <x:c r="A1014" s="59" t="str">
        <x:v>PGE_EXPORT_DISCOVERY</x:v>
      </x:c>
      <x:c r="B1014" s="59" t="str">
        <x:v>commercial_use</x:v>
      </x:c>
      <x:c r="C1014" s="59" t="str">
        <x:v>UNKNOWN</x:v>
      </x:c>
    </x:row>
    <x:row r="1015" ht="30" customHeight="1">
      <x:c r="A1015" s="59" t="str">
        <x:v>PGE_EXPORT_DISCOVERY</x:v>
      </x:c>
      <x:c r="B1015" s="59" t="str">
        <x:v>machine_readable</x:v>
      </x:c>
      <x:c r="C1015" s="59" t="str">
        <x:v>UNKNOWN</x:v>
      </x:c>
    </x:row>
    <x:row r="1016" ht="30" customHeight="1">
      <x:c r="A1016" s="59" t="str">
        <x:v>PGE_EXPORT_DISCOVERY</x:v>
      </x:c>
      <x:c r="B1016" s="59" t="str">
        <x:v>scraping_required</x:v>
      </x:c>
      <x:c r="C1016" s="59" t="str">
        <x:v>UNKNOWN — przed scraperem preferować oficjalny plik lub API.</x:v>
      </x:c>
    </x:row>
    <x:row r="1017" ht="30" customHeight="1">
      <x:c r="A1017" s="59" t="str">
        <x:v>PGE_EXPORT_DISCOVERY</x:v>
      </x:c>
      <x:c r="B1017" s="59" t="str">
        <x:v>data_quality_score</x:v>
      </x:c>
      <x:c r="C1017" s="59" t="str">
        <x:v>UNKNOWN — nie ustalono</x:v>
      </x:c>
    </x:row>
    <x:row r="1018" ht="30" customHeight="1">
      <x:c r="A1018" s="59" t="str">
        <x:v>PGE_EXPORT_DISCOVERY</x:v>
      </x:c>
      <x:c r="B1018" s="59" t="str">
        <x:v>quality_score_status</x:v>
      </x:c>
      <x:c r="C1018" s="59" t="str">
        <x:v>NOT_CALIBRATED — autorytet źródła nie jest procentem kompletności lub trafności.</x:v>
      </x:c>
    </x:row>
    <x:row r="1019" ht="30" customHeight="1">
      <x:c r="A1019" s="59" t="str">
        <x:v>PGE_EXPORT_DISCOVERY</x:v>
      </x:c>
      <x:c r="B1019" s="59" t="str">
        <x:v>last_verified</x:v>
      </x:c>
      <x:c r="C1019" s="60" t="n">
        <x:v>46281</x:v>
      </x:c>
    </x:row>
    <x:row r="1020" ht="30" customHeight="1">
      <x:c r="A1020" s="59" t="str">
        <x:v>PGE_EXPORT_DISCOVERY</x:v>
      </x:c>
      <x:c r="B1020" s="59" t="str">
        <x:v>last_successful_verification</x:v>
      </x:c>
      <x:c r="C1020" s="59" t="str">
        <x:v>UNKNOWN — nie ustalono</x:v>
      </x:c>
    </x:row>
    <x:row r="1021" ht="30" customHeight="1">
      <x:c r="A1021" s="59" t="str">
        <x:v>PGE_EXPORT_DISCOVERY</x:v>
      </x:c>
      <x:c r="B1021" s="59" t="str">
        <x:v>source_date</x:v>
      </x:c>
      <x:c r="C1021" s="59" t="str">
        <x:v>UNKNOWN — nie ustalono</x:v>
      </x:c>
    </x:row>
    <x:row r="1022" ht="30" customHeight="1">
      <x:c r="A1022" s="59" t="str">
        <x:v>PGE_EXPORT_DISCOVERY</x:v>
      </x:c>
      <x:c r="B1022" s="59" t="str">
        <x:v>publication_date</x:v>
      </x:c>
      <x:c r="C1022" s="59" t="str">
        <x:v>UNKNOWN — nie ustalono</x:v>
      </x:c>
    </x:row>
    <x:row r="1023" ht="30" customHeight="1">
      <x:c r="A1023" s="59" t="str">
        <x:v>PGE_EXPORT_DISCOVERY</x:v>
      </x:c>
      <x:c r="B1023" s="59" t="str">
        <x:v>source_version</x:v>
      </x:c>
      <x:c r="C1023" s="59" t="str">
        <x:v>UNKNOWN — nie ustalono</x:v>
      </x:c>
    </x:row>
    <x:row r="1024" ht="30" customHeight="1">
      <x:c r="A1024" s="59" t="str">
        <x:v>PGE_EXPORT_DISCOVERY</x:v>
      </x:c>
      <x:c r="B1024" s="59" t="str">
        <x:v>source_page</x:v>
      </x:c>
      <x:c r="C1024" s="59" t="str">
        <x:v>UNKNOWN — nie ustalono</x:v>
      </x:c>
    </x:row>
    <x:row r="1025" ht="30" customHeight="1">
      <x:c r="A1025" s="59" t="str">
        <x:v>PGE_EXPORT_DISCOVERY</x:v>
      </x:c>
      <x:c r="B1025" s="59" t="str">
        <x:v>valid_from</x:v>
      </x:c>
      <x:c r="C1025" s="59" t="str">
        <x:v>UNKNOWN — nie ustalono</x:v>
      </x:c>
    </x:row>
    <x:row r="1026" ht="30" customHeight="1">
      <x:c r="A1026" s="59" t="str">
        <x:v>PGE_EXPORT_DISCOVERY</x:v>
      </x:c>
      <x:c r="B1026" s="59" t="str">
        <x:v>valid_to</x:v>
      </x:c>
      <x:c r="C1026" s="59" t="str">
        <x:v>UNKNOWN — nie ustalono</x:v>
      </x:c>
    </x:row>
    <x:row r="1027" ht="30" customHeight="1">
      <x:c r="A1027" s="59" t="str">
        <x:v>PGE_EXPORT_DISCOVERY</x:v>
      </x:c>
      <x:c r="B1027" s="59" t="str">
        <x:v>current_future_scope</x:v>
      </x:c>
      <x:c r="C1027" s="59" t="str">
        <x:v>SOURCE_DEPENDENT</x:v>
      </x:c>
    </x:row>
    <x:row r="1028" ht="30" customHeight="1">
      <x:c r="A1028" s="59" t="str">
        <x:v>PGE_EXPORT_DISCOVERY</x:v>
      </x:c>
      <x:c r="B1028" s="59" t="str">
        <x:v>value_classification_default</x:v>
      </x:c>
      <x:c r="C1028" s="59" t="str">
        <x:v>REPORTED</x:v>
      </x:c>
    </x:row>
    <x:row r="1029" ht="38" customHeight="1">
      <x:c r="A1029" s="59" t="str">
        <x:v>PGE_EXPORT_DISCOVERY</x:v>
      </x:c>
      <x:c r="B1029" s="59" t="str">
        <x:v>automation_notes</x:v>
      </x:c>
      <x:c r="C1029" s="59" t="str">
        <x:v>Pobieranie niepotwierdzone: odpowiedź HTML zamiast PDF. Nie wyprowadzono danych z fragmentów wyszukiwarki. Pomoc użytkownika: NEED-011.</x:v>
      </x:c>
    </x:row>
    <x:row r="1030" ht="30" customHeight="1">
      <x:c r="A1030" s="59" t="str">
        <x:v>PGE_EXPORT_DISCOVERY</x:v>
      </x:c>
      <x:c r="B1030" s="59" t="str">
        <x:v>probe_ids</x:v>
      </x:c>
      <x:c r="C1030" s="59" t="str">
        <x:v>[]</x:v>
      </x:c>
    </x:row>
    <x:row r="1031" ht="30" customHeight="1">
      <x:c r="A1031" s="59" t="str">
        <x:v>PGE_EXPORT_DISCOVERY</x:v>
      </x:c>
      <x:c r="B1031" s="59" t="str">
        <x:v>related_urls</x:v>
      </x:c>
      <x:c r="C1031" s="59" t="str">
        <x:v>[]</x:v>
      </x:c>
    </x:row>
    <x:row r="1032" ht="30" customHeight="1">
      <x:c r="A1032" s="59" t="str">
        <x:v>PGE_EXPORT_DISCOVERY</x:v>
      </x:c>
      <x:c r="B1032" s="59" t="str">
        <x:v>source_id</x:v>
      </x:c>
      <x:c r="C1032" s="59" t="str">
        <x:v>PGE_EXPORT_DISCOVERY</x:v>
      </x:c>
    </x:row>
    <x:row r="1033" ht="30" customHeight="1">
      <x:c r="A1033" s="59" t="str">
        <x:v>PGE_EXPORT_DISCOVERY</x:v>
      </x:c>
      <x:c r="B1033" s="59" t="str">
        <x:v>operator</x:v>
      </x:c>
      <x:c r="C1033" s="59" t="str">
        <x:v>PGE Dystrybucja</x:v>
      </x:c>
    </x:row>
    <x:row r="1034" ht="30" customHeight="1">
      <x:c r="A1034" s="59" t="str">
        <x:v>PGE_EXPORT_DISCOVERY</x:v>
      </x:c>
      <x:c r="B1034" s="59" t="str">
        <x:v>source_name</x:v>
      </x:c>
      <x:c r="C1034" s="59" t="str">
        <x:v>Dostępne moce I kwartał 2026 — wskazanie wyszukiwarki</x:v>
      </x:c>
    </x:row>
    <x:row r="1035" ht="38" customHeight="1">
      <x:c r="A1035" s="59" t="str">
        <x:v>PGE_EXPORT_DISCOVERY</x:v>
      </x:c>
      <x:c r="B1035" s="59" t="str">
        <x:v>url</x:v>
      </x:c>
      <x:c r="C1035" s="59" t="str">
        <x:v>https://pgedystrybucja.pl/content/download/71691b9fb622cdf89306ec0dc0c1ac3d/file/dostepne-moce-pge-i-kw-2026.pdf?contentId=2208&amp;inLanguage=pol-PL&amp;version=6</x:v>
      </x:c>
    </x:row>
    <x:row r="1036" ht="30" customHeight="1">
      <x:c r="A1036" s="59" t="str">
        <x:v>PGE_EXPORT_DISCOVERY</x:v>
      </x:c>
      <x:c r="B1036" s="59" t="str">
        <x:v>data_owner</x:v>
      </x:c>
      <x:c r="C1036" s="59" t="str">
        <x:v>PGE Dystrybucja S.A.</x:v>
      </x:c>
    </x:row>
    <x:row r="1037" ht="30" customHeight="1">
      <x:c r="A1037" s="59" t="str">
        <x:v>PGE_EXPORT_DISCOVERY</x:v>
      </x:c>
      <x:c r="B1037" s="59" t="str">
        <x:v>data_category</x:v>
      </x:c>
      <x:c r="C1037" s="59" t="str">
        <x:v>reported_export_capacity</x:v>
      </x:c>
    </x:row>
    <x:row r="1038" ht="30" customHeight="1">
      <x:c r="A1038" s="59" t="str">
        <x:v>PGE_EXPORT_DISCOVERY</x:v>
      </x:c>
      <x:c r="B1038" s="59" t="str">
        <x:v>data_format</x:v>
      </x:c>
      <x:c r="C1038" s="59" t="str">
        <x:v>[ "PDF" ]</x:v>
      </x:c>
    </x:row>
    <x:row r="1039" ht="30" customHeight="1">
      <x:c r="A1039" s="59" t="str">
        <x:v>PGE_EXPORT_DISCOVERY</x:v>
      </x:c>
      <x:c r="B1039" s="59" t="str">
        <x:v>verification_status</x:v>
      </x:c>
      <x:c r="C1039" s="59" t="str">
        <x:v>BLOCKED</x:v>
      </x:c>
    </x:row>
    <x:row r="1040" ht="30" customHeight="1">
      <x:c r="A1040" s="59" t="str">
        <x:v>PGE_EXPORT_DISCOVERY</x:v>
      </x:c>
      <x:c r="B1040" s="59" t="str">
        <x:v>reliability</x:v>
      </x:c>
      <x:c r="C1040" s="59" t="str">
        <x:v>B</x:v>
      </x:c>
    </x:row>
    <x:row r="1041" ht="30" customHeight="1">
      <x:c r="A1041" s="59" t="str">
        <x:v>PGE_EXPORT_DISCOVERY</x:v>
      </x:c>
      <x:c r="B1041" s="59" t="str">
        <x:v>key_fields</x:v>
      </x:c>
      <x:c r="C1041" s="59" t="str">
        <x:v>[ "UNKNOWN" ]</x:v>
      </x:c>
    </x:row>
    <x:row r="1042" ht="30" customHeight="1">
      <x:c r="A1042" s="59" t="str">
        <x:v>PGE_EXPORT_DISCOVERY</x:v>
      </x:c>
      <x:c r="B1042" s="59" t="str">
        <x:v>potential_application</x:v>
      </x:c>
      <x:c r="C1042" s="59" t="str">
        <x:v>Sprawdzenie po uzyskaniu dostępu.</x:v>
      </x:c>
    </x:row>
    <x:row r="1043" ht="52" customHeight="1">
      <x:c r="A1043" s="59" t="str">
        <x:v>PGE_EXPORT_DISCOVERY</x:v>
      </x:c>
      <x:c r="B1043" s="59" t="str">
        <x:v>known_limitations</x:v>
      </x:c>
      <x:c r="C1043" s="59" t="str">
        <x:v>[ "Treść i aktualność niepotwierdzone; nazwa sugeruje historyczny kwartał.", "16.09.2026 bezpośredni dokument zwrócił HTTP 200 i 346 bajtów HTML zamiast PDF; brak odczytu treści. Metadane: data/catalog/pge_radkowice_access_2026-09-16.json." ]</x:v>
      </x:c>
    </x:row>
    <x:row r="1044" ht="30" customHeight="1">
      <x:c r="A1044" s="59" t="str">
        <x:v>PGE_EXPORT_DISCOVERY</x:v>
      </x:c>
      <x:c r="B1044" s="59" t="str">
        <x:v>priority</x:v>
      </x:c>
      <x:c r="C1044" s="59" t="str">
        <x:v>P2</x:v>
      </x:c>
    </x:row>
    <x:row r="1045" ht="30" customHeight="1">
      <x:c r="A1045" s="59" t="str">
        <x:v>PGE_EXPORT_DISCOVERY</x:v>
      </x:c>
      <x:c r="B1045" s="59" t="str">
        <x:v>evidence</x:v>
      </x:c>
      <x:c r="C1045" s="59" t="str">
        <x:v>[]</x:v>
      </x:c>
    </x:row>
    <x:row r="1046" ht="30" customHeight="1">
      <x:c r="A1046" s="59" t="str">
        <x:v>PGE_EXPORT_DISCOVERY</x:v>
      </x:c>
      <x:c r="B1046" s="59" t="str">
        <x:v>retrieval_date</x:v>
      </x:c>
      <x:c r="C1046" s="59" t="str">
        <x:v>[]</x:v>
      </x:c>
    </x:row>
    <x:row r="1047" ht="30" customHeight="1">
      <x:c r="A1047" s="59" t="str">
        <x:v>PGE_PLAN_DISCOVERY</x:v>
      </x:c>
      <x:c r="B1047" s="59" t="str">
        <x:v>country</x:v>
      </x:c>
      <x:c r="C1047" s="59" t="str">
        <x:v>PL</x:v>
      </x:c>
    </x:row>
    <x:row r="1048" ht="30" customHeight="1">
      <x:c r="A1048" s="59" t="str">
        <x:v>PGE_PLAN_DISCOVERY</x:v>
      </x:c>
      <x:c r="B1048" s="59" t="str">
        <x:v>geographical_scope</x:v>
      </x:c>
      <x:c r="C1048" s="59" t="str">
        <x:v>Zakres publikacji danego operatora/instytucji; nie założono pełnego pokrycia kraju.</x:v>
      </x:c>
    </x:row>
    <x:row r="1049" ht="30" customHeight="1">
      <x:c r="A1049" s="59" t="str">
        <x:v>PGE_PLAN_DISCOVERY</x:v>
      </x:c>
      <x:c r="B1049" s="59" t="str">
        <x:v>grid_voltage</x:v>
      </x:c>
      <x:c r="C1049" s="59" t="str">
        <x:v>[ "UNKNOWN_OR_NOT_APPLICABLE" ]</x:v>
      </x:c>
    </x:row>
    <x:row r="1050" ht="30" customHeight="1">
      <x:c r="A1050" s="59" t="str">
        <x:v>PGE_PLAN_DISCOVERY</x:v>
      </x:c>
      <x:c r="B1050" s="59" t="str">
        <x:v>api_available</x:v>
      </x:c>
      <x:c r="C1050" s="59" t="str">
        <x:v>UNKNOWN</x:v>
      </x:c>
    </x:row>
    <x:row r="1051" ht="30" customHeight="1">
      <x:c r="A1051" s="59" t="str">
        <x:v>PGE_PLAN_DISCOVERY</x:v>
      </x:c>
      <x:c r="B1051" s="59" t="str">
        <x:v>gis_available</x:v>
      </x:c>
      <x:c r="C1051" s="59" t="str">
        <x:v>UNKNOWN</x:v>
      </x:c>
    </x:row>
    <x:row r="1052" ht="30" customHeight="1">
      <x:c r="A1052" s="59" t="str">
        <x:v>PGE_PLAN_DISCOVERY</x:v>
      </x:c>
      <x:c r="B1052" s="59" t="str">
        <x:v>update_frequency</x:v>
      </x:c>
      <x:c r="C1052" s="59" t="str">
        <x:v>UNKNOWN — nie ustalono gwarantowanego cyklu publikacji.</x:v>
      </x:c>
    </x:row>
    <x:row r="1053" ht="30" customHeight="1">
      <x:c r="A1053" s="59" t="str">
        <x:v>PGE_PLAN_DISCOVERY</x:v>
      </x:c>
      <x:c r="B1053" s="59" t="str">
        <x:v>historical_data</x:v>
      </x:c>
      <x:c r="C1053" s="59" t="str">
        <x:v>UNKNOWN — własne snapshoty od 10.09.2026, jeśli zapisano próbkę.</x:v>
      </x:c>
    </x:row>
    <x:row r="1054" ht="30" customHeight="1">
      <x:c r="A1054" s="59" t="str">
        <x:v>PGE_PLAN_DISCOVERY</x:v>
      </x:c>
      <x:c r="B1054" s="59" t="str">
        <x:v>authentication</x:v>
      </x:c>
      <x:c r="C1054" s="59" t="str">
        <x:v>UNKNOWN — pełna treść nie została zweryfikowana.</x:v>
      </x:c>
    </x:row>
    <x:row r="1055" ht="30" customHeight="1">
      <x:c r="A1055" s="59" t="str">
        <x:v>PGE_PLAN_DISCOVERY</x:v>
      </x:c>
      <x:c r="B1055" s="59" t="str">
        <x:v>license</x:v>
      </x:c>
      <x:c r="C1055" s="59" t="str">
        <x:v>UNKNOWN — nie potwierdzono otwartej licencji wybranego zbioru.</x:v>
      </x:c>
    </x:row>
    <x:row r="1056" ht="30" customHeight="1">
      <x:c r="A1056" s="59" t="str">
        <x:v>PGE_PLAN_DISCOVERY</x:v>
      </x:c>
      <x:c r="B1056" s="59" t="str">
        <x:v>license_url</x:v>
      </x:c>
      <x:c r="C1056" s="59" t="str">
        <x:v>UNKNOWN — nie ustalono</x:v>
      </x:c>
    </x:row>
    <x:row r="1057" ht="30" customHeight="1">
      <x:c r="A1057" s="59" t="str">
        <x:v>PGE_PLAN_DISCOVERY</x:v>
      </x:c>
      <x:c r="B1057" s="59" t="str">
        <x:v>commercial_use</x:v>
      </x:c>
      <x:c r="C1057" s="59" t="str">
        <x:v>UNKNOWN</x:v>
      </x:c>
    </x:row>
    <x:row r="1058" ht="30" customHeight="1">
      <x:c r="A1058" s="59" t="str">
        <x:v>PGE_PLAN_DISCOVERY</x:v>
      </x:c>
      <x:c r="B1058" s="59" t="str">
        <x:v>machine_readable</x:v>
      </x:c>
      <x:c r="C1058" s="59" t="str">
        <x:v>UNKNOWN</x:v>
      </x:c>
    </x:row>
    <x:row r="1059" ht="30" customHeight="1">
      <x:c r="A1059" s="59" t="str">
        <x:v>PGE_PLAN_DISCOVERY</x:v>
      </x:c>
      <x:c r="B1059" s="59" t="str">
        <x:v>scraping_required</x:v>
      </x:c>
      <x:c r="C1059" s="59" t="str">
        <x:v>UNKNOWN — przed scraperem preferować oficjalny plik lub API.</x:v>
      </x:c>
    </x:row>
    <x:row r="1060" ht="30" customHeight="1">
      <x:c r="A1060" s="59" t="str">
        <x:v>PGE_PLAN_DISCOVERY</x:v>
      </x:c>
      <x:c r="B1060" s="59" t="str">
        <x:v>data_quality_score</x:v>
      </x:c>
      <x:c r="C1060" s="59" t="str">
        <x:v>UNKNOWN — nie ustalono</x:v>
      </x:c>
    </x:row>
    <x:row r="1061" ht="30" customHeight="1">
      <x:c r="A1061" s="59" t="str">
        <x:v>PGE_PLAN_DISCOVERY</x:v>
      </x:c>
      <x:c r="B1061" s="59" t="str">
        <x:v>quality_score_status</x:v>
      </x:c>
      <x:c r="C1061" s="59" t="str">
        <x:v>NOT_CALIBRATED — autorytet źródła nie jest procentem kompletności lub trafności.</x:v>
      </x:c>
    </x:row>
    <x:row r="1062" ht="30" customHeight="1">
      <x:c r="A1062" s="59" t="str">
        <x:v>PGE_PLAN_DISCOVERY</x:v>
      </x:c>
      <x:c r="B1062" s="59" t="str">
        <x:v>last_verified</x:v>
      </x:c>
      <x:c r="C1062" s="60" t="n">
        <x:v>46281</x:v>
      </x:c>
    </x:row>
    <x:row r="1063" ht="30" customHeight="1">
      <x:c r="A1063" s="59" t="str">
        <x:v>PGE_PLAN_DISCOVERY</x:v>
      </x:c>
      <x:c r="B1063" s="59" t="str">
        <x:v>last_successful_verification</x:v>
      </x:c>
      <x:c r="C1063" s="59" t="str">
        <x:v>UNKNOWN — nie ustalono</x:v>
      </x:c>
    </x:row>
    <x:row r="1064" ht="30" customHeight="1">
      <x:c r="A1064" s="59" t="str">
        <x:v>PGE_PLAN_DISCOVERY</x:v>
      </x:c>
      <x:c r="B1064" s="59" t="str">
        <x:v>source_date</x:v>
      </x:c>
      <x:c r="C1064" s="59" t="str">
        <x:v>UNKNOWN — nie ustalono</x:v>
      </x:c>
    </x:row>
    <x:row r="1065" ht="30" customHeight="1">
      <x:c r="A1065" s="59" t="str">
        <x:v>PGE_PLAN_DISCOVERY</x:v>
      </x:c>
      <x:c r="B1065" s="59" t="str">
        <x:v>publication_date</x:v>
      </x:c>
      <x:c r="C1065" s="59" t="str">
        <x:v>UNKNOWN — nie ustalono</x:v>
      </x:c>
    </x:row>
    <x:row r="1066" ht="30" customHeight="1">
      <x:c r="A1066" s="59" t="str">
        <x:v>PGE_PLAN_DISCOVERY</x:v>
      </x:c>
      <x:c r="B1066" s="59" t="str">
        <x:v>source_version</x:v>
      </x:c>
      <x:c r="C1066" s="59" t="str">
        <x:v>UNKNOWN — nie ustalono</x:v>
      </x:c>
    </x:row>
    <x:row r="1067" ht="30" customHeight="1">
      <x:c r="A1067" s="59" t="str">
        <x:v>PGE_PLAN_DISCOVERY</x:v>
      </x:c>
      <x:c r="B1067" s="59" t="str">
        <x:v>source_page</x:v>
      </x:c>
      <x:c r="C1067" s="59" t="str">
        <x:v>UNKNOWN — nie ustalono</x:v>
      </x:c>
    </x:row>
    <x:row r="1068" ht="30" customHeight="1">
      <x:c r="A1068" s="59" t="str">
        <x:v>PGE_PLAN_DISCOVERY</x:v>
      </x:c>
      <x:c r="B1068" s="59" t="str">
        <x:v>valid_from</x:v>
      </x:c>
      <x:c r="C1068" s="59" t="str">
        <x:v>UNKNOWN — nie ustalono</x:v>
      </x:c>
    </x:row>
    <x:row r="1069" ht="30" customHeight="1">
      <x:c r="A1069" s="59" t="str">
        <x:v>PGE_PLAN_DISCOVERY</x:v>
      </x:c>
      <x:c r="B1069" s="59" t="str">
        <x:v>valid_to</x:v>
      </x:c>
      <x:c r="C1069" s="59" t="str">
        <x:v>UNKNOWN — nie ustalono</x:v>
      </x:c>
    </x:row>
    <x:row r="1070" ht="30" customHeight="1">
      <x:c r="A1070" s="59" t="str">
        <x:v>PGE_PLAN_DISCOVERY</x:v>
      </x:c>
      <x:c r="B1070" s="59" t="str">
        <x:v>current_future_scope</x:v>
      </x:c>
      <x:c r="C1070" s="59" t="str">
        <x:v>FUTURE_GRID</x:v>
      </x:c>
    </x:row>
    <x:row r="1071" ht="30" customHeight="1">
      <x:c r="A1071" s="59" t="str">
        <x:v>PGE_PLAN_DISCOVERY</x:v>
      </x:c>
      <x:c r="B1071" s="59" t="str">
        <x:v>value_classification_default</x:v>
      </x:c>
      <x:c r="C1071" s="59" t="str">
        <x:v>REPORTED</x:v>
      </x:c>
    </x:row>
    <x:row r="1072" ht="38" customHeight="1">
      <x:c r="A1072" s="59" t="str">
        <x:v>PGE_PLAN_DISCOVERY</x:v>
      </x:c>
      <x:c r="B1072" s="59" t="str">
        <x:v>automation_notes</x:v>
      </x:c>
      <x:c r="C1072" s="59" t="str">
        <x:v>Pobieranie niepotwierdzone: odpowiedź HTML zamiast PDF. Nie wyprowadzono danych z fragmentów wyszukiwarki. Pomoc użytkownika: NEED-011.</x:v>
      </x:c>
    </x:row>
    <x:row r="1073" ht="30" customHeight="1">
      <x:c r="A1073" s="59" t="str">
        <x:v>PGE_PLAN_DISCOVERY</x:v>
      </x:c>
      <x:c r="B1073" s="59" t="str">
        <x:v>probe_ids</x:v>
      </x:c>
      <x:c r="C1073" s="59" t="str">
        <x:v>[]</x:v>
      </x:c>
    </x:row>
    <x:row r="1074" ht="30" customHeight="1">
      <x:c r="A1074" s="59" t="str">
        <x:v>PGE_PLAN_DISCOVERY</x:v>
      </x:c>
      <x:c r="B1074" s="59" t="str">
        <x:v>related_urls</x:v>
      </x:c>
      <x:c r="C1074" s="59" t="str">
        <x:v>[]</x:v>
      </x:c>
    </x:row>
    <x:row r="1075" ht="30" customHeight="1">
      <x:c r="A1075" s="59" t="str">
        <x:v>PGE_PLAN_DISCOVERY</x:v>
      </x:c>
      <x:c r="B1075" s="59" t="str">
        <x:v>source_id</x:v>
      </x:c>
      <x:c r="C1075" s="59" t="str">
        <x:v>PGE_PLAN_DISCOVERY</x:v>
      </x:c>
    </x:row>
    <x:row r="1076" ht="30" customHeight="1">
      <x:c r="A1076" s="59" t="str">
        <x:v>PGE_PLAN_DISCOVERY</x:v>
      </x:c>
      <x:c r="B1076" s="59" t="str">
        <x:v>operator</x:v>
      </x:c>
      <x:c r="C1076" s="59" t="str">
        <x:v>PGE Dystrybucja</x:v>
      </x:c>
    </x:row>
    <x:row r="1077" ht="30" customHeight="1">
      <x:c r="A1077" s="59" t="str">
        <x:v>PGE_PLAN_DISCOVERY</x:v>
      </x:c>
      <x:c r="B1077" s="59" t="str">
        <x:v>source_name</x:v>
      </x:c>
      <x:c r="C1077" s="59" t="str">
        <x:v>Konsultacje planu rozwoju — wskazanie strony</x:v>
      </x:c>
    </x:row>
    <x:row r="1078" ht="30" customHeight="1">
      <x:c r="A1078" s="59" t="str">
        <x:v>PGE_PLAN_DISCOVERY</x:v>
      </x:c>
      <x:c r="B1078" s="59" t="str">
        <x:v>url</x:v>
      </x:c>
      <x:c r="C1078" s="59" t="str">
        <x:v>https://pgedystrybucja.pl/o-spolce/dzialalnosc/konsultacje-spoleczne-projektu-planu-rozwoju</x:v>
      </x:c>
    </x:row>
    <x:row r="1079" ht="30" customHeight="1">
      <x:c r="A1079" s="59" t="str">
        <x:v>PGE_PLAN_DISCOVERY</x:v>
      </x:c>
      <x:c r="B1079" s="59" t="str">
        <x:v>data_owner</x:v>
      </x:c>
      <x:c r="C1079" s="59" t="str">
        <x:v>PGE Dystrybucja S.A.</x:v>
      </x:c>
    </x:row>
    <x:row r="1080" ht="30" customHeight="1">
      <x:c r="A1080" s="59" t="str">
        <x:v>PGE_PLAN_DISCOVERY</x:v>
      </x:c>
      <x:c r="B1080" s="59" t="str">
        <x:v>data_category</x:v>
      </x:c>
      <x:c r="C1080" s="59" t="str">
        <x:v>grid_investments</x:v>
      </x:c>
    </x:row>
    <x:row r="1081" ht="30" customHeight="1">
      <x:c r="A1081" s="59" t="str">
        <x:v>PGE_PLAN_DISCOVERY</x:v>
      </x:c>
      <x:c r="B1081" s="59" t="str">
        <x:v>data_format</x:v>
      </x:c>
      <x:c r="C1081" s="59" t="str">
        <x:v>[ "HTML", "PDF" ]</x:v>
      </x:c>
    </x:row>
    <x:row r="1082" ht="30" customHeight="1">
      <x:c r="A1082" s="59" t="str">
        <x:v>PGE_PLAN_DISCOVERY</x:v>
      </x:c>
      <x:c r="B1082" s="59" t="str">
        <x:v>verification_status</x:v>
      </x:c>
      <x:c r="C1082" s="59" t="str">
        <x:v>BLOCKED</x:v>
      </x:c>
    </x:row>
    <x:row r="1083" ht="30" customHeight="1">
      <x:c r="A1083" s="59" t="str">
        <x:v>PGE_PLAN_DISCOVERY</x:v>
      </x:c>
      <x:c r="B1083" s="59" t="str">
        <x:v>reliability</x:v>
      </x:c>
      <x:c r="C1083" s="59" t="str">
        <x:v>B</x:v>
      </x:c>
    </x:row>
    <x:row r="1084" ht="30" customHeight="1">
      <x:c r="A1084" s="59" t="str">
        <x:v>PGE_PLAN_DISCOVERY</x:v>
      </x:c>
      <x:c r="B1084" s="59" t="str">
        <x:v>key_fields</x:v>
      </x:c>
      <x:c r="C1084" s="59" t="str">
        <x:v>[ "UNKNOWN" ]</x:v>
      </x:c>
    </x:row>
    <x:row r="1085" ht="30" customHeight="1">
      <x:c r="A1085" s="59" t="str">
        <x:v>PGE_PLAN_DISCOVERY</x:v>
      </x:c>
      <x:c r="B1085" s="59" t="str">
        <x:v>potential_application</x:v>
      </x:c>
      <x:c r="C1085" s="59" t="str">
        <x:v>Przyszłe inwestycje po zweryfikowaniu treści.</x:v>
      </x:c>
    </x:row>
    <x:row r="1086" ht="52" customHeight="1">
      <x:c r="A1086" s="59" t="str">
        <x:v>PGE_PLAN_DISCOVERY</x:v>
      </x:c>
      <x:c r="B1086" s="59" t="str">
        <x:v>known_limitations</x:v>
      </x:c>
      <x:c r="C1086" s="59" t="str">
        <x:v>[ "Nie potwierdzono pełnego tekstu ani aktualnego statusu uzgodnienia.", "16.09.2026 bezpośredni dokument zwrócił HTTP 200 i 346 bajtów HTML zamiast PDF; brak odczytu treści. Metadane: data/catalog/pge_radkowice_access_2026-09-16.json." ]</x:v>
      </x:c>
    </x:row>
    <x:row r="1087" ht="30" customHeight="1">
      <x:c r="A1087" s="59" t="str">
        <x:v>PGE_PLAN_DISCOVERY</x:v>
      </x:c>
      <x:c r="B1087" s="59" t="str">
        <x:v>priority</x:v>
      </x:c>
      <x:c r="C1087" s="59" t="str">
        <x:v>P2</x:v>
      </x:c>
    </x:row>
    <x:row r="1088" ht="30" customHeight="1">
      <x:c r="A1088" s="59" t="str">
        <x:v>PGE_PLAN_DISCOVERY</x:v>
      </x:c>
      <x:c r="B1088" s="59" t="str">
        <x:v>evidence</x:v>
      </x:c>
      <x:c r="C1088" s="59" t="str">
        <x:v>[]</x:v>
      </x:c>
    </x:row>
    <x:row r="1089" ht="30" customHeight="1">
      <x:c r="A1089" s="59" t="str">
        <x:v>PGE_PLAN_DISCOVERY</x:v>
      </x:c>
      <x:c r="B1089" s="59" t="str">
        <x:v>retrieval_date</x:v>
      </x:c>
      <x:c r="C1089" s="59" t="str">
        <x:v>[]</x:v>
      </x:c>
    </x:row>
    <x:row r="1090" ht="30" customHeight="1">
      <x:c r="A1090" s="59" t="str">
        <x:v>KGHM_OSD</x:v>
      </x:c>
      <x:c r="B1090" s="59" t="str">
        <x:v>country</x:v>
      </x:c>
      <x:c r="C1090" s="59" t="str">
        <x:v>PL</x:v>
      </x:c>
    </x:row>
    <x:row r="1091" ht="30" customHeight="1">
      <x:c r="A1091" s="59" t="str">
        <x:v>KGHM_OSD</x:v>
      </x:c>
      <x:c r="B1091" s="59" t="str">
        <x:v>geographical_scope</x:v>
      </x:c>
      <x:c r="C1091" s="59" t="str">
        <x:v>Obszar sieci przemysłowej KGHM</x:v>
      </x:c>
    </x:row>
    <x:row r="1092" ht="30" customHeight="1">
      <x:c r="A1092" s="59" t="str">
        <x:v>KGHM_OSD</x:v>
      </x:c>
      <x:c r="B1092" s="59" t="str">
        <x:v>grid_voltage</x:v>
      </x:c>
      <x:c r="C1092" s="59" t="str">
        <x:v>[ "UNKNOWN_OR_NOT_APPLICABLE" ]</x:v>
      </x:c>
    </x:row>
    <x:row r="1093" ht="30" customHeight="1">
      <x:c r="A1093" s="59" t="str">
        <x:v>KGHM_OSD</x:v>
      </x:c>
      <x:c r="B1093" s="59" t="str">
        <x:v>api_available</x:v>
      </x:c>
      <x:c r="C1093" s="59" t="str">
        <x:v>UNKNOWN</x:v>
      </x:c>
    </x:row>
    <x:row r="1094" ht="30" customHeight="1">
      <x:c r="A1094" s="59" t="str">
        <x:v>KGHM_OSD</x:v>
      </x:c>
      <x:c r="B1094" s="59" t="str">
        <x:v>gis_available</x:v>
      </x:c>
      <x:c r="C1094" s="59" t="str">
        <x:v>UNKNOWN</x:v>
      </x:c>
    </x:row>
    <x:row r="1095" ht="30" customHeight="1">
      <x:c r="A1095" s="59" t="str">
        <x:v>KGHM_OSD</x:v>
      </x:c>
      <x:c r="B1095" s="59" t="str">
        <x:v>update_frequency</x:v>
      </x:c>
      <x:c r="C1095" s="59" t="str">
        <x:v>UNKNOWN — nie ustalono gwarantowanego cyklu publikacji.</x:v>
      </x:c>
    </x:row>
    <x:row r="1096" ht="30" customHeight="1">
      <x:c r="A1096" s="59" t="str">
        <x:v>KGHM_OSD</x:v>
      </x:c>
      <x:c r="B1096" s="59" t="str">
        <x:v>historical_data</x:v>
      </x:c>
      <x:c r="C1096" s="59" t="str">
        <x:v>UNKNOWN — własne snapshoty od 10.09.2026, jeśli zapisano próbkę.</x:v>
      </x:c>
    </x:row>
    <x:row r="1097" ht="30" customHeight="1">
      <x:c r="A1097" s="59" t="str">
        <x:v>KGHM_OSD</x:v>
      </x:c>
      <x:c r="B1097" s="59" t="str">
        <x:v>authentication</x:v>
      </x:c>
      <x:c r="C1097" s="59" t="str">
        <x:v>Odczyt publicznej strony bez konta; nie dowodzi dostępu do wszystkich danych.</x:v>
      </x:c>
    </x:row>
    <x:row r="1098" ht="30" customHeight="1">
      <x:c r="A1098" s="59" t="str">
        <x:v>KGHM_OSD</x:v>
      </x:c>
      <x:c r="B1098" s="59" t="str">
        <x:v>license</x:v>
      </x:c>
      <x:c r="C1098" s="59" t="str">
        <x:v>UNKNOWN — nie potwierdzono otwartej licencji wybranego zbioru.</x:v>
      </x:c>
    </x:row>
    <x:row r="1099" ht="30" customHeight="1">
      <x:c r="A1099" s="59" t="str">
        <x:v>KGHM_OSD</x:v>
      </x:c>
      <x:c r="B1099" s="59" t="str">
        <x:v>license_url</x:v>
      </x:c>
      <x:c r="C1099" s="59" t="str">
        <x:v>UNKNOWN — nie ustalono</x:v>
      </x:c>
    </x:row>
    <x:row r="1100" ht="30" customHeight="1">
      <x:c r="A1100" s="59" t="str">
        <x:v>KGHM_OSD</x:v>
      </x:c>
      <x:c r="B1100" s="59" t="str">
        <x:v>commercial_use</x:v>
      </x:c>
      <x:c r="C1100" s="59" t="str">
        <x:v>UNKNOWN</x:v>
      </x:c>
    </x:row>
    <x:row r="1101" ht="30" customHeight="1">
      <x:c r="A1101" s="59" t="str">
        <x:v>KGHM_OSD</x:v>
      </x:c>
      <x:c r="B1101" s="59" t="str">
        <x:v>machine_readable</x:v>
      </x:c>
      <x:c r="C1101" s="59" t="str">
        <x:v>UNKNOWN</x:v>
      </x:c>
    </x:row>
    <x:row r="1102" ht="30" customHeight="1">
      <x:c r="A1102" s="59" t="str">
        <x:v>KGHM_OSD</x:v>
      </x:c>
      <x:c r="B1102" s="59" t="str">
        <x:v>scraping_required</x:v>
      </x:c>
      <x:c r="C1102" s="59" t="str">
        <x:v>UNKNOWN — przed scraperem preferować oficjalny plik lub API.</x:v>
      </x:c>
    </x:row>
    <x:row r="1103" ht="30" customHeight="1">
      <x:c r="A1103" s="59" t="str">
        <x:v>KGHM_OSD</x:v>
      </x:c>
      <x:c r="B1103" s="59" t="str">
        <x:v>data_quality_score</x:v>
      </x:c>
      <x:c r="C1103" s="59" t="str">
        <x:v>UNKNOWN — nie ustalono</x:v>
      </x:c>
    </x:row>
    <x:row r="1104" ht="30" customHeight="1">
      <x:c r="A1104" s="59" t="str">
        <x:v>KGHM_OSD</x:v>
      </x:c>
      <x:c r="B1104" s="59" t="str">
        <x:v>quality_score_status</x:v>
      </x:c>
      <x:c r="C1104" s="59" t="str">
        <x:v>NOT_CALIBRATED — autorytet źródła nie jest procentem kompletności lub trafności.</x:v>
      </x:c>
    </x:row>
    <x:row r="1105" ht="30" customHeight="1">
      <x:c r="A1105" s="59" t="str">
        <x:v>KGHM_OSD</x:v>
      </x:c>
      <x:c r="B1105" s="59" t="str">
        <x:v>last_verified</x:v>
      </x:c>
      <x:c r="C1105" s="60" t="n">
        <x:v>46275</x:v>
      </x:c>
    </x:row>
    <x:row r="1106" ht="30" customHeight="1">
      <x:c r="A1106" s="59" t="str">
        <x:v>KGHM_OSD</x:v>
      </x:c>
      <x:c r="B1106" s="59" t="str">
        <x:v>last_successful_verification</x:v>
      </x:c>
      <x:c r="C1106" s="60" t="n">
        <x:v>46275</x:v>
      </x:c>
    </x:row>
    <x:row r="1107" ht="30" customHeight="1">
      <x:c r="A1107" s="59" t="str">
        <x:v>KGHM_OSD</x:v>
      </x:c>
      <x:c r="B1107" s="59" t="str">
        <x:v>source_date</x:v>
      </x:c>
      <x:c r="C1107" s="59" t="str">
        <x:v>UNKNOWN — nie ustalono</x:v>
      </x:c>
    </x:row>
    <x:row r="1108" ht="30" customHeight="1">
      <x:c r="A1108" s="59" t="str">
        <x:v>KGHM_OSD</x:v>
      </x:c>
      <x:c r="B1108" s="59" t="str">
        <x:v>publication_date</x:v>
      </x:c>
      <x:c r="C1108" s="59" t="str">
        <x:v>UNKNOWN — nie ustalono</x:v>
      </x:c>
    </x:row>
    <x:row r="1109" ht="30" customHeight="1">
      <x:c r="A1109" s="59" t="str">
        <x:v>KGHM_OSD</x:v>
      </x:c>
      <x:c r="B1109" s="59" t="str">
        <x:v>source_version</x:v>
      </x:c>
      <x:c r="C1109" s="59" t="str">
        <x:v>UNKNOWN — nie ustalono</x:v>
      </x:c>
    </x:row>
    <x:row r="1110" ht="30" customHeight="1">
      <x:c r="A1110" s="59" t="str">
        <x:v>KGHM_OSD</x:v>
      </x:c>
      <x:c r="B1110" s="59" t="str">
        <x:v>source_page</x:v>
      </x:c>
      <x:c r="C1110" s="59" t="str">
        <x:v>UNKNOWN — nie ustalono</x:v>
      </x:c>
    </x:row>
    <x:row r="1111" ht="30" customHeight="1">
      <x:c r="A1111" s="59" t="str">
        <x:v>KGHM_OSD</x:v>
      </x:c>
      <x:c r="B1111" s="59" t="str">
        <x:v>valid_from</x:v>
      </x:c>
      <x:c r="C1111" s="59" t="str">
        <x:v>UNKNOWN — nie ustalono</x:v>
      </x:c>
    </x:row>
    <x:row r="1112" ht="30" customHeight="1">
      <x:c r="A1112" s="59" t="str">
        <x:v>KGHM_OSD</x:v>
      </x:c>
      <x:c r="B1112" s="59" t="str">
        <x:v>valid_to</x:v>
      </x:c>
      <x:c r="C1112" s="59" t="str">
        <x:v>UNKNOWN — nie ustalono</x:v>
      </x:c>
    </x:row>
    <x:row r="1113" ht="30" customHeight="1">
      <x:c r="A1113" s="59" t="str">
        <x:v>KGHM_OSD</x:v>
      </x:c>
      <x:c r="B1113" s="59" t="str">
        <x:v>current_future_scope</x:v>
      </x:c>
      <x:c r="C1113" s="59" t="str">
        <x:v>SOURCE_DEPENDENT</x:v>
      </x:c>
    </x:row>
    <x:row r="1114" ht="30" customHeight="1">
      <x:c r="A1114" s="59" t="str">
        <x:v>KGHM_OSD</x:v>
      </x:c>
      <x:c r="B1114" s="59" t="str">
        <x:v>value_classification_default</x:v>
      </x:c>
      <x:c r="C1114" s="59" t="str">
        <x:v>REPORTED</x:v>
      </x:c>
    </x:row>
    <x:row r="1115" ht="38" customHeight="1">
      <x:c r="A1115" s="59" t="str">
        <x:v>KGHM_OSD</x:v>
      </x:c>
      <x:c r="B1115" s="59" t="str">
        <x:v>automation_notes</x:v>
      </x:c>
      <x:c r="C1115" s="59" t="str">
        <x:v>Jednorazowy przegląd; brak zgody na stały scraper wynikającej z samego dostępu. Sprawdzić warunki, robots.txt i limity przed wdrożeniem.</x:v>
      </x:c>
    </x:row>
    <x:row r="1116" ht="30" customHeight="1">
      <x:c r="A1116" s="59" t="str">
        <x:v>KGHM_OSD</x:v>
      </x:c>
      <x:c r="B1116" s="59" t="str">
        <x:v>probe_ids</x:v>
      </x:c>
      <x:c r="C1116" s="59" t="str">
        <x:v>[]</x:v>
      </x:c>
    </x:row>
    <x:row r="1117" ht="30" customHeight="1">
      <x:c r="A1117" s="59" t="str">
        <x:v>KGHM_OSD</x:v>
      </x:c>
      <x:c r="B1117" s="59" t="str">
        <x:v>related_urls</x:v>
      </x:c>
      <x:c r="C1117" s="59" t="str">
        <x:v>[]</x:v>
      </x:c>
    </x:row>
    <x:row r="1118" ht="30" customHeight="1">
      <x:c r="A1118" s="59" t="str">
        <x:v>KGHM_OSD</x:v>
      </x:c>
      <x:c r="B1118" s="59" t="str">
        <x:v>source_id</x:v>
      </x:c>
      <x:c r="C1118" s="59" t="str">
        <x:v>KGHM_OSD</x:v>
      </x:c>
    </x:row>
    <x:row r="1119" ht="30" customHeight="1">
      <x:c r="A1119" s="59" t="str">
        <x:v>KGHM_OSD</x:v>
      </x:c>
      <x:c r="B1119" s="59" t="str">
        <x:v>operator</x:v>
      </x:c>
      <x:c r="C1119" s="59" t="str">
        <x:v>KGHM</x:v>
      </x:c>
    </x:row>
    <x:row r="1120" ht="30" customHeight="1">
      <x:c r="A1120" s="59" t="str">
        <x:v>KGHM_OSD</x:v>
      </x:c>
      <x:c r="B1120" s="59" t="str">
        <x:v>source_name</x:v>
      </x:c>
      <x:c r="C1120" s="59" t="str">
        <x:v>OSD dla systemu elektroenergetycznego</x:v>
      </x:c>
    </x:row>
    <x:row r="1121" ht="30" customHeight="1">
      <x:c r="A1121" s="59" t="str">
        <x:v>KGHM_OSD</x:v>
      </x:c>
      <x:c r="B1121" s="59" t="str">
        <x:v>url</x:v>
      </x:c>
      <x:c r="C1121" s="59" t="str">
        <x:v>https://kghm.com/pl/biznes/strefa-energetyczna/osd-dla-systemu-elektroenergetycznego</x:v>
      </x:c>
    </x:row>
    <x:row r="1122" ht="30" customHeight="1">
      <x:c r="A1122" s="59" t="str">
        <x:v>KGHM_OSD</x:v>
      </x:c>
      <x:c r="B1122" s="59" t="str">
        <x:v>data_owner</x:v>
      </x:c>
      <x:c r="C1122" s="59" t="str">
        <x:v>KGHM Polska Miedź S.A.</x:v>
      </x:c>
    </x:row>
    <x:row r="1123" ht="30" customHeight="1">
      <x:c r="A1123" s="59" t="str">
        <x:v>KGHM_OSD</x:v>
      </x:c>
      <x:c r="B1123" s="59" t="str">
        <x:v>data_category</x:v>
      </x:c>
      <x:c r="C1123" s="59" t="str">
        <x:v>local_operator_publications</x:v>
      </x:c>
    </x:row>
    <x:row r="1124" ht="30" customHeight="1">
      <x:c r="A1124" s="59" t="str">
        <x:v>KGHM_OSD</x:v>
      </x:c>
      <x:c r="B1124" s="59" t="str">
        <x:v>data_format</x:v>
      </x:c>
      <x:c r="C1124" s="59" t="str">
        <x:v>[ "HTML", "PDF", "XLS" ]</x:v>
      </x:c>
    </x:row>
    <x:row r="1125" ht="30" customHeight="1">
      <x:c r="A1125" s="59" t="str">
        <x:v>KGHM_OSD</x:v>
      </x:c>
      <x:c r="B1125" s="59" t="str">
        <x:v>verification_status</x:v>
      </x:c>
      <x:c r="C1125" s="59" t="str">
        <x:v>CONTENT_REVIEWED</x:v>
      </x:c>
    </x:row>
    <x:row r="1126" ht="30" customHeight="1">
      <x:c r="A1126" s="59" t="str">
        <x:v>KGHM_OSD</x:v>
      </x:c>
      <x:c r="B1126" s="59" t="str">
        <x:v>reliability</x:v>
      </x:c>
      <x:c r="C1126" s="59" t="str">
        <x:v>B</x:v>
      </x:c>
    </x:row>
    <x:row r="1127" ht="30" customHeight="1">
      <x:c r="A1127" s="59" t="str">
        <x:v>KGHM_OSD</x:v>
      </x:c>
      <x:c r="B1127" s="59" t="str">
        <x:v>key_fields</x:v>
      </x:c>
      <x:c r="C1127" s="59" t="str">
        <x:v>[ "moce", "przyłączenia", "odmowy", "rejestr magazynów", "plany" ]</x:v>
      </x:c>
    </x:row>
    <x:row r="1128" ht="30" customHeight="1">
      <x:c r="A1128" s="59" t="str">
        <x:v>KGHM_OSD</x:v>
      </x:c>
      <x:c r="B1128" s="59" t="str">
        <x:v>potential_application</x:v>
      </x:c>
      <x:c r="C1128" s="59" t="str">
        <x:v>Pokrycie OSDn i dużych odbiorów przemysłowych.</x:v>
      </x:c>
    </x:row>
    <x:row r="1129" ht="30" customHeight="1">
      <x:c r="A1129" s="59" t="str">
        <x:v>KGHM_OSD</x:v>
      </x:c>
      <x:c r="B1129" s="59" t="str">
        <x:v>known_limitations</x:v>
      </x:c>
      <x:c r="C1129" s="59" t="str">
        <x:v>[ "Nie jest źródłem ogólnopolskim; nie znormalizowano załączników." ]</x:v>
      </x:c>
    </x:row>
    <x:row r="1130" ht="30" customHeight="1">
      <x:c r="A1130" s="59" t="str">
        <x:v>KGHM_OSD</x:v>
      </x:c>
      <x:c r="B1130" s="59" t="str">
        <x:v>priority</x:v>
      </x:c>
      <x:c r="C1130" s="59" t="str">
        <x:v>P2</x:v>
      </x:c>
    </x:row>
    <x:row r="1131" ht="30" customHeight="1">
      <x:c r="A1131" s="59" t="str">
        <x:v>KGHM_OSD</x:v>
      </x:c>
      <x:c r="B1131" s="59" t="str">
        <x:v>evidence</x:v>
      </x:c>
      <x:c r="C1131" s="59" t="str">
        <x:v>[]</x:v>
      </x:c>
    </x:row>
    <x:row r="1132" ht="30" customHeight="1">
      <x:c r="A1132" s="59" t="str">
        <x:v>KGHM_OSD</x:v>
      </x:c>
      <x:c r="B1132" s="59" t="str">
        <x:v>retrieval_date</x:v>
      </x:c>
      <x:c r="C1132" s="59" t="str">
        <x:v>[]</x:v>
      </x:c>
    </x:row>
    <x:row r="1133" ht="30" customHeight="1">
      <x:c r="A1133" s="59" t="str">
        <x:v>URE_REGISTERS</x:v>
      </x:c>
      <x:c r="B1133" s="59" t="str">
        <x:v>country</x:v>
      </x:c>
      <x:c r="C1133" s="59" t="str">
        <x:v>PL</x:v>
      </x:c>
    </x:row>
    <x:row r="1134" ht="30" customHeight="1">
      <x:c r="A1134" s="59" t="str">
        <x:v>URE_REGISTERS</x:v>
      </x:c>
      <x:c r="B1134" s="59" t="str">
        <x:v>geographical_scope</x:v>
      </x:c>
      <x:c r="C1134" s="59" t="str">
        <x:v>Zakres publikacji danego operatora/instytucji; nie założono pełnego pokrycia kraju.</x:v>
      </x:c>
    </x:row>
    <x:row r="1135" ht="30" customHeight="1">
      <x:c r="A1135" s="59" t="str">
        <x:v>URE_REGISTERS</x:v>
      </x:c>
      <x:c r="B1135" s="59" t="str">
        <x:v>grid_voltage</x:v>
      </x:c>
      <x:c r="C1135" s="59" t="str">
        <x:v>[ "UNKNOWN_OR_NOT_APPLICABLE" ]</x:v>
      </x:c>
    </x:row>
    <x:row r="1136" ht="30" customHeight="1">
      <x:c r="A1136" s="59" t="str">
        <x:v>URE_REGISTERS</x:v>
      </x:c>
      <x:c r="B1136" s="59" t="str">
        <x:v>api_available</x:v>
      </x:c>
      <x:c r="C1136" s="59" t="str">
        <x:v>UNKNOWN</x:v>
      </x:c>
    </x:row>
    <x:row r="1137" ht="30" customHeight="1">
      <x:c r="A1137" s="59" t="str">
        <x:v>URE_REGISTERS</x:v>
      </x:c>
      <x:c r="B1137" s="59" t="str">
        <x:v>gis_available</x:v>
      </x:c>
      <x:c r="C1137" s="59" t="str">
        <x:v>UNKNOWN</x:v>
      </x:c>
    </x:row>
    <x:row r="1138" ht="30" customHeight="1">
      <x:c r="A1138" s="59" t="str">
        <x:v>URE_REGISTERS</x:v>
      </x:c>
      <x:c r="B1138" s="59" t="str">
        <x:v>update_frequency</x:v>
      </x:c>
      <x:c r="C1138" s="59" t="str">
        <x:v>UNKNOWN — nie ustalono gwarantowanego cyklu publikacji.</x:v>
      </x:c>
    </x:row>
    <x:row r="1139" ht="30" customHeight="1">
      <x:c r="A1139" s="59" t="str">
        <x:v>URE_REGISTERS</x:v>
      </x:c>
      <x:c r="B1139" s="59" t="str">
        <x:v>historical_data</x:v>
      </x:c>
      <x:c r="C1139" s="59" t="str">
        <x:v>UNKNOWN — własne snapshoty od 10.09.2026, jeśli zapisano próbkę.</x:v>
      </x:c>
    </x:row>
    <x:row r="1140" ht="30" customHeight="1">
      <x:c r="A1140" s="59" t="str">
        <x:v>URE_REGISTERS</x:v>
      </x:c>
      <x:c r="B1140" s="59" t="str">
        <x:v>authentication</x:v>
      </x:c>
      <x:c r="C1140" s="59" t="str">
        <x:v>Odczyt publicznej strony bez konta; nie dowodzi dostępu do wszystkich danych.</x:v>
      </x:c>
    </x:row>
    <x:row r="1141" ht="30" customHeight="1">
      <x:c r="A1141" s="59" t="str">
        <x:v>URE_REGISTERS</x:v>
      </x:c>
      <x:c r="B1141" s="59" t="str">
        <x:v>license</x:v>
      </x:c>
      <x:c r="C1141" s="59" t="str">
        <x:v>UNKNOWN — nie potwierdzono otwartej licencji wybranego zbioru.</x:v>
      </x:c>
    </x:row>
    <x:row r="1142" ht="30" customHeight="1">
      <x:c r="A1142" s="59" t="str">
        <x:v>URE_REGISTERS</x:v>
      </x:c>
      <x:c r="B1142" s="59" t="str">
        <x:v>license_url</x:v>
      </x:c>
      <x:c r="C1142" s="59" t="str">
        <x:v>UNKNOWN — nie ustalono</x:v>
      </x:c>
    </x:row>
    <x:row r="1143" ht="30" customHeight="1">
      <x:c r="A1143" s="59" t="str">
        <x:v>URE_REGISTERS</x:v>
      </x:c>
      <x:c r="B1143" s="59" t="str">
        <x:v>commercial_use</x:v>
      </x:c>
      <x:c r="C1143" s="59" t="str">
        <x:v>UNKNOWN</x:v>
      </x:c>
    </x:row>
    <x:row r="1144" ht="30" customHeight="1">
      <x:c r="A1144" s="59" t="str">
        <x:v>URE_REGISTERS</x:v>
      </x:c>
      <x:c r="B1144" s="59" t="str">
        <x:v>machine_readable</x:v>
      </x:c>
      <x:c r="C1144" s="59" t="str">
        <x:v>UNKNOWN</x:v>
      </x:c>
    </x:row>
    <x:row r="1145" ht="30" customHeight="1">
      <x:c r="A1145" s="59" t="str">
        <x:v>URE_REGISTERS</x:v>
      </x:c>
      <x:c r="B1145" s="59" t="str">
        <x:v>scraping_required</x:v>
      </x:c>
      <x:c r="C1145" s="59" t="str">
        <x:v>UNKNOWN — przed scraperem preferować oficjalny plik lub API.</x:v>
      </x:c>
    </x:row>
    <x:row r="1146" ht="30" customHeight="1">
      <x:c r="A1146" s="59" t="str">
        <x:v>URE_REGISTERS</x:v>
      </x:c>
      <x:c r="B1146" s="59" t="str">
        <x:v>data_quality_score</x:v>
      </x:c>
      <x:c r="C1146" s="59" t="str">
        <x:v>UNKNOWN — nie ustalono</x:v>
      </x:c>
    </x:row>
    <x:row r="1147" ht="30" customHeight="1">
      <x:c r="A1147" s="59" t="str">
        <x:v>URE_REGISTERS</x:v>
      </x:c>
      <x:c r="B1147" s="59" t="str">
        <x:v>quality_score_status</x:v>
      </x:c>
      <x:c r="C1147" s="59" t="str">
        <x:v>NOT_CALIBRATED — autorytet źródła nie jest procentem kompletności lub trafności.</x:v>
      </x:c>
    </x:row>
    <x:row r="1148" ht="30" customHeight="1">
      <x:c r="A1148" s="59" t="str">
        <x:v>URE_REGISTERS</x:v>
      </x:c>
      <x:c r="B1148" s="59" t="str">
        <x:v>last_verified</x:v>
      </x:c>
      <x:c r="C1148" s="60" t="n">
        <x:v>46275</x:v>
      </x:c>
    </x:row>
    <x:row r="1149" ht="30" customHeight="1">
      <x:c r="A1149" s="59" t="str">
        <x:v>URE_REGISTERS</x:v>
      </x:c>
      <x:c r="B1149" s="59" t="str">
        <x:v>last_successful_verification</x:v>
      </x:c>
      <x:c r="C1149" s="60" t="n">
        <x:v>46275</x:v>
      </x:c>
    </x:row>
    <x:row r="1150" ht="30" customHeight="1">
      <x:c r="A1150" s="59" t="str">
        <x:v>URE_REGISTERS</x:v>
      </x:c>
      <x:c r="B1150" s="59" t="str">
        <x:v>source_date</x:v>
      </x:c>
      <x:c r="C1150" s="59" t="str">
        <x:v>UNKNOWN — nie ustalono</x:v>
      </x:c>
    </x:row>
    <x:row r="1151" ht="30" customHeight="1">
      <x:c r="A1151" s="59" t="str">
        <x:v>URE_REGISTERS</x:v>
      </x:c>
      <x:c r="B1151" s="59" t="str">
        <x:v>publication_date</x:v>
      </x:c>
      <x:c r="C1151" s="59" t="str">
        <x:v>UNKNOWN — nie ustalono</x:v>
      </x:c>
    </x:row>
    <x:row r="1152" ht="30" customHeight="1">
      <x:c r="A1152" s="59" t="str">
        <x:v>URE_REGISTERS</x:v>
      </x:c>
      <x:c r="B1152" s="59" t="str">
        <x:v>source_version</x:v>
      </x:c>
      <x:c r="C1152" s="59" t="str">
        <x:v>UNKNOWN — nie ustalono</x:v>
      </x:c>
    </x:row>
    <x:row r="1153" ht="30" customHeight="1">
      <x:c r="A1153" s="59" t="str">
        <x:v>URE_REGISTERS</x:v>
      </x:c>
      <x:c r="B1153" s="59" t="str">
        <x:v>source_page</x:v>
      </x:c>
      <x:c r="C1153" s="59" t="str">
        <x:v>UNKNOWN — nie ustalono</x:v>
      </x:c>
    </x:row>
    <x:row r="1154" ht="30" customHeight="1">
      <x:c r="A1154" s="59" t="str">
        <x:v>URE_REGISTERS</x:v>
      </x:c>
      <x:c r="B1154" s="59" t="str">
        <x:v>valid_from</x:v>
      </x:c>
      <x:c r="C1154" s="59" t="str">
        <x:v>UNKNOWN — nie ustalono</x:v>
      </x:c>
    </x:row>
    <x:row r="1155" ht="30" customHeight="1">
      <x:c r="A1155" s="59" t="str">
        <x:v>URE_REGISTERS</x:v>
      </x:c>
      <x:c r="B1155" s="59" t="str">
        <x:v>valid_to</x:v>
      </x:c>
      <x:c r="C1155" s="59" t="str">
        <x:v>UNKNOWN — nie ustalono</x:v>
      </x:c>
    </x:row>
    <x:row r="1156" ht="30" customHeight="1">
      <x:c r="A1156" s="59" t="str">
        <x:v>URE_REGISTERS</x:v>
      </x:c>
      <x:c r="B1156" s="59" t="str">
        <x:v>current_future_scope</x:v>
      </x:c>
      <x:c r="C1156" s="59" t="str">
        <x:v>SOURCE_DEPENDENT</x:v>
      </x:c>
    </x:row>
    <x:row r="1157" ht="30" customHeight="1">
      <x:c r="A1157" s="59" t="str">
        <x:v>URE_REGISTERS</x:v>
      </x:c>
      <x:c r="B1157" s="59" t="str">
        <x:v>value_classification_default</x:v>
      </x:c>
      <x:c r="C1157" s="59" t="str">
        <x:v>REPORTED</x:v>
      </x:c>
    </x:row>
    <x:row r="1158" ht="38" customHeight="1">
      <x:c r="A1158" s="59" t="str">
        <x:v>URE_REGISTERS</x:v>
      </x:c>
      <x:c r="B1158" s="59" t="str">
        <x:v>automation_notes</x:v>
      </x:c>
      <x:c r="C1158" s="59" t="str">
        <x:v>Jednorazowy przegląd; brak zgody na stały scraper wynikającej z samego dostępu. Sprawdzić warunki, robots.txt i limity przed wdrożeniem.</x:v>
      </x:c>
    </x:row>
    <x:row r="1159" ht="30" customHeight="1">
      <x:c r="A1159" s="59" t="str">
        <x:v>URE_REGISTERS</x:v>
      </x:c>
      <x:c r="B1159" s="59" t="str">
        <x:v>probe_ids</x:v>
      </x:c>
      <x:c r="C1159" s="59" t="str">
        <x:v>[]</x:v>
      </x:c>
    </x:row>
    <x:row r="1160" ht="30" customHeight="1">
      <x:c r="A1160" s="59" t="str">
        <x:v>URE_REGISTERS</x:v>
      </x:c>
      <x:c r="B1160" s="59" t="str">
        <x:v>related_urls</x:v>
      </x:c>
      <x:c r="C1160" s="59" t="str">
        <x:v>[]</x:v>
      </x:c>
    </x:row>
    <x:row r="1161" ht="30" customHeight="1">
      <x:c r="A1161" s="59" t="str">
        <x:v>URE_REGISTERS</x:v>
      </x:c>
      <x:c r="B1161" s="59" t="str">
        <x:v>source_id</x:v>
      </x:c>
      <x:c r="C1161" s="59" t="str">
        <x:v>URE_REGISTERS</x:v>
      </x:c>
    </x:row>
    <x:row r="1162" ht="30" customHeight="1">
      <x:c r="A1162" s="59" t="str">
        <x:v>URE_REGISTERS</x:v>
      </x:c>
      <x:c r="B1162" s="59" t="str">
        <x:v>operator</x:v>
      </x:c>
      <x:c r="C1162" s="59" t="str">
        <x:v>UNKNOWN — nie ustalono</x:v>
      </x:c>
    </x:row>
    <x:row r="1163" ht="30" customHeight="1">
      <x:c r="A1163" s="59" t="str">
        <x:v>URE_REGISTERS</x:v>
      </x:c>
      <x:c r="B1163" s="59" t="str">
        <x:v>source_name</x:v>
      </x:c>
      <x:c r="C1163" s="59" t="str">
        <x:v>BIP URE — rejestry i bazy</x:v>
      </x:c>
    </x:row>
    <x:row r="1164" ht="30" customHeight="1">
      <x:c r="A1164" s="59" t="str">
        <x:v>URE_REGISTERS</x:v>
      </x:c>
      <x:c r="B1164" s="59" t="str">
        <x:v>url</x:v>
      </x:c>
      <x:c r="C1164" s="59" t="str">
        <x:v>https://bip.ure.gov.pl/bip/rejestry-i-bazy</x:v>
      </x:c>
    </x:row>
    <x:row r="1165" ht="30" customHeight="1">
      <x:c r="A1165" s="59" t="str">
        <x:v>URE_REGISTERS</x:v>
      </x:c>
      <x:c r="B1165" s="59" t="str">
        <x:v>data_owner</x:v>
      </x:c>
      <x:c r="C1165" s="59" t="str">
        <x:v>Urząd Regulacji Energetyki</x:v>
      </x:c>
    </x:row>
    <x:row r="1166" ht="30" customHeight="1">
      <x:c r="A1166" s="59" t="str">
        <x:v>URE_REGISTERS</x:v>
      </x:c>
      <x:c r="B1166" s="59" t="str">
        <x:v>data_category</x:v>
      </x:c>
      <x:c r="C1166" s="59" t="str">
        <x:v>regulatory_registers</x:v>
      </x:c>
    </x:row>
    <x:row r="1167" ht="30" customHeight="1">
      <x:c r="A1167" s="59" t="str">
        <x:v>URE_REGISTERS</x:v>
      </x:c>
      <x:c r="B1167" s="59" t="str">
        <x:v>data_format</x:v>
      </x:c>
      <x:c r="C1167" s="59" t="str">
        <x:v>[ "HTML", "linked registers" ]</x:v>
      </x:c>
    </x:row>
    <x:row r="1168" ht="30" customHeight="1">
      <x:c r="A1168" s="59" t="str">
        <x:v>URE_REGISTERS</x:v>
      </x:c>
      <x:c r="B1168" s="59" t="str">
        <x:v>verification_status</x:v>
      </x:c>
      <x:c r="C1168" s="59" t="str">
        <x:v>CONTENT_REVIEWED</x:v>
      </x:c>
    </x:row>
    <x:row r="1169" ht="30" customHeight="1">
      <x:c r="A1169" s="59" t="str">
        <x:v>URE_REGISTERS</x:v>
      </x:c>
      <x:c r="B1169" s="59" t="str">
        <x:v>reliability</x:v>
      </x:c>
      <x:c r="C1169" s="59" t="str">
        <x:v>C</x:v>
      </x:c>
    </x:row>
    <x:row r="1170" ht="30" customHeight="1">
      <x:c r="A1170" s="59" t="str">
        <x:v>URE_REGISTERS</x:v>
      </x:c>
      <x:c r="B1170" s="59" t="str">
        <x:v>key_fields</x:v>
      </x:c>
      <x:c r="C1170" s="59" t="str">
        <x:v>[ "podmiot", "zakres rejestru", "status regulacyjny" ]</x:v>
      </x:c>
    </x:row>
    <x:row r="1171" ht="30" customHeight="1">
      <x:c r="A1171" s="59" t="str">
        <x:v>URE_REGISTERS</x:v>
      </x:c>
      <x:c r="B1171" s="59" t="str">
        <x:v>potential_application</x:v>
      </x:c>
      <x:c r="C1171" s="59" t="str">
        <x:v>Kontrola podmiotów i wybranych aktywów OZE.</x:v>
      </x:c>
    </x:row>
    <x:row r="1172" ht="30" customHeight="1">
      <x:c r="A1172" s="59" t="str">
        <x:v>URE_REGISTERS</x:v>
      </x:c>
      <x:c r="B1172" s="59" t="str">
        <x:v>known_limitations</x:v>
      </x:c>
      <x:c r="C1172" s="59" t="str">
        <x:v>[ "Progi i zakresy różnią się; brak kompletnego mapowania projekt–GPZ." ]</x:v>
      </x:c>
    </x:row>
    <x:row r="1173" ht="30" customHeight="1">
      <x:c r="A1173" s="59" t="str">
        <x:v>URE_REGISTERS</x:v>
      </x:c>
      <x:c r="B1173" s="59" t="str">
        <x:v>priority</x:v>
      </x:c>
      <x:c r="C1173" s="59" t="str">
        <x:v>P1</x:v>
      </x:c>
    </x:row>
    <x:row r="1174" ht="30" customHeight="1">
      <x:c r="A1174" s="59" t="str">
        <x:v>URE_REGISTERS</x:v>
      </x:c>
      <x:c r="B1174" s="59" t="str">
        <x:v>evidence</x:v>
      </x:c>
      <x:c r="C1174" s="59" t="str">
        <x:v>[]</x:v>
      </x:c>
    </x:row>
    <x:row r="1175" ht="30" customHeight="1">
      <x:c r="A1175" s="59" t="str">
        <x:v>URE_REGISTERS</x:v>
      </x:c>
      <x:c r="B1175" s="59" t="str">
        <x:v>retrieval_date</x:v>
      </x:c>
      <x:c r="C1175" s="59" t="str">
        <x:v>[]</x:v>
      </x:c>
    </x:row>
    <x:row r="1176" ht="30" customHeight="1">
      <x:c r="A1176" s="59" t="str">
        <x:v>ENERGY_LAW_516</x:v>
      </x:c>
      <x:c r="B1176" s="59" t="str">
        <x:v>country</x:v>
      </x:c>
      <x:c r="C1176" s="59" t="str">
        <x:v>PL</x:v>
      </x:c>
    </x:row>
    <x:row r="1177" ht="30" customHeight="1">
      <x:c r="A1177" s="59" t="str">
        <x:v>ENERGY_LAW_516</x:v>
      </x:c>
      <x:c r="B1177" s="59" t="str">
        <x:v>geographical_scope</x:v>
      </x:c>
      <x:c r="C1177" s="59" t="str">
        <x:v>Zakres publikacji danego operatora/instytucji; nie założono pełnego pokrycia kraju.</x:v>
      </x:c>
    </x:row>
    <x:row r="1178" ht="30" customHeight="1">
      <x:c r="A1178" s="59" t="str">
        <x:v>ENERGY_LAW_516</x:v>
      </x:c>
      <x:c r="B1178" s="59" t="str">
        <x:v>grid_voltage</x:v>
      </x:c>
      <x:c r="C1178" s="59" t="str">
        <x:v>[ "UNKNOWN_OR_NOT_APPLICABLE" ]</x:v>
      </x:c>
    </x:row>
    <x:row r="1179" ht="30" customHeight="1">
      <x:c r="A1179" s="59" t="str">
        <x:v>ENERGY_LAW_516</x:v>
      </x:c>
      <x:c r="B1179" s="59" t="str">
        <x:v>api_available</x:v>
      </x:c>
      <x:c r="C1179" s="59" t="str">
        <x:v>UNKNOWN</x:v>
      </x:c>
    </x:row>
    <x:row r="1180" ht="30" customHeight="1">
      <x:c r="A1180" s="59" t="str">
        <x:v>ENERGY_LAW_516</x:v>
      </x:c>
      <x:c r="B1180" s="59" t="str">
        <x:v>gis_available</x:v>
      </x:c>
      <x:c r="C1180" s="59" t="str">
        <x:v>UNKNOWN</x:v>
      </x:c>
    </x:row>
    <x:row r="1181" ht="30" customHeight="1">
      <x:c r="A1181" s="59" t="str">
        <x:v>ENERGY_LAW_516</x:v>
      </x:c>
      <x:c r="B1181" s="59" t="str">
        <x:v>update_frequency</x:v>
      </x:c>
      <x:c r="C1181" s="59" t="str">
        <x:v>UNKNOWN — nie ustalono gwarantowanego cyklu publikacji.</x:v>
      </x:c>
    </x:row>
    <x:row r="1182" ht="30" customHeight="1">
      <x:c r="A1182" s="59" t="str">
        <x:v>ENERGY_LAW_516</x:v>
      </x:c>
      <x:c r="B1182" s="59" t="str">
        <x:v>historical_data</x:v>
      </x:c>
      <x:c r="C1182" s="59" t="str">
        <x:v>UNKNOWN — własne snapshoty od 10.09.2026, jeśli zapisano próbkę.</x:v>
      </x:c>
    </x:row>
    <x:row r="1183" ht="30" customHeight="1">
      <x:c r="A1183" s="59" t="str">
        <x:v>ENERGY_LAW_516</x:v>
      </x:c>
      <x:c r="B1183" s="59" t="str">
        <x:v>authentication</x:v>
      </x:c>
      <x:c r="C1183" s="59" t="str">
        <x:v>Odczyt publicznej strony bez konta; nie dowodzi dostępu do wszystkich danych.</x:v>
      </x:c>
    </x:row>
    <x:row r="1184" ht="30" customHeight="1">
      <x:c r="A1184" s="59" t="str">
        <x:v>ENERGY_LAW_516</x:v>
      </x:c>
      <x:c r="B1184" s="59" t="str">
        <x:v>license</x:v>
      </x:c>
      <x:c r="C1184" s="59" t="str">
        <x:v>Oficjalny akt normatywny; nie stanowi licencji na dane operatorów.</x:v>
      </x:c>
    </x:row>
    <x:row r="1185" ht="30" customHeight="1">
      <x:c r="A1185" s="59" t="str">
        <x:v>ENERGY_LAW_516</x:v>
      </x:c>
      <x:c r="B1185" s="59" t="str">
        <x:v>license_url</x:v>
      </x:c>
      <x:c r="C1185" s="59" t="str">
        <x:v>UNKNOWN — nie ustalono</x:v>
      </x:c>
    </x:row>
    <x:row r="1186" ht="30" customHeight="1">
      <x:c r="A1186" s="59" t="str">
        <x:v>ENERGY_LAW_516</x:v>
      </x:c>
      <x:c r="B1186" s="59" t="str">
        <x:v>commercial_use</x:v>
      </x:c>
      <x:c r="C1186" s="59" t="str">
        <x:v>UNKNOWN</x:v>
      </x:c>
    </x:row>
    <x:row r="1187" ht="30" customHeight="1">
      <x:c r="A1187" s="59" t="str">
        <x:v>ENERGY_LAW_516</x:v>
      </x:c>
      <x:c r="B1187" s="59" t="str">
        <x:v>machine_readable</x:v>
      </x:c>
      <x:c r="C1187" s="59" t="str">
        <x:v>UNKNOWN</x:v>
      </x:c>
    </x:row>
    <x:row r="1188" ht="30" customHeight="1">
      <x:c r="A1188" s="59" t="str">
        <x:v>ENERGY_LAW_516</x:v>
      </x:c>
      <x:c r="B1188" s="59" t="str">
        <x:v>scraping_required</x:v>
      </x:c>
      <x:c r="C1188" s="59" t="str">
        <x:v>UNKNOWN — przed scraperem preferować oficjalny plik lub API.</x:v>
      </x:c>
    </x:row>
    <x:row r="1189" ht="30" customHeight="1">
      <x:c r="A1189" s="59" t="str">
        <x:v>ENERGY_LAW_516</x:v>
      </x:c>
      <x:c r="B1189" s="59" t="str">
        <x:v>data_quality_score</x:v>
      </x:c>
      <x:c r="C1189" s="59" t="str">
        <x:v>UNKNOWN — nie ustalono</x:v>
      </x:c>
    </x:row>
    <x:row r="1190" ht="30" customHeight="1">
      <x:c r="A1190" s="59" t="str">
        <x:v>ENERGY_LAW_516</x:v>
      </x:c>
      <x:c r="B1190" s="59" t="str">
        <x:v>quality_score_status</x:v>
      </x:c>
      <x:c r="C1190" s="59" t="str">
        <x:v>NOT_CALIBRATED — autorytet źródła nie jest procentem kompletności lub trafności.</x:v>
      </x:c>
    </x:row>
    <x:row r="1191" ht="30" customHeight="1">
      <x:c r="A1191" s="59" t="str">
        <x:v>ENERGY_LAW_516</x:v>
      </x:c>
      <x:c r="B1191" s="59" t="str">
        <x:v>last_verified</x:v>
      </x:c>
      <x:c r="C1191" s="60" t="n">
        <x:v>46275</x:v>
      </x:c>
    </x:row>
    <x:row r="1192" ht="30" customHeight="1">
      <x:c r="A1192" s="59" t="str">
        <x:v>ENERGY_LAW_516</x:v>
      </x:c>
      <x:c r="B1192" s="59" t="str">
        <x:v>last_successful_verification</x:v>
      </x:c>
      <x:c r="C1192" s="60" t="n">
        <x:v>46275</x:v>
      </x:c>
    </x:row>
    <x:row r="1193" ht="30" customHeight="1">
      <x:c r="A1193" s="59" t="str">
        <x:v>ENERGY_LAW_516</x:v>
      </x:c>
      <x:c r="B1193" s="59" t="str">
        <x:v>source_date</x:v>
      </x:c>
      <x:c r="C1193" s="60" t="n">
        <x:v>46094</x:v>
      </x:c>
    </x:row>
    <x:row r="1194" ht="30" customHeight="1">
      <x:c r="A1194" s="59" t="str">
        <x:v>ENERGY_LAW_516</x:v>
      </x:c>
      <x:c r="B1194" s="59" t="str">
        <x:v>publication_date</x:v>
      </x:c>
      <x:c r="C1194" s="60" t="n">
        <x:v>46127</x:v>
      </x:c>
    </x:row>
    <x:row r="1195" ht="30" customHeight="1">
      <x:c r="A1195" s="59" t="str">
        <x:v>ENERGY_LAW_516</x:v>
      </x:c>
      <x:c r="B1195" s="59" t="str">
        <x:v>source_version</x:v>
      </x:c>
      <x:c r="C1195" s="59" t="str">
        <x:v>UNKNOWN — nie ustalono</x:v>
      </x:c>
    </x:row>
    <x:row r="1196" ht="30" customHeight="1">
      <x:c r="A1196" s="59" t="str">
        <x:v>ENERGY_LAW_516</x:v>
      </x:c>
      <x:c r="B1196" s="59" t="str">
        <x:v>source_page</x:v>
      </x:c>
      <x:c r="C1196" s="59" t="str">
        <x:v>15</x:v>
      </x:c>
    </x:row>
    <x:row r="1197" ht="30" customHeight="1">
      <x:c r="A1197" s="59" t="str">
        <x:v>ENERGY_LAW_516</x:v>
      </x:c>
      <x:c r="B1197" s="59" t="str">
        <x:v>valid_from</x:v>
      </x:c>
      <x:c r="C1197" s="59" t="str">
        <x:v>UNKNOWN — nie ustalono</x:v>
      </x:c>
    </x:row>
    <x:row r="1198" ht="30" customHeight="1">
      <x:c r="A1198" s="59" t="str">
        <x:v>ENERGY_LAW_516</x:v>
      </x:c>
      <x:c r="B1198" s="59" t="str">
        <x:v>valid_to</x:v>
      </x:c>
      <x:c r="C1198" s="59" t="str">
        <x:v>UNKNOWN — nie ustalono</x:v>
      </x:c>
    </x:row>
    <x:row r="1199" ht="30" customHeight="1">
      <x:c r="A1199" s="59" t="str">
        <x:v>ENERGY_LAW_516</x:v>
      </x:c>
      <x:c r="B1199" s="59" t="str">
        <x:v>current_future_scope</x:v>
      </x:c>
      <x:c r="C1199" s="59" t="str">
        <x:v>SOURCE_DEPENDENT</x:v>
      </x:c>
    </x:row>
    <x:row r="1200" ht="30" customHeight="1">
      <x:c r="A1200" s="59" t="str">
        <x:v>ENERGY_LAW_516</x:v>
      </x:c>
      <x:c r="B1200" s="59" t="str">
        <x:v>value_classification_default</x:v>
      </x:c>
      <x:c r="C1200" s="59" t="str">
        <x:v>REPORTED</x:v>
      </x:c>
    </x:row>
    <x:row r="1201" ht="38" customHeight="1">
      <x:c r="A1201" s="59" t="str">
        <x:v>ENERGY_LAW_516</x:v>
      </x:c>
      <x:c r="B1201" s="59" t="str">
        <x:v>automation_notes</x:v>
      </x:c>
      <x:c r="C1201" s="59" t="str">
        <x:v>Jednorazowy przegląd; brak zgody na stały scraper wynikającej z samego dostępu. Sprawdzić warunki, robots.txt i limity przed wdrożeniem.</x:v>
      </x:c>
    </x:row>
    <x:row r="1202" ht="30" customHeight="1">
      <x:c r="A1202" s="59" t="str">
        <x:v>ENERGY_LAW_516</x:v>
      </x:c>
      <x:c r="B1202" s="59" t="str">
        <x:v>probe_ids</x:v>
      </x:c>
      <x:c r="C1202" s="59" t="str">
        <x:v>[ "LAW_2026_516" ]</x:v>
      </x:c>
    </x:row>
    <x:row r="1203" ht="30" customHeight="1">
      <x:c r="A1203" s="59" t="str">
        <x:v>ENERGY_LAW_516</x:v>
      </x:c>
      <x:c r="B1203" s="59" t="str">
        <x:v>related_urls</x:v>
      </x:c>
      <x:c r="C1203" s="59" t="str">
        <x:v>[]</x:v>
      </x:c>
    </x:row>
    <x:row r="1204" ht="30" customHeight="1">
      <x:c r="A1204" s="59" t="str">
        <x:v>ENERGY_LAW_516</x:v>
      </x:c>
      <x:c r="B1204" s="59" t="str">
        <x:v>source_id</x:v>
      </x:c>
      <x:c r="C1204" s="59" t="str">
        <x:v>ENERGY_LAW_516</x:v>
      </x:c>
    </x:row>
    <x:row r="1205" ht="30" customHeight="1">
      <x:c r="A1205" s="59" t="str">
        <x:v>ENERGY_LAW_516</x:v>
      </x:c>
      <x:c r="B1205" s="59" t="str">
        <x:v>operator</x:v>
      </x:c>
      <x:c r="C1205" s="59" t="str">
        <x:v>UNKNOWN — nie ustalono</x:v>
      </x:c>
    </x:row>
    <x:row r="1206" ht="30" customHeight="1">
      <x:c r="A1206" s="59" t="str">
        <x:v>ENERGY_LAW_516</x:v>
      </x:c>
      <x:c r="B1206" s="59" t="str">
        <x:v>source_name</x:v>
      </x:c>
      <x:c r="C1206" s="59" t="str">
        <x:v>Dz.U. 2026 poz. 516 — zmiana Prawa energetycznego</x:v>
      </x:c>
    </x:row>
    <x:row r="1207" ht="30" customHeight="1">
      <x:c r="A1207" s="59" t="str">
        <x:v>ENERGY_LAW_516</x:v>
      </x:c>
      <x:c r="B1207" s="59" t="str">
        <x:v>url</x:v>
      </x:c>
      <x:c r="C1207" s="59" t="str">
        <x:v>https://dziennikustaw.gov.pl/D2026000051601.pdf</x:v>
      </x:c>
    </x:row>
    <x:row r="1208" ht="30" customHeight="1">
      <x:c r="A1208" s="59" t="str">
        <x:v>ENERGY_LAW_516</x:v>
      </x:c>
      <x:c r="B1208" s="59" t="str">
        <x:v>data_owner</x:v>
      </x:c>
      <x:c r="C1208" s="59" t="str">
        <x:v>Dziennik Ustaw / RCL</x:v>
      </x:c>
    </x:row>
    <x:row r="1209" ht="30" customHeight="1">
      <x:c r="A1209" s="59" t="str">
        <x:v>ENERGY_LAW_516</x:v>
      </x:c>
      <x:c r="B1209" s="59" t="str">
        <x:v>data_category</x:v>
      </x:c>
      <x:c r="C1209" s="59" t="str">
        <x:v>legal_publication_requirements</x:v>
      </x:c>
    </x:row>
    <x:row r="1210" ht="30" customHeight="1">
      <x:c r="A1210" s="59" t="str">
        <x:v>ENERGY_LAW_516</x:v>
      </x:c>
      <x:c r="B1210" s="59" t="str">
        <x:v>data_format</x:v>
      </x:c>
      <x:c r="C1210" s="59" t="str">
        <x:v>[ "PDF" ]</x:v>
      </x:c>
    </x:row>
    <x:row r="1211" ht="30" customHeight="1">
      <x:c r="A1211" s="59" t="str">
        <x:v>ENERGY_LAW_516</x:v>
      </x:c>
      <x:c r="B1211" s="59" t="str">
        <x:v>verification_status</x:v>
      </x:c>
      <x:c r="C1211" s="59" t="str">
        <x:v>SAMPLE_VERIFIED</x:v>
      </x:c>
    </x:row>
    <x:row r="1212" ht="30" customHeight="1">
      <x:c r="A1212" s="59" t="str">
        <x:v>ENERGY_LAW_516</x:v>
      </x:c>
      <x:c r="B1212" s="59" t="str">
        <x:v>reliability</x:v>
      </x:c>
      <x:c r="C1212" s="59" t="str">
        <x:v>C</x:v>
      </x:c>
    </x:row>
    <x:row r="1213" ht="30" customHeight="1">
      <x:c r="A1213" s="59" t="str">
        <x:v>ENERGY_LAW_516</x:v>
      </x:c>
      <x:c r="B1213" s="59" t="str">
        <x:v>key_fields</x:v>
      </x:c>
      <x:c r="C1213" s="59" t="str">
        <x:v>[ "zakres publikacji", "częstotliwość aktualizacji", "przepisy przejściowe" ]</x:v>
      </x:c>
    </x:row>
    <x:row r="1214" ht="30" customHeight="1">
      <x:c r="A1214" s="59" t="str">
        <x:v>ENERGY_LAW_516</x:v>
      </x:c>
      <x:c r="B1214" s="59" t="str">
        <x:v>potential_application</x:v>
      </x:c>
      <x:c r="C1214" s="59" t="str">
        <x:v>Interpretacja cykli publikacji OSP/OSD.</x:v>
      </x:c>
    </x:row>
    <x:row r="1215" ht="30" customHeight="1">
      <x:c r="A1215" s="59" t="str">
        <x:v>ENERGY_LAW_516</x:v>
      </x:c>
      <x:c r="B1215" s="59" t="str">
        <x:v>known_limitations</x:v>
      </x:c>
      <x:c r="C1215" s="59" t="str">
        <x:v>[ "Przegląd wybranych przepisów, nie pełny audyt prawny wszystkich obowiązków i praw ponownego użycia." ]</x:v>
      </x:c>
    </x:row>
    <x:row r="1216" ht="30" customHeight="1">
      <x:c r="A1216" s="59" t="str">
        <x:v>ENERGY_LAW_516</x:v>
      </x:c>
      <x:c r="B1216" s="59" t="str">
        <x:v>priority</x:v>
      </x:c>
      <x:c r="C1216" s="59" t="str">
        <x:v>P1</x:v>
      </x:c>
    </x:row>
    <x:row r="1217" ht="80" customHeight="1">
      <x:c r="A1217" s="59" t="str">
        <x:v>ENERGY_LAW_516</x:v>
      </x:c>
      <x:c r="B1217" s="59" t="str">
        <x:v>evidence</x:v>
      </x:c>
      <x:c r="C1217" s="59" t="str">
        <x:v>[ { "source_id": "LAW_2026_516", "url": "https://dziennikustaw.gov.pl/D2026000051601.pdf", "retrieval_date": "2026-09-10T11:21:04.3613547Z", "http_status": 200, "content_type": "application/pdf; charset=UTF-8", "bytes": 857111, "sha256": "18b9bc85f174eee474247d18761fcd9b99812fc9a5fe8fd98485fa192d0ef646", "local_path": "data/raw/research/2026-09-10/prawo_energetyczne_zmiana_2026_516.pdf", "error": null, "manifest": "data/catalog/probe_results_20260910T112104907Z.json" } ]</x:v>
      </x:c>
    </x:row>
    <x:row r="1218" ht="30" customHeight="1">
      <x:c r="A1218" s="59" t="str">
        <x:v>ENERGY_LAW_516</x:v>
      </x:c>
      <x:c r="B1218" s="59" t="str">
        <x:v>retrieval_date</x:v>
      </x:c>
      <x:c r="C1218" s="59" t="str">
        <x:v>[ "2026-09-10T11:21:04.3613547Z" ]</x:v>
      </x:c>
    </x:row>
    <x:row r="1219" ht="30" customHeight="1">
      <x:c r="A1219" s="59" t="str">
        <x:v>BIP_ENV_DISCOVERY</x:v>
      </x:c>
      <x:c r="B1219" s="59" t="str">
        <x:v>country</x:v>
      </x:c>
      <x:c r="C1219" s="59" t="str">
        <x:v>PL</x:v>
      </x:c>
    </x:row>
    <x:row r="1220" ht="30" customHeight="1">
      <x:c r="A1220" s="59" t="str">
        <x:v>BIP_ENV_DISCOVERY</x:v>
      </x:c>
      <x:c r="B1220" s="59" t="str">
        <x:v>geographical_scope</x:v>
      </x:c>
      <x:c r="C1220" s="59" t="str">
        <x:v>Zakres publikacji danego operatora/instytucji; nie założono pełnego pokrycia kraju.</x:v>
      </x:c>
    </x:row>
    <x:row r="1221" ht="30" customHeight="1">
      <x:c r="A1221" s="59" t="str">
        <x:v>BIP_ENV_DISCOVERY</x:v>
      </x:c>
      <x:c r="B1221" s="59" t="str">
        <x:v>grid_voltage</x:v>
      </x:c>
      <x:c r="C1221" s="59" t="str">
        <x:v>[ "UNKNOWN_OR_NOT_APPLICABLE" ]</x:v>
      </x:c>
    </x:row>
    <x:row r="1222" ht="30" customHeight="1">
      <x:c r="A1222" s="59" t="str">
        <x:v>BIP_ENV_DISCOVERY</x:v>
      </x:c>
      <x:c r="B1222" s="59" t="str">
        <x:v>api_available</x:v>
      </x:c>
      <x:c r="C1222" s="59" t="str">
        <x:v>UNKNOWN</x:v>
      </x:c>
    </x:row>
    <x:row r="1223" ht="30" customHeight="1">
      <x:c r="A1223" s="59" t="str">
        <x:v>BIP_ENV_DISCOVERY</x:v>
      </x:c>
      <x:c r="B1223" s="59" t="str">
        <x:v>gis_available</x:v>
      </x:c>
      <x:c r="C1223" s="59" t="str">
        <x:v>UNKNOWN</x:v>
      </x:c>
    </x:row>
    <x:row r="1224" ht="30" customHeight="1">
      <x:c r="A1224" s="59" t="str">
        <x:v>BIP_ENV_DISCOVERY</x:v>
      </x:c>
      <x:c r="B1224" s="59" t="str">
        <x:v>update_frequency</x:v>
      </x:c>
      <x:c r="C1224" s="59" t="str">
        <x:v>UNKNOWN — nie ustalono gwarantowanego cyklu publikacji.</x:v>
      </x:c>
    </x:row>
    <x:row r="1225" ht="30" customHeight="1">
      <x:c r="A1225" s="59" t="str">
        <x:v>BIP_ENV_DISCOVERY</x:v>
      </x:c>
      <x:c r="B1225" s="59" t="str">
        <x:v>historical_data</x:v>
      </x:c>
      <x:c r="C1225" s="59" t="str">
        <x:v>UNKNOWN — własne snapshoty od 10.09.2026, jeśli zapisano próbkę.</x:v>
      </x:c>
    </x:row>
    <x:row r="1226" ht="30" customHeight="1">
      <x:c r="A1226" s="59" t="str">
        <x:v>BIP_ENV_DISCOVERY</x:v>
      </x:c>
      <x:c r="B1226" s="59" t="str">
        <x:v>authentication</x:v>
      </x:c>
      <x:c r="C1226" s="59" t="str">
        <x:v>UNKNOWN — pełna treść nie została zweryfikowana.</x:v>
      </x:c>
    </x:row>
    <x:row r="1227" ht="30" customHeight="1">
      <x:c r="A1227" s="59" t="str">
        <x:v>BIP_ENV_DISCOVERY</x:v>
      </x:c>
      <x:c r="B1227" s="59" t="str">
        <x:v>license</x:v>
      </x:c>
      <x:c r="C1227" s="59" t="str">
        <x:v>UNKNOWN — nie potwierdzono otwartej licencji wybranego zbioru.</x:v>
      </x:c>
    </x:row>
    <x:row r="1228" ht="30" customHeight="1">
      <x:c r="A1228" s="59" t="str">
        <x:v>BIP_ENV_DISCOVERY</x:v>
      </x:c>
      <x:c r="B1228" s="59" t="str">
        <x:v>license_url</x:v>
      </x:c>
      <x:c r="C1228" s="59" t="str">
        <x:v>UNKNOWN — nie ustalono</x:v>
      </x:c>
    </x:row>
    <x:row r="1229" ht="30" customHeight="1">
      <x:c r="A1229" s="59" t="str">
        <x:v>BIP_ENV_DISCOVERY</x:v>
      </x:c>
      <x:c r="B1229" s="59" t="str">
        <x:v>commercial_use</x:v>
      </x:c>
      <x:c r="C1229" s="59" t="str">
        <x:v>UNKNOWN</x:v>
      </x:c>
    </x:row>
    <x:row r="1230" ht="30" customHeight="1">
      <x:c r="A1230" s="59" t="str">
        <x:v>BIP_ENV_DISCOVERY</x:v>
      </x:c>
      <x:c r="B1230" s="59" t="str">
        <x:v>machine_readable</x:v>
      </x:c>
      <x:c r="C1230" s="59" t="str">
        <x:v>UNKNOWN</x:v>
      </x:c>
    </x:row>
    <x:row r="1231" ht="30" customHeight="1">
      <x:c r="A1231" s="59" t="str">
        <x:v>BIP_ENV_DISCOVERY</x:v>
      </x:c>
      <x:c r="B1231" s="59" t="str">
        <x:v>scraping_required</x:v>
      </x:c>
      <x:c r="C1231" s="59" t="str">
        <x:v>UNKNOWN — przed scraperem preferować oficjalny plik lub API.</x:v>
      </x:c>
    </x:row>
    <x:row r="1232" ht="30" customHeight="1">
      <x:c r="A1232" s="59" t="str">
        <x:v>BIP_ENV_DISCOVERY</x:v>
      </x:c>
      <x:c r="B1232" s="59" t="str">
        <x:v>data_quality_score</x:v>
      </x:c>
      <x:c r="C1232" s="59" t="str">
        <x:v>UNKNOWN — nie ustalono</x:v>
      </x:c>
    </x:row>
    <x:row r="1233" ht="30" customHeight="1">
      <x:c r="A1233" s="59" t="str">
        <x:v>BIP_ENV_DISCOVERY</x:v>
      </x:c>
      <x:c r="B1233" s="59" t="str">
        <x:v>quality_score_status</x:v>
      </x:c>
      <x:c r="C1233" s="59" t="str">
        <x:v>NOT_CALIBRATED — autorytet źródła nie jest procentem kompletności lub trafności.</x:v>
      </x:c>
    </x:row>
    <x:row r="1234" ht="30" customHeight="1">
      <x:c r="A1234" s="59" t="str">
        <x:v>BIP_ENV_DISCOVERY</x:v>
      </x:c>
      <x:c r="B1234" s="59" t="str">
        <x:v>last_verified</x:v>
      </x:c>
      <x:c r="C1234" s="60" t="n">
        <x:v>46275</x:v>
      </x:c>
    </x:row>
    <x:row r="1235" ht="30" customHeight="1">
      <x:c r="A1235" s="59" t="str">
        <x:v>BIP_ENV_DISCOVERY</x:v>
      </x:c>
      <x:c r="B1235" s="59" t="str">
        <x:v>last_successful_verification</x:v>
      </x:c>
      <x:c r="C1235" s="59" t="str">
        <x:v>UNKNOWN — nie ustalono</x:v>
      </x:c>
    </x:row>
    <x:row r="1236" ht="30" customHeight="1">
      <x:c r="A1236" s="59" t="str">
        <x:v>BIP_ENV_DISCOVERY</x:v>
      </x:c>
      <x:c r="B1236" s="59" t="str">
        <x:v>source_date</x:v>
      </x:c>
      <x:c r="C1236" s="59" t="str">
        <x:v>UNKNOWN — nie ustalono</x:v>
      </x:c>
    </x:row>
    <x:row r="1237" ht="30" customHeight="1">
      <x:c r="A1237" s="59" t="str">
        <x:v>BIP_ENV_DISCOVERY</x:v>
      </x:c>
      <x:c r="B1237" s="59" t="str">
        <x:v>publication_date</x:v>
      </x:c>
      <x:c r="C1237" s="59" t="str">
        <x:v>UNKNOWN — nie ustalono</x:v>
      </x:c>
    </x:row>
    <x:row r="1238" ht="30" customHeight="1">
      <x:c r="A1238" s="59" t="str">
        <x:v>BIP_ENV_DISCOVERY</x:v>
      </x:c>
      <x:c r="B1238" s="59" t="str">
        <x:v>source_version</x:v>
      </x:c>
      <x:c r="C1238" s="59" t="str">
        <x:v>UNKNOWN — nie ustalono</x:v>
      </x:c>
    </x:row>
    <x:row r="1239" ht="30" customHeight="1">
      <x:c r="A1239" s="59" t="str">
        <x:v>BIP_ENV_DISCOVERY</x:v>
      </x:c>
      <x:c r="B1239" s="59" t="str">
        <x:v>source_page</x:v>
      </x:c>
      <x:c r="C1239" s="59" t="str">
        <x:v>UNKNOWN — nie ustalono</x:v>
      </x:c>
    </x:row>
    <x:row r="1240" ht="30" customHeight="1">
      <x:c r="A1240" s="59" t="str">
        <x:v>BIP_ENV_DISCOVERY</x:v>
      </x:c>
      <x:c r="B1240" s="59" t="str">
        <x:v>valid_from</x:v>
      </x:c>
      <x:c r="C1240" s="59" t="str">
        <x:v>UNKNOWN — nie ustalono</x:v>
      </x:c>
    </x:row>
    <x:row r="1241" ht="30" customHeight="1">
      <x:c r="A1241" s="59" t="str">
        <x:v>BIP_ENV_DISCOVERY</x:v>
      </x:c>
      <x:c r="B1241" s="59" t="str">
        <x:v>valid_to</x:v>
      </x:c>
      <x:c r="C1241" s="59" t="str">
        <x:v>UNKNOWN — nie ustalono</x:v>
      </x:c>
    </x:row>
    <x:row r="1242" ht="30" customHeight="1">
      <x:c r="A1242" s="59" t="str">
        <x:v>BIP_ENV_DISCOVERY</x:v>
      </x:c>
      <x:c r="B1242" s="59" t="str">
        <x:v>current_future_scope</x:v>
      </x:c>
      <x:c r="C1242" s="59" t="str">
        <x:v>SOURCE_DEPENDENT</x:v>
      </x:c>
    </x:row>
    <x:row r="1243" ht="30" customHeight="1">
      <x:c r="A1243" s="59" t="str">
        <x:v>BIP_ENV_DISCOVERY</x:v>
      </x:c>
      <x:c r="B1243" s="59" t="str">
        <x:v>value_classification_default</x:v>
      </x:c>
      <x:c r="C1243" s="59" t="str">
        <x:v>REPORTED</x:v>
      </x:c>
    </x:row>
    <x:row r="1244" ht="38" customHeight="1">
      <x:c r="A1244" s="59" t="str">
        <x:v>BIP_ENV_DISCOVERY</x:v>
      </x:c>
      <x:c r="B1244" s="59" t="str">
        <x:v>automation_notes</x:v>
      </x:c>
      <x:c r="C1244" s="59" t="str">
        <x:v>Jednorazowy przegląd; brak zgody na stały scraper wynikającej z samego dostępu. Sprawdzić warunki, robots.txt i limity przed wdrożeniem.</x:v>
      </x:c>
    </x:row>
    <x:row r="1245" ht="30" customHeight="1">
      <x:c r="A1245" s="59" t="str">
        <x:v>BIP_ENV_DISCOVERY</x:v>
      </x:c>
      <x:c r="B1245" s="59" t="str">
        <x:v>probe_ids</x:v>
      </x:c>
      <x:c r="C1245" s="59" t="str">
        <x:v>[]</x:v>
      </x:c>
    </x:row>
    <x:row r="1246" ht="30" customHeight="1">
      <x:c r="A1246" s="59" t="str">
        <x:v>BIP_ENV_DISCOVERY</x:v>
      </x:c>
      <x:c r="B1246" s="59" t="str">
        <x:v>related_urls</x:v>
      </x:c>
      <x:c r="C1246" s="59" t="str">
        <x:v>[]</x:v>
      </x:c>
    </x:row>
    <x:row r="1247" ht="30" customHeight="1">
      <x:c r="A1247" s="59" t="str">
        <x:v>BIP_ENV_DISCOVERY</x:v>
      </x:c>
      <x:c r="B1247" s="59" t="str">
        <x:v>source_id</x:v>
      </x:c>
      <x:c r="C1247" s="59" t="str">
        <x:v>BIP_ENV_DISCOVERY</x:v>
      </x:c>
    </x:row>
    <x:row r="1248" ht="30" customHeight="1">
      <x:c r="A1248" s="59" t="str">
        <x:v>BIP_ENV_DISCOVERY</x:v>
      </x:c>
      <x:c r="B1248" s="59" t="str">
        <x:v>operator</x:v>
      </x:c>
      <x:c r="C1248" s="59" t="str">
        <x:v>UNKNOWN — nie ustalono</x:v>
      </x:c>
    </x:row>
    <x:row r="1249" ht="30" customHeight="1">
      <x:c r="A1249" s="59" t="str">
        <x:v>BIP_ENV_DISCOVERY</x:v>
      </x:c>
      <x:c r="B1249" s="59" t="str">
        <x:v>source_name</x:v>
      </x:c>
      <x:c r="C1249" s="59" t="str">
        <x:v>Ekoportal — punkt wejścia do informacji środowiskowej</x:v>
      </x:c>
    </x:row>
    <x:row r="1250" ht="30" customHeight="1">
      <x:c r="A1250" s="59" t="str">
        <x:v>BIP_ENV_DISCOVERY</x:v>
      </x:c>
      <x:c r="B1250" s="59" t="str">
        <x:v>url</x:v>
      </x:c>
      <x:c r="C1250" s="59" t="str">
        <x:v>https://ekoportal.gov.pl/</x:v>
      </x:c>
    </x:row>
    <x:row r="1251" ht="30" customHeight="1">
      <x:c r="A1251" s="59" t="str">
        <x:v>BIP_ENV_DISCOVERY</x:v>
      </x:c>
      <x:c r="B1251" s="59" t="str">
        <x:v>data_owner</x:v>
      </x:c>
      <x:c r="C1251" s="59" t="str">
        <x:v>Administracja środowiskowa</x:v>
      </x:c>
    </x:row>
    <x:row r="1252" ht="30" customHeight="1">
      <x:c r="A1252" s="59" t="str">
        <x:v>BIP_ENV_DISCOVERY</x:v>
      </x:c>
      <x:c r="B1252" s="59" t="str">
        <x:v>data_category</x:v>
      </x:c>
      <x:c r="C1252" s="59" t="str">
        <x:v>administrative_project_discovery</x:v>
      </x:c>
    </x:row>
    <x:row r="1253" ht="30" customHeight="1">
      <x:c r="A1253" s="59" t="str">
        <x:v>BIP_ENV_DISCOVERY</x:v>
      </x:c>
      <x:c r="B1253" s="59" t="str">
        <x:v>data_format</x:v>
      </x:c>
      <x:c r="C1253" s="59" t="str">
        <x:v>[ "HTML", "BIP", "PDF" ]</x:v>
      </x:c>
    </x:row>
    <x:row r="1254" ht="30" customHeight="1">
      <x:c r="A1254" s="59" t="str">
        <x:v>BIP_ENV_DISCOVERY</x:v>
      </x:c>
      <x:c r="B1254" s="59" t="str">
        <x:v>verification_status</x:v>
      </x:c>
      <x:c r="C1254" s="59" t="str">
        <x:v>BLOCKED</x:v>
      </x:c>
    </x:row>
    <x:row r="1255" ht="30" customHeight="1">
      <x:c r="A1255" s="59" t="str">
        <x:v>BIP_ENV_DISCOVERY</x:v>
      </x:c>
      <x:c r="B1255" s="59" t="str">
        <x:v>reliability</x:v>
      </x:c>
      <x:c r="C1255" s="59" t="str">
        <x:v>C</x:v>
      </x:c>
    </x:row>
    <x:row r="1256" ht="30" customHeight="1">
      <x:c r="A1256" s="59" t="str">
        <x:v>BIP_ENV_DISCOVERY</x:v>
      </x:c>
      <x:c r="B1256" s="59" t="str">
        <x:v>key_fields</x:v>
      </x:c>
      <x:c r="C1256" s="59" t="str">
        <x:v>[ "UNKNOWN — potrzebna weryfikacja aktualnego systemu" ]</x:v>
      </x:c>
    </x:row>
    <x:row r="1257" ht="30" customHeight="1">
      <x:c r="A1257" s="59" t="str">
        <x:v>BIP_ENV_DISCOVERY</x:v>
      </x:c>
      <x:c r="B1257" s="59" t="str">
        <x:v>potential_application</x:v>
      </x:c>
      <x:c r="C1257" s="59" t="str">
        <x:v>Odkrywanie postępowań środowiskowych; preferować aktualne BIP właściwych organów.</x:v>
      </x:c>
    </x:row>
    <x:row r="1258" ht="38" customHeight="1">
      <x:c r="A1258" s="59" t="str">
        <x:v>BIP_ENV_DISCOVERY</x:v>
      </x:c>
      <x:c r="B1258" s="59" t="str">
        <x:v>known_limitations</x:v>
      </x:c>
      <x:c r="C1258" s="59" t="str">
        <x:v>[ "Odczyt nie powiódł się; wskazania migracji wymagają sprawdzenia.", "Nie potwierdzono aktualnego krajowego API ani kompletności pipeline." ]</x:v>
      </x:c>
    </x:row>
    <x:row r="1259" ht="30" customHeight="1">
      <x:c r="A1259" s="59" t="str">
        <x:v>BIP_ENV_DISCOVERY</x:v>
      </x:c>
      <x:c r="B1259" s="59" t="str">
        <x:v>priority</x:v>
      </x:c>
      <x:c r="C1259" s="59" t="str">
        <x:v>P2</x:v>
      </x:c>
    </x:row>
    <x:row r="1260" ht="30" customHeight="1">
      <x:c r="A1260" s="59" t="str">
        <x:v>BIP_ENV_DISCOVERY</x:v>
      </x:c>
      <x:c r="B1260" s="59" t="str">
        <x:v>evidence</x:v>
      </x:c>
      <x:c r="C1260" s="59" t="str">
        <x:v>[]</x:v>
      </x:c>
    </x:row>
    <x:row r="1261" ht="30" customHeight="1">
      <x:c r="A1261" s="59" t="str">
        <x:v>BIP_ENV_DISCOVERY</x:v>
      </x:c>
      <x:c r="B1261" s="59" t="str">
        <x:v>retrieval_date</x:v>
      </x:c>
      <x:c r="C1261" s="59" t="str">
        <x:v>[]</x:v>
      </x:c>
    </x:row>
    <x:row r="1262" ht="30" customHeight="1">
      <x:c r="A1262" s="59" t="str">
        <x:v>KRS_API_DOCS</x:v>
      </x:c>
      <x:c r="B1262" s="59" t="str">
        <x:v>country</x:v>
      </x:c>
      <x:c r="C1262" s="59" t="str">
        <x:v>PL</x:v>
      </x:c>
    </x:row>
    <x:row r="1263" ht="30" customHeight="1">
      <x:c r="A1263" s="59" t="str">
        <x:v>KRS_API_DOCS</x:v>
      </x:c>
      <x:c r="B1263" s="59" t="str">
        <x:v>geographical_scope</x:v>
      </x:c>
      <x:c r="C1263" s="59" t="str">
        <x:v>Zakres publikacji danego operatora/instytucji; nie założono pełnego pokrycia kraju.</x:v>
      </x:c>
    </x:row>
    <x:row r="1264" ht="30" customHeight="1">
      <x:c r="A1264" s="59" t="str">
        <x:v>KRS_API_DOCS</x:v>
      </x:c>
      <x:c r="B1264" s="59" t="str">
        <x:v>grid_voltage</x:v>
      </x:c>
      <x:c r="C1264" s="59" t="str">
        <x:v>[ "UNKNOWN_OR_NOT_APPLICABLE" ]</x:v>
      </x:c>
    </x:row>
    <x:row r="1265" ht="30" customHeight="1">
      <x:c r="A1265" s="59" t="str">
        <x:v>KRS_API_DOCS</x:v>
      </x:c>
      <x:c r="B1265" s="59" t="str">
        <x:v>api_available</x:v>
      </x:c>
      <x:c r="C1265" s="59" t="str">
        <x:v>DOCUMENTED_NOT_TESTED</x:v>
      </x:c>
    </x:row>
    <x:row r="1266" ht="30" customHeight="1">
      <x:c r="A1266" s="59" t="str">
        <x:v>KRS_API_DOCS</x:v>
      </x:c>
      <x:c r="B1266" s="59" t="str">
        <x:v>gis_available</x:v>
      </x:c>
      <x:c r="C1266" s="59" t="str">
        <x:v>UNKNOWN</x:v>
      </x:c>
    </x:row>
    <x:row r="1267" ht="30" customHeight="1">
      <x:c r="A1267" s="59" t="str">
        <x:v>KRS_API_DOCS</x:v>
      </x:c>
      <x:c r="B1267" s="59" t="str">
        <x:v>update_frequency</x:v>
      </x:c>
      <x:c r="C1267" s="59" t="str">
        <x:v>UNKNOWN — nie ustalono gwarantowanego cyklu publikacji.</x:v>
      </x:c>
    </x:row>
    <x:row r="1268" ht="30" customHeight="1">
      <x:c r="A1268" s="59" t="str">
        <x:v>KRS_API_DOCS</x:v>
      </x:c>
      <x:c r="B1268" s="59" t="str">
        <x:v>historical_data</x:v>
      </x:c>
      <x:c r="C1268" s="59" t="str">
        <x:v>UNKNOWN — własne snapshoty od 10.09.2026, jeśli zapisano próbkę.</x:v>
      </x:c>
    </x:row>
    <x:row r="1269" ht="30" customHeight="1">
      <x:c r="A1269" s="59" t="str">
        <x:v>KRS_API_DOCS</x:v>
      </x:c>
      <x:c r="B1269" s="59" t="str">
        <x:v>authentication</x:v>
      </x:c>
      <x:c r="C1269" s="59" t="str">
        <x:v>Odczyt publicznej strony bez konta; nie dowodzi dostępu do wszystkich danych.</x:v>
      </x:c>
    </x:row>
    <x:row r="1270" ht="30" customHeight="1">
      <x:c r="A1270" s="59" t="str">
        <x:v>KRS_API_DOCS</x:v>
      </x:c>
      <x:c r="B1270" s="59" t="str">
        <x:v>license</x:v>
      </x:c>
      <x:c r="C1270" s="59" t="str">
        <x:v>UNKNOWN — nie potwierdzono otwartej licencji wybranego zbioru.</x:v>
      </x:c>
    </x:row>
    <x:row r="1271" ht="30" customHeight="1">
      <x:c r="A1271" s="59" t="str">
        <x:v>KRS_API_DOCS</x:v>
      </x:c>
      <x:c r="B1271" s="59" t="str">
        <x:v>license_url</x:v>
      </x:c>
      <x:c r="C1271" s="59" t="str">
        <x:v>UNKNOWN — nie ustalono</x:v>
      </x:c>
    </x:row>
    <x:row r="1272" ht="30" customHeight="1">
      <x:c r="A1272" s="59" t="str">
        <x:v>KRS_API_DOCS</x:v>
      </x:c>
      <x:c r="B1272" s="59" t="str">
        <x:v>commercial_use</x:v>
      </x:c>
      <x:c r="C1272" s="59" t="str">
        <x:v>UNKNOWN</x:v>
      </x:c>
    </x:row>
    <x:row r="1273" ht="30" customHeight="1">
      <x:c r="A1273" s="59" t="str">
        <x:v>KRS_API_DOCS</x:v>
      </x:c>
      <x:c r="B1273" s="59" t="str">
        <x:v>machine_readable</x:v>
      </x:c>
      <x:c r="C1273" s="59" t="str">
        <x:v>UNKNOWN</x:v>
      </x:c>
    </x:row>
    <x:row r="1274" ht="30" customHeight="1">
      <x:c r="A1274" s="59" t="str">
        <x:v>KRS_API_DOCS</x:v>
      </x:c>
      <x:c r="B1274" s="59" t="str">
        <x:v>scraping_required</x:v>
      </x:c>
      <x:c r="C1274" s="59" t="str">
        <x:v>UNKNOWN — przed scraperem preferować oficjalny plik lub API.</x:v>
      </x:c>
    </x:row>
    <x:row r="1275" ht="30" customHeight="1">
      <x:c r="A1275" s="59" t="str">
        <x:v>KRS_API_DOCS</x:v>
      </x:c>
      <x:c r="B1275" s="59" t="str">
        <x:v>data_quality_score</x:v>
      </x:c>
      <x:c r="C1275" s="59" t="str">
        <x:v>UNKNOWN — nie ustalono</x:v>
      </x:c>
    </x:row>
    <x:row r="1276" ht="30" customHeight="1">
      <x:c r="A1276" s="59" t="str">
        <x:v>KRS_API_DOCS</x:v>
      </x:c>
      <x:c r="B1276" s="59" t="str">
        <x:v>quality_score_status</x:v>
      </x:c>
      <x:c r="C1276" s="59" t="str">
        <x:v>NOT_CALIBRATED — autorytet źródła nie jest procentem kompletności lub trafności.</x:v>
      </x:c>
    </x:row>
    <x:row r="1277" ht="30" customHeight="1">
      <x:c r="A1277" s="59" t="str">
        <x:v>KRS_API_DOCS</x:v>
      </x:c>
      <x:c r="B1277" s="59" t="str">
        <x:v>last_verified</x:v>
      </x:c>
      <x:c r="C1277" s="60" t="n">
        <x:v>46275</x:v>
      </x:c>
    </x:row>
    <x:row r="1278" ht="30" customHeight="1">
      <x:c r="A1278" s="59" t="str">
        <x:v>KRS_API_DOCS</x:v>
      </x:c>
      <x:c r="B1278" s="59" t="str">
        <x:v>last_successful_verification</x:v>
      </x:c>
      <x:c r="C1278" s="60" t="n">
        <x:v>46275</x:v>
      </x:c>
    </x:row>
    <x:row r="1279" ht="30" customHeight="1">
      <x:c r="A1279" s="59" t="str">
        <x:v>KRS_API_DOCS</x:v>
      </x:c>
      <x:c r="B1279" s="59" t="str">
        <x:v>source_date</x:v>
      </x:c>
      <x:c r="C1279" s="59" t="str">
        <x:v>UNKNOWN — nie ustalono</x:v>
      </x:c>
    </x:row>
    <x:row r="1280" ht="30" customHeight="1">
      <x:c r="A1280" s="59" t="str">
        <x:v>KRS_API_DOCS</x:v>
      </x:c>
      <x:c r="B1280" s="59" t="str">
        <x:v>publication_date</x:v>
      </x:c>
      <x:c r="C1280" s="59" t="str">
        <x:v>UNKNOWN — nie ustalono</x:v>
      </x:c>
    </x:row>
    <x:row r="1281" ht="30" customHeight="1">
      <x:c r="A1281" s="59" t="str">
        <x:v>KRS_API_DOCS</x:v>
      </x:c>
      <x:c r="B1281" s="59" t="str">
        <x:v>source_version</x:v>
      </x:c>
      <x:c r="C1281" s="59" t="str">
        <x:v>UNKNOWN — nie ustalono</x:v>
      </x:c>
    </x:row>
    <x:row r="1282" ht="30" customHeight="1">
      <x:c r="A1282" s="59" t="str">
        <x:v>KRS_API_DOCS</x:v>
      </x:c>
      <x:c r="B1282" s="59" t="str">
        <x:v>source_page</x:v>
      </x:c>
      <x:c r="C1282" s="59" t="str">
        <x:v>UNKNOWN — nie ustalono</x:v>
      </x:c>
    </x:row>
    <x:row r="1283" ht="30" customHeight="1">
      <x:c r="A1283" s="59" t="str">
        <x:v>KRS_API_DOCS</x:v>
      </x:c>
      <x:c r="B1283" s="59" t="str">
        <x:v>valid_from</x:v>
      </x:c>
      <x:c r="C1283" s="59" t="str">
        <x:v>UNKNOWN — nie ustalono</x:v>
      </x:c>
    </x:row>
    <x:row r="1284" ht="30" customHeight="1">
      <x:c r="A1284" s="59" t="str">
        <x:v>KRS_API_DOCS</x:v>
      </x:c>
      <x:c r="B1284" s="59" t="str">
        <x:v>valid_to</x:v>
      </x:c>
      <x:c r="C1284" s="59" t="str">
        <x:v>UNKNOWN — nie ustalono</x:v>
      </x:c>
    </x:row>
    <x:row r="1285" ht="30" customHeight="1">
      <x:c r="A1285" s="59" t="str">
        <x:v>KRS_API_DOCS</x:v>
      </x:c>
      <x:c r="B1285" s="59" t="str">
        <x:v>current_future_scope</x:v>
      </x:c>
      <x:c r="C1285" s="59" t="str">
        <x:v>SOURCE_DEPENDENT</x:v>
      </x:c>
    </x:row>
    <x:row r="1286" ht="30" customHeight="1">
      <x:c r="A1286" s="59" t="str">
        <x:v>KRS_API_DOCS</x:v>
      </x:c>
      <x:c r="B1286" s="59" t="str">
        <x:v>value_classification_default</x:v>
      </x:c>
      <x:c r="C1286" s="59" t="str">
        <x:v>REPORTED</x:v>
      </x:c>
    </x:row>
    <x:row r="1287" ht="38" customHeight="1">
      <x:c r="A1287" s="59" t="str">
        <x:v>KRS_API_DOCS</x:v>
      </x:c>
      <x:c r="B1287" s="59" t="str">
        <x:v>automation_notes</x:v>
      </x:c>
      <x:c r="C1287" s="59" t="str">
        <x:v>Jednorazowy przegląd; brak zgody na stały scraper wynikającej z samego dostępu. Sprawdzić warunki, robots.txt i limity przed wdrożeniem.</x:v>
      </x:c>
    </x:row>
    <x:row r="1288" ht="30" customHeight="1">
      <x:c r="A1288" s="59" t="str">
        <x:v>KRS_API_DOCS</x:v>
      </x:c>
      <x:c r="B1288" s="59" t="str">
        <x:v>probe_ids</x:v>
      </x:c>
      <x:c r="C1288" s="59" t="str">
        <x:v>[]</x:v>
      </x:c>
    </x:row>
    <x:row r="1289" ht="30" customHeight="1">
      <x:c r="A1289" s="59" t="str">
        <x:v>KRS_API_DOCS</x:v>
      </x:c>
      <x:c r="B1289" s="59" t="str">
        <x:v>related_urls</x:v>
      </x:c>
      <x:c r="C1289" s="59" t="str">
        <x:v>[]</x:v>
      </x:c>
    </x:row>
    <x:row r="1290" ht="30" customHeight="1">
      <x:c r="A1290" s="59" t="str">
        <x:v>KRS_API_DOCS</x:v>
      </x:c>
      <x:c r="B1290" s="59" t="str">
        <x:v>source_id</x:v>
      </x:c>
      <x:c r="C1290" s="59" t="str">
        <x:v>KRS_API_DOCS</x:v>
      </x:c>
    </x:row>
    <x:row r="1291" ht="30" customHeight="1">
      <x:c r="A1291" s="59" t="str">
        <x:v>KRS_API_DOCS</x:v>
      </x:c>
      <x:c r="B1291" s="59" t="str">
        <x:v>operator</x:v>
      </x:c>
      <x:c r="C1291" s="59" t="str">
        <x:v>UNKNOWN — nie ustalono</x:v>
      </x:c>
    </x:row>
    <x:row r="1292" ht="30" customHeight="1">
      <x:c r="A1292" s="59" t="str">
        <x:v>KRS_API_DOCS</x:v>
      </x:c>
      <x:c r="B1292" s="59" t="str">
        <x:v>source_name</x:v>
      </x:c>
      <x:c r="C1292" s="59" t="str">
        <x:v>Portal Rejestrów Sądowych — OpenAPI</x:v>
      </x:c>
    </x:row>
    <x:row r="1293" ht="30" customHeight="1">
      <x:c r="A1293" s="59" t="str">
        <x:v>KRS_API_DOCS</x:v>
      </x:c>
      <x:c r="B1293" s="59" t="str">
        <x:v>url</x:v>
      </x:c>
      <x:c r="C1293" s="59" t="str">
        <x:v>https://prs.ms.gov.pl/krs/openApi</x:v>
      </x:c>
    </x:row>
    <x:row r="1294" ht="30" customHeight="1">
      <x:c r="A1294" s="59" t="str">
        <x:v>KRS_API_DOCS</x:v>
      </x:c>
      <x:c r="B1294" s="59" t="str">
        <x:v>data_owner</x:v>
      </x:c>
      <x:c r="C1294" s="59" t="str">
        <x:v>Ministerstwo Sprawiedliwości</x:v>
      </x:c>
    </x:row>
    <x:row r="1295" ht="30" customHeight="1">
      <x:c r="A1295" s="59" t="str">
        <x:v>KRS_API_DOCS</x:v>
      </x:c>
      <x:c r="B1295" s="59" t="str">
        <x:v>data_category</x:v>
      </x:c>
      <x:c r="C1295" s="59" t="str">
        <x:v>company_identification</x:v>
      </x:c>
    </x:row>
    <x:row r="1296" ht="30" customHeight="1">
      <x:c r="A1296" s="59" t="str">
        <x:v>KRS_API_DOCS</x:v>
      </x:c>
      <x:c r="B1296" s="59" t="str">
        <x:v>data_format</x:v>
      </x:c>
      <x:c r="C1296" s="59" t="str">
        <x:v>[ "HTML", "API documentation" ]</x:v>
      </x:c>
    </x:row>
    <x:row r="1297" ht="30" customHeight="1">
      <x:c r="A1297" s="59" t="str">
        <x:v>KRS_API_DOCS</x:v>
      </x:c>
      <x:c r="B1297" s="59" t="str">
        <x:v>verification_status</x:v>
      </x:c>
      <x:c r="C1297" s="59" t="str">
        <x:v>DOCUMENTATION_REVIEWED</x:v>
      </x:c>
    </x:row>
    <x:row r="1298" ht="30" customHeight="1">
      <x:c r="A1298" s="59" t="str">
        <x:v>KRS_API_DOCS</x:v>
      </x:c>
      <x:c r="B1298" s="59" t="str">
        <x:v>reliability</x:v>
      </x:c>
      <x:c r="C1298" s="59" t="str">
        <x:v>C</x:v>
      </x:c>
    </x:row>
    <x:row r="1299" ht="30" customHeight="1">
      <x:c r="A1299" s="59" t="str">
        <x:v>KRS_API_DOCS</x:v>
      </x:c>
      <x:c r="B1299" s="59" t="str">
        <x:v>key_fields</x:v>
      </x:c>
      <x:c r="C1299" s="59" t="str">
        <x:v>[ "identyfikatory spółki — do sprawdzenia w schemacie" ]</x:v>
      </x:c>
    </x:row>
    <x:row r="1300" ht="30" customHeight="1">
      <x:c r="A1300" s="59" t="str">
        <x:v>KRS_API_DOCS</x:v>
      </x:c>
      <x:c r="B1300" s="59" t="str">
        <x:v>potential_application</x:v>
      </x:c>
      <x:c r="C1300" s="59" t="str">
        <x:v>Weryfikacja SPV po znalezieniu udokumentowanego związku z projektem.</x:v>
      </x:c>
    </x:row>
    <x:row r="1301" ht="38" customHeight="1">
      <x:c r="A1301" s="59" t="str">
        <x:v>KRS_API_DOCS</x:v>
      </x:c>
      <x:c r="B1301" s="59" t="str">
        <x:v>known_limitations</x:v>
      </x:c>
      <x:c r="C1301" s="59" t="str">
        <x:v>[ "Odczyt strony ograniczony przez aplikację JS; bez zapytań o podmioty.", "KRS nie potwierdza sam związku spółki z punktem przyłączenia." ]</x:v>
      </x:c>
    </x:row>
    <x:row r="1302" ht="30" customHeight="1">
      <x:c r="A1302" s="59" t="str">
        <x:v>KRS_API_DOCS</x:v>
      </x:c>
      <x:c r="B1302" s="59" t="str">
        <x:v>priority</x:v>
      </x:c>
      <x:c r="C1302" s="59" t="str">
        <x:v>P2</x:v>
      </x:c>
    </x:row>
    <x:row r="1303" ht="30" customHeight="1">
      <x:c r="A1303" s="59" t="str">
        <x:v>KRS_API_DOCS</x:v>
      </x:c>
      <x:c r="B1303" s="59" t="str">
        <x:v>evidence</x:v>
      </x:c>
      <x:c r="C1303" s="59" t="str">
        <x:v>[]</x:v>
      </x:c>
    </x:row>
    <x:row r="1304" ht="30" customHeight="1">
      <x:c r="A1304" s="59" t="str">
        <x:v>KRS_API_DOCS</x:v>
      </x:c>
      <x:c r="B1304" s="59" t="str">
        <x:v>retrieval_date</x:v>
      </x:c>
      <x:c r="C1304" s="59" t="str">
        <x:v>[]</x:v>
      </x:c>
    </x:row>
    <x:row r="1305" ht="30" customHeight="1">
      <x:c r="A1305" s="59" t="str">
        <x:v>GUGIK_EGIB</x:v>
      </x:c>
      <x:c r="B1305" s="59" t="str">
        <x:v>country</x:v>
      </x:c>
      <x:c r="C1305" s="59" t="str">
        <x:v>PL</x:v>
      </x:c>
    </x:row>
    <x:row r="1306" ht="30" customHeight="1">
      <x:c r="A1306" s="59" t="str">
        <x:v>GUGIK_EGIB</x:v>
      </x:c>
      <x:c r="B1306" s="59" t="str">
        <x:v>geographical_scope</x:v>
      </x:c>
      <x:c r="C1306" s="59" t="str">
        <x:v>Polska; pokrycie usług zależne od dostawców</x:v>
      </x:c>
    </x:row>
    <x:row r="1307" ht="30" customHeight="1">
      <x:c r="A1307" s="59" t="str">
        <x:v>GUGIK_EGIB</x:v>
      </x:c>
      <x:c r="B1307" s="59" t="str">
        <x:v>grid_voltage</x:v>
      </x:c>
      <x:c r="C1307" s="59" t="str">
        <x:v>[ "UNKNOWN_OR_NOT_APPLICABLE" ]</x:v>
      </x:c>
    </x:row>
    <x:row r="1308" ht="30" customHeight="1">
      <x:c r="A1308" s="59" t="str">
        <x:v>GUGIK_EGIB</x:v>
      </x:c>
      <x:c r="B1308" s="59" t="str">
        <x:v>api_available</x:v>
      </x:c>
      <x:c r="C1308" s="59" t="str">
        <x:v>YES</x:v>
      </x:c>
    </x:row>
    <x:row r="1309" ht="30" customHeight="1">
      <x:c r="A1309" s="59" t="str">
        <x:v>GUGIK_EGIB</x:v>
      </x:c>
      <x:c r="B1309" s="59" t="str">
        <x:v>gis_available</x:v>
      </x:c>
      <x:c r="C1309" s="59" t="str">
        <x:v>WFS_CAPABILITIES_VERIFIED</x:v>
      </x:c>
    </x:row>
    <x:row r="1310" ht="30" customHeight="1">
      <x:c r="A1310" s="59" t="str">
        <x:v>GUGIK_EGIB</x:v>
      </x:c>
      <x:c r="B1310" s="59" t="str">
        <x:v>update_frequency</x:v>
      </x:c>
      <x:c r="C1310" s="59" t="str">
        <x:v>UNKNOWN — nie ustalono gwarantowanego cyklu publikacji.</x:v>
      </x:c>
    </x:row>
    <x:row r="1311" ht="30" customHeight="1">
      <x:c r="A1311" s="59" t="str">
        <x:v>GUGIK_EGIB</x:v>
      </x:c>
      <x:c r="B1311" s="59" t="str">
        <x:v>historical_data</x:v>
      </x:c>
      <x:c r="C1311" s="59" t="str">
        <x:v>UNKNOWN — własne snapshoty od 10.09.2026, jeśli zapisano próbkę.</x:v>
      </x:c>
    </x:row>
    <x:row r="1312" ht="30" customHeight="1">
      <x:c r="A1312" s="59" t="str">
        <x:v>GUGIK_EGIB</x:v>
      </x:c>
      <x:c r="B1312" s="59" t="str">
        <x:v>authentication</x:v>
      </x:c>
      <x:c r="C1312" s="59" t="str">
        <x:v>Odczyt publicznej strony bez konta; nie dowodzi dostępu do wszystkich danych.</x:v>
      </x:c>
    </x:row>
    <x:row r="1313" ht="30" customHeight="1">
      <x:c r="A1313" s="59" t="str">
        <x:v>GUGIK_EGIB</x:v>
      </x:c>
      <x:c r="B1313" s="59" t="str">
        <x:v>license</x:v>
      </x:c>
      <x:c r="C1313" s="59" t="str">
        <x:v>UNKNOWN — nie potwierdzono otwartej licencji wybranego zbioru.</x:v>
      </x:c>
    </x:row>
    <x:row r="1314" ht="30" customHeight="1">
      <x:c r="A1314" s="59" t="str">
        <x:v>GUGIK_EGIB</x:v>
      </x:c>
      <x:c r="B1314" s="59" t="str">
        <x:v>license_url</x:v>
      </x:c>
      <x:c r="C1314" s="59" t="str">
        <x:v>UNKNOWN — nie ustalono</x:v>
      </x:c>
    </x:row>
    <x:row r="1315" ht="30" customHeight="1">
      <x:c r="A1315" s="59" t="str">
        <x:v>GUGIK_EGIB</x:v>
      </x:c>
      <x:c r="B1315" s="59" t="str">
        <x:v>commercial_use</x:v>
      </x:c>
      <x:c r="C1315" s="59" t="str">
        <x:v>UNKNOWN</x:v>
      </x:c>
    </x:row>
    <x:row r="1316" ht="30" customHeight="1">
      <x:c r="A1316" s="59" t="str">
        <x:v>GUGIK_EGIB</x:v>
      </x:c>
      <x:c r="B1316" s="59" t="str">
        <x:v>machine_readable</x:v>
      </x:c>
      <x:c r="C1316" s="59" t="str">
        <x:v>YES</x:v>
      </x:c>
    </x:row>
    <x:row r="1317" ht="30" customHeight="1">
      <x:c r="A1317" s="59" t="str">
        <x:v>GUGIK_EGIB</x:v>
      </x:c>
      <x:c r="B1317" s="59" t="str">
        <x:v>scraping_required</x:v>
      </x:c>
      <x:c r="C1317" s="59" t="str">
        <x:v>UNKNOWN — przed scraperem preferować oficjalny plik lub API.</x:v>
      </x:c>
    </x:row>
    <x:row r="1318" ht="30" customHeight="1">
      <x:c r="A1318" s="59" t="str">
        <x:v>GUGIK_EGIB</x:v>
      </x:c>
      <x:c r="B1318" s="59" t="str">
        <x:v>data_quality_score</x:v>
      </x:c>
      <x:c r="C1318" s="59" t="str">
        <x:v>UNKNOWN — nie ustalono</x:v>
      </x:c>
    </x:row>
    <x:row r="1319" ht="30" customHeight="1">
      <x:c r="A1319" s="59" t="str">
        <x:v>GUGIK_EGIB</x:v>
      </x:c>
      <x:c r="B1319" s="59" t="str">
        <x:v>quality_score_status</x:v>
      </x:c>
      <x:c r="C1319" s="59" t="str">
        <x:v>NOT_CALIBRATED — autorytet źródła nie jest procentem kompletności lub trafności.</x:v>
      </x:c>
    </x:row>
    <x:row r="1320" ht="30" customHeight="1">
      <x:c r="A1320" s="59" t="str">
        <x:v>GUGIK_EGIB</x:v>
      </x:c>
      <x:c r="B1320" s="59" t="str">
        <x:v>last_verified</x:v>
      </x:c>
      <x:c r="C1320" s="60" t="n">
        <x:v>46275</x:v>
      </x:c>
    </x:row>
    <x:row r="1321" ht="30" customHeight="1">
      <x:c r="A1321" s="59" t="str">
        <x:v>GUGIK_EGIB</x:v>
      </x:c>
      <x:c r="B1321" s="59" t="str">
        <x:v>last_successful_verification</x:v>
      </x:c>
      <x:c r="C1321" s="60" t="n">
        <x:v>46275</x:v>
      </x:c>
    </x:row>
    <x:row r="1322" ht="30" customHeight="1">
      <x:c r="A1322" s="59" t="str">
        <x:v>GUGIK_EGIB</x:v>
      </x:c>
      <x:c r="B1322" s="59" t="str">
        <x:v>source_date</x:v>
      </x:c>
      <x:c r="C1322" s="59" t="str">
        <x:v>UNKNOWN — nie ustalono</x:v>
      </x:c>
    </x:row>
    <x:row r="1323" ht="30" customHeight="1">
      <x:c r="A1323" s="59" t="str">
        <x:v>GUGIK_EGIB</x:v>
      </x:c>
      <x:c r="B1323" s="59" t="str">
        <x:v>publication_date</x:v>
      </x:c>
      <x:c r="C1323" s="59" t="str">
        <x:v>UNKNOWN — nie ustalono</x:v>
      </x:c>
    </x:row>
    <x:row r="1324" ht="30" customHeight="1">
      <x:c r="A1324" s="59" t="str">
        <x:v>GUGIK_EGIB</x:v>
      </x:c>
      <x:c r="B1324" s="59" t="str">
        <x:v>source_version</x:v>
      </x:c>
      <x:c r="C1324" s="59" t="str">
        <x:v>UNKNOWN — nie ustalono</x:v>
      </x:c>
    </x:row>
    <x:row r="1325" ht="30" customHeight="1">
      <x:c r="A1325" s="59" t="str">
        <x:v>GUGIK_EGIB</x:v>
      </x:c>
      <x:c r="B1325" s="59" t="str">
        <x:v>source_page</x:v>
      </x:c>
      <x:c r="C1325" s="59" t="str">
        <x:v>UNKNOWN — nie ustalono</x:v>
      </x:c>
    </x:row>
    <x:row r="1326" ht="30" customHeight="1">
      <x:c r="A1326" s="59" t="str">
        <x:v>GUGIK_EGIB</x:v>
      </x:c>
      <x:c r="B1326" s="59" t="str">
        <x:v>valid_from</x:v>
      </x:c>
      <x:c r="C1326" s="59" t="str">
        <x:v>UNKNOWN — nie ustalono</x:v>
      </x:c>
    </x:row>
    <x:row r="1327" ht="30" customHeight="1">
      <x:c r="A1327" s="59" t="str">
        <x:v>GUGIK_EGIB</x:v>
      </x:c>
      <x:c r="B1327" s="59" t="str">
        <x:v>valid_to</x:v>
      </x:c>
      <x:c r="C1327" s="59" t="str">
        <x:v>UNKNOWN — nie ustalono</x:v>
      </x:c>
    </x:row>
    <x:row r="1328" ht="30" customHeight="1">
      <x:c r="A1328" s="59" t="str">
        <x:v>GUGIK_EGIB</x:v>
      </x:c>
      <x:c r="B1328" s="59" t="str">
        <x:v>current_future_scope</x:v>
      </x:c>
      <x:c r="C1328" s="59" t="str">
        <x:v>SOURCE_DEPENDENT</x:v>
      </x:c>
    </x:row>
    <x:row r="1329" ht="30" customHeight="1">
      <x:c r="A1329" s="59" t="str">
        <x:v>GUGIK_EGIB</x:v>
      </x:c>
      <x:c r="B1329" s="59" t="str">
        <x:v>value_classification_default</x:v>
      </x:c>
      <x:c r="C1329" s="59" t="str">
        <x:v>REPORTED</x:v>
      </x:c>
    </x:row>
    <x:row r="1330" ht="38" customHeight="1">
      <x:c r="A1330" s="59" t="str">
        <x:v>GUGIK_EGIB</x:v>
      </x:c>
      <x:c r="B1330" s="59" t="str">
        <x:v>automation_notes</x:v>
      </x:c>
      <x:c r="C1330" s="59" t="str">
        <x:v>Jednorazowy przegląd; brak zgody na stały scraper wynikającej z samego dostępu. Sprawdzić warunki, robots.txt i limity przed wdrożeniem.</x:v>
      </x:c>
    </x:row>
    <x:row r="1331" ht="30" customHeight="1">
      <x:c r="A1331" s="59" t="str">
        <x:v>GUGIK_EGIB</x:v>
      </x:c>
      <x:c r="B1331" s="59" t="str">
        <x:v>probe_ids</x:v>
      </x:c>
      <x:c r="C1331" s="59" t="str">
        <x:v>[ "GUGIK_EGIB_CAPABILITIES" ]</x:v>
      </x:c>
    </x:row>
    <x:row r="1332" ht="30" customHeight="1">
      <x:c r="A1332" s="59" t="str">
        <x:v>GUGIK_EGIB</x:v>
      </x:c>
      <x:c r="B1332" s="59" t="str">
        <x:v>related_urls</x:v>
      </x:c>
      <x:c r="C1332" s="59" t="str">
        <x:v>[]</x:v>
      </x:c>
    </x:row>
    <x:row r="1333" ht="30" customHeight="1">
      <x:c r="A1333" s="59" t="str">
        <x:v>GUGIK_EGIB</x:v>
      </x:c>
      <x:c r="B1333" s="59" t="str">
        <x:v>source_id</x:v>
      </x:c>
      <x:c r="C1333" s="59" t="str">
        <x:v>GUGIK_EGIB</x:v>
      </x:c>
    </x:row>
    <x:row r="1334" ht="30" customHeight="1">
      <x:c r="A1334" s="59" t="str">
        <x:v>GUGIK_EGIB</x:v>
      </x:c>
      <x:c r="B1334" s="59" t="str">
        <x:v>operator</x:v>
      </x:c>
      <x:c r="C1334" s="59" t="str">
        <x:v>UNKNOWN — nie ustalono</x:v>
      </x:c>
    </x:row>
    <x:row r="1335" ht="30" customHeight="1">
      <x:c r="A1335" s="59" t="str">
        <x:v>GUGIK_EGIB</x:v>
      </x:c>
      <x:c r="B1335" s="59" t="str">
        <x:v>source_name</x:v>
      </x:c>
      <x:c r="C1335" s="59" t="str">
        <x:v>GUGiK — zbiorcza usługa WFS EGiB</x:v>
      </x:c>
    </x:row>
    <x:row r="1336" ht="30" customHeight="1">
      <x:c r="A1336" s="59" t="str">
        <x:v>GUGIK_EGIB</x:v>
      </x:c>
      <x:c r="B1336" s="59" t="str">
        <x:v>url</x:v>
      </x:c>
      <x:c r="C1336" s="59" t="str">
        <x:v>https://mapy.geoportal.gov.pl/wss/service/PZGIK/EGIB/WFS/UslugaZbiorcza?SERVICE=WFS&amp;REQUEST=GetCapabilities</x:v>
      </x:c>
    </x:row>
    <x:row r="1337" ht="30" customHeight="1">
      <x:c r="A1337" s="59" t="str">
        <x:v>GUGIK_EGIB</x:v>
      </x:c>
      <x:c r="B1337" s="59" t="str">
        <x:v>data_owner</x:v>
      </x:c>
      <x:c r="C1337" s="59" t="str">
        <x:v>GUGiK / właściwe organy EGiB</x:v>
      </x:c>
    </x:row>
    <x:row r="1338" ht="30" customHeight="1">
      <x:c r="A1338" s="59" t="str">
        <x:v>GUGIK_EGIB</x:v>
      </x:c>
      <x:c r="B1338" s="59" t="str">
        <x:v>data_category</x:v>
      </x:c>
      <x:c r="C1338" s="59" t="str">
        <x:v>cadastral_geometry</x:v>
      </x:c>
    </x:row>
    <x:row r="1339" ht="30" customHeight="1">
      <x:c r="A1339" s="59" t="str">
        <x:v>GUGIK_EGIB</x:v>
      </x:c>
      <x:c r="B1339" s="59" t="str">
        <x:v>data_format</x:v>
      </x:c>
      <x:c r="C1339" s="59" t="str">
        <x:v>[ "WFS", "XML" ]</x:v>
      </x:c>
    </x:row>
    <x:row r="1340" ht="30" customHeight="1">
      <x:c r="A1340" s="59" t="str">
        <x:v>GUGIK_EGIB</x:v>
      </x:c>
      <x:c r="B1340" s="59" t="str">
        <x:v>verification_status</x:v>
      </x:c>
      <x:c r="C1340" s="59" t="str">
        <x:v>SAMPLE_VERIFIED</x:v>
      </x:c>
    </x:row>
    <x:row r="1341" ht="30" customHeight="1">
      <x:c r="A1341" s="59" t="str">
        <x:v>GUGIK_EGIB</x:v>
      </x:c>
      <x:c r="B1341" s="59" t="str">
        <x:v>reliability</x:v>
      </x:c>
      <x:c r="C1341" s="59" t="str">
        <x:v>C</x:v>
      </x:c>
    </x:row>
    <x:row r="1342" ht="30" customHeight="1">
      <x:c r="A1342" s="59" t="str">
        <x:v>GUGIK_EGIB</x:v>
      </x:c>
      <x:c r="B1342" s="59" t="str">
        <x:v>key_fields</x:v>
      </x:c>
      <x:c r="C1342" s="59" t="str">
        <x:v>[ "typy obiektów", "CRS", "operacje usługi" ]</x:v>
      </x:c>
    </x:row>
    <x:row r="1343" ht="30" customHeight="1">
      <x:c r="A1343" s="59" t="str">
        <x:v>GUGIK_EGIB</x:v>
      </x:c>
      <x:c r="B1343" s="59" t="str">
        <x:v>potential_application</x:v>
      </x:c>
      <x:c r="C1343" s="59" t="str">
        <x:v>Działki i budynki jako warstwa przestrzenna.</x:v>
      </x:c>
    </x:row>
    <x:row r="1344" ht="38" customHeight="1">
      <x:c r="A1344" s="59" t="str">
        <x:v>GUGIK_EGIB</x:v>
      </x:c>
      <x:c r="B1344" s="59" t="str">
        <x:v>known_limitations</x:v>
      </x:c>
      <x:c r="C1344" s="59" t="str">
        <x:v>[ "Sprawdzono GetCapabilities, nie pobranie i kompletność wszystkich obiektów.", "Nie daje prawa własności ani pełnego zakresu ewidencji." ]</x:v>
      </x:c>
    </x:row>
    <x:row r="1345" ht="30" customHeight="1">
      <x:c r="A1345" s="59" t="str">
        <x:v>GUGIK_EGIB</x:v>
      </x:c>
      <x:c r="B1345" s="59" t="str">
        <x:v>priority</x:v>
      </x:c>
      <x:c r="C1345" s="59" t="str">
        <x:v>P1</x:v>
      </x:c>
    </x:row>
    <x:row r="1346" ht="80" customHeight="1">
      <x:c r="A1346" s="59" t="str">
        <x:v>GUGIK_EGIB</x:v>
      </x:c>
      <x:c r="B1346" s="59" t="str">
        <x:v>evidence</x:v>
      </x:c>
      <x:c r="C1346" s="59" t="str">
        <x:v>[ { "source_id": "GUGIK_EGIB_CAPABILITIES", "url": "https://mapy.geoportal.gov.pl/wss/service/PZGIK/EGIB/WFS/UslugaZbiorcza?SERVICE=WFS&amp;REQUEST=GetCapabilities", "retrieval_date": "2026-09-10T11:18:13.0680137Z", "http_status": 200, "content_type": "text/xml; charset=UTF-8", "bytes": 17111, "sha256": "6609c18f6e3a268e383a9180037bd8bd8bfcf6ae190cae3be6f87e57a6c3b08c", "local_path": "data/raw/research/2026-09-10/gugik_egib_capabilities.xml", "error": null, "manifest": "data/catalog/probe_results_20260910T111813793Z.json" } ]</x:v>
      </x:c>
    </x:row>
    <x:row r="1347" ht="30" customHeight="1">
      <x:c r="A1347" s="59" t="str">
        <x:v>GUGIK_EGIB</x:v>
      </x:c>
      <x:c r="B1347" s="59" t="str">
        <x:v>retrieval_date</x:v>
      </x:c>
      <x:c r="C1347" s="59" t="str">
        <x:v>[ "2026-09-10T11:18:13.0680137Z" ]</x:v>
      </x:c>
    </x:row>
    <x:row r="1348" ht="30" customHeight="1">
      <x:c r="A1348" s="59" t="str">
        <x:v>GUGIK_BDOT</x:v>
      </x:c>
      <x:c r="B1348" s="59" t="str">
        <x:v>country</x:v>
      </x:c>
      <x:c r="C1348" s="59" t="str">
        <x:v>PL</x:v>
      </x:c>
    </x:row>
    <x:row r="1349" ht="30" customHeight="1">
      <x:c r="A1349" s="59" t="str">
        <x:v>GUGIK_BDOT</x:v>
      </x:c>
      <x:c r="B1349" s="59" t="str">
        <x:v>geographical_scope</x:v>
      </x:c>
      <x:c r="C1349" s="59" t="str">
        <x:v>Zakres publikacji danego operatora/instytucji; nie założono pełnego pokrycia kraju.</x:v>
      </x:c>
    </x:row>
    <x:row r="1350" ht="30" customHeight="1">
      <x:c r="A1350" s="59" t="str">
        <x:v>GUGIK_BDOT</x:v>
      </x:c>
      <x:c r="B1350" s="59" t="str">
        <x:v>grid_voltage</x:v>
      </x:c>
      <x:c r="C1350" s="59" t="str">
        <x:v>[ "UNKNOWN_OR_NOT_APPLICABLE" ]</x:v>
      </x:c>
    </x:row>
    <x:row r="1351" ht="30" customHeight="1">
      <x:c r="A1351" s="59" t="str">
        <x:v>GUGIK_BDOT</x:v>
      </x:c>
      <x:c r="B1351" s="59" t="str">
        <x:v>api_available</x:v>
      </x:c>
      <x:c r="C1351" s="59" t="str">
        <x:v>UNKNOWN</x:v>
      </x:c>
    </x:row>
    <x:row r="1352" ht="30" customHeight="1">
      <x:c r="A1352" s="59" t="str">
        <x:v>GUGIK_BDOT</x:v>
      </x:c>
      <x:c r="B1352" s="59" t="str">
        <x:v>gis_available</x:v>
      </x:c>
      <x:c r="C1352" s="59" t="str">
        <x:v>DOCUMENTED_NOT_TESTED</x:v>
      </x:c>
    </x:row>
    <x:row r="1353" ht="30" customHeight="1">
      <x:c r="A1353" s="59" t="str">
        <x:v>GUGIK_BDOT</x:v>
      </x:c>
      <x:c r="B1353" s="59" t="str">
        <x:v>update_frequency</x:v>
      </x:c>
      <x:c r="C1353" s="59" t="str">
        <x:v>UNKNOWN — nie ustalono gwarantowanego cyklu publikacji.</x:v>
      </x:c>
    </x:row>
    <x:row r="1354" ht="30" customHeight="1">
      <x:c r="A1354" s="59" t="str">
        <x:v>GUGIK_BDOT</x:v>
      </x:c>
      <x:c r="B1354" s="59" t="str">
        <x:v>historical_data</x:v>
      </x:c>
      <x:c r="C1354" s="59" t="str">
        <x:v>UNKNOWN — własne snapshoty od 10.09.2026, jeśli zapisano próbkę.</x:v>
      </x:c>
    </x:row>
    <x:row r="1355" ht="30" customHeight="1">
      <x:c r="A1355" s="59" t="str">
        <x:v>GUGIK_BDOT</x:v>
      </x:c>
      <x:c r="B1355" s="59" t="str">
        <x:v>authentication</x:v>
      </x:c>
      <x:c r="C1355" s="59" t="str">
        <x:v>Odczyt publicznej strony bez konta; nie dowodzi dostępu do wszystkich danych.</x:v>
      </x:c>
    </x:row>
    <x:row r="1356" ht="30" customHeight="1">
      <x:c r="A1356" s="59" t="str">
        <x:v>GUGIK_BDOT</x:v>
      </x:c>
      <x:c r="B1356" s="59" t="str">
        <x:v>license</x:v>
      </x:c>
      <x:c r="C1356" s="59" t="str">
        <x:v>UNKNOWN — nie potwierdzono otwartej licencji wybranego zbioru.</x:v>
      </x:c>
    </x:row>
    <x:row r="1357" ht="30" customHeight="1">
      <x:c r="A1357" s="59" t="str">
        <x:v>GUGIK_BDOT</x:v>
      </x:c>
      <x:c r="B1357" s="59" t="str">
        <x:v>license_url</x:v>
      </x:c>
      <x:c r="C1357" s="59" t="str">
        <x:v>UNKNOWN — nie ustalono</x:v>
      </x:c>
    </x:row>
    <x:row r="1358" ht="30" customHeight="1">
      <x:c r="A1358" s="59" t="str">
        <x:v>GUGIK_BDOT</x:v>
      </x:c>
      <x:c r="B1358" s="59" t="str">
        <x:v>commercial_use</x:v>
      </x:c>
      <x:c r="C1358" s="59" t="str">
        <x:v>UNKNOWN</x:v>
      </x:c>
    </x:row>
    <x:row r="1359" ht="30" customHeight="1">
      <x:c r="A1359" s="59" t="str">
        <x:v>GUGIK_BDOT</x:v>
      </x:c>
      <x:c r="B1359" s="59" t="str">
        <x:v>machine_readable</x:v>
      </x:c>
      <x:c r="C1359" s="59" t="str">
        <x:v>YES</x:v>
      </x:c>
    </x:row>
    <x:row r="1360" ht="30" customHeight="1">
      <x:c r="A1360" s="59" t="str">
        <x:v>GUGIK_BDOT</x:v>
      </x:c>
      <x:c r="B1360" s="59" t="str">
        <x:v>scraping_required</x:v>
      </x:c>
      <x:c r="C1360" s="59" t="str">
        <x:v>UNKNOWN — przed scraperem preferować oficjalny plik lub API.</x:v>
      </x:c>
    </x:row>
    <x:row r="1361" ht="30" customHeight="1">
      <x:c r="A1361" s="59" t="str">
        <x:v>GUGIK_BDOT</x:v>
      </x:c>
      <x:c r="B1361" s="59" t="str">
        <x:v>data_quality_score</x:v>
      </x:c>
      <x:c r="C1361" s="59" t="str">
        <x:v>UNKNOWN — nie ustalono</x:v>
      </x:c>
    </x:row>
    <x:row r="1362" ht="30" customHeight="1">
      <x:c r="A1362" s="59" t="str">
        <x:v>GUGIK_BDOT</x:v>
      </x:c>
      <x:c r="B1362" s="59" t="str">
        <x:v>quality_score_status</x:v>
      </x:c>
      <x:c r="C1362" s="59" t="str">
        <x:v>NOT_CALIBRATED — autorytet źródła nie jest procentem kompletności lub trafności.</x:v>
      </x:c>
    </x:row>
    <x:row r="1363" ht="30" customHeight="1">
      <x:c r="A1363" s="59" t="str">
        <x:v>GUGIK_BDOT</x:v>
      </x:c>
      <x:c r="B1363" s="59" t="str">
        <x:v>last_verified</x:v>
      </x:c>
      <x:c r="C1363" s="60" t="n">
        <x:v>46275</x:v>
      </x:c>
    </x:row>
    <x:row r="1364" ht="30" customHeight="1">
      <x:c r="A1364" s="59" t="str">
        <x:v>GUGIK_BDOT</x:v>
      </x:c>
      <x:c r="B1364" s="59" t="str">
        <x:v>last_successful_verification</x:v>
      </x:c>
      <x:c r="C1364" s="60" t="n">
        <x:v>46275</x:v>
      </x:c>
    </x:row>
    <x:row r="1365" ht="30" customHeight="1">
      <x:c r="A1365" s="59" t="str">
        <x:v>GUGIK_BDOT</x:v>
      </x:c>
      <x:c r="B1365" s="59" t="str">
        <x:v>source_date</x:v>
      </x:c>
      <x:c r="C1365" s="59" t="str">
        <x:v>UNKNOWN — nie ustalono</x:v>
      </x:c>
    </x:row>
    <x:row r="1366" ht="30" customHeight="1">
      <x:c r="A1366" s="59" t="str">
        <x:v>GUGIK_BDOT</x:v>
      </x:c>
      <x:c r="B1366" s="59" t="str">
        <x:v>publication_date</x:v>
      </x:c>
      <x:c r="C1366" s="59" t="str">
        <x:v>UNKNOWN — nie ustalono</x:v>
      </x:c>
    </x:row>
    <x:row r="1367" ht="30" customHeight="1">
      <x:c r="A1367" s="59" t="str">
        <x:v>GUGIK_BDOT</x:v>
      </x:c>
      <x:c r="B1367" s="59" t="str">
        <x:v>source_version</x:v>
      </x:c>
      <x:c r="C1367" s="59" t="str">
        <x:v>UNKNOWN — nie ustalono</x:v>
      </x:c>
    </x:row>
    <x:row r="1368" ht="30" customHeight="1">
      <x:c r="A1368" s="59" t="str">
        <x:v>GUGIK_BDOT</x:v>
      </x:c>
      <x:c r="B1368" s="59" t="str">
        <x:v>source_page</x:v>
      </x:c>
      <x:c r="C1368" s="59" t="str">
        <x:v>UNKNOWN — nie ustalono</x:v>
      </x:c>
    </x:row>
    <x:row r="1369" ht="30" customHeight="1">
      <x:c r="A1369" s="59" t="str">
        <x:v>GUGIK_BDOT</x:v>
      </x:c>
      <x:c r="B1369" s="59" t="str">
        <x:v>valid_from</x:v>
      </x:c>
      <x:c r="C1369" s="59" t="str">
        <x:v>UNKNOWN — nie ustalono</x:v>
      </x:c>
    </x:row>
    <x:row r="1370" ht="30" customHeight="1">
      <x:c r="A1370" s="59" t="str">
        <x:v>GUGIK_BDOT</x:v>
      </x:c>
      <x:c r="B1370" s="59" t="str">
        <x:v>valid_to</x:v>
      </x:c>
      <x:c r="C1370" s="59" t="str">
        <x:v>UNKNOWN — nie ustalono</x:v>
      </x:c>
    </x:row>
    <x:row r="1371" ht="30" customHeight="1">
      <x:c r="A1371" s="59" t="str">
        <x:v>GUGIK_BDOT</x:v>
      </x:c>
      <x:c r="B1371" s="59" t="str">
        <x:v>current_future_scope</x:v>
      </x:c>
      <x:c r="C1371" s="59" t="str">
        <x:v>SOURCE_DEPENDENT</x:v>
      </x:c>
    </x:row>
    <x:row r="1372" ht="30" customHeight="1">
      <x:c r="A1372" s="59" t="str">
        <x:v>GUGIK_BDOT</x:v>
      </x:c>
      <x:c r="B1372" s="59" t="str">
        <x:v>value_classification_default</x:v>
      </x:c>
      <x:c r="C1372" s="59" t="str">
        <x:v>REPORTED</x:v>
      </x:c>
    </x:row>
    <x:row r="1373" ht="38" customHeight="1">
      <x:c r="A1373" s="59" t="str">
        <x:v>GUGIK_BDOT</x:v>
      </x:c>
      <x:c r="B1373" s="59" t="str">
        <x:v>automation_notes</x:v>
      </x:c>
      <x:c r="C1373" s="59" t="str">
        <x:v>Jednorazowy przegląd; brak zgody na stały scraper wynikającej z samego dostępu. Sprawdzić warunki, robots.txt i limity przed wdrożeniem.</x:v>
      </x:c>
    </x:row>
    <x:row r="1374" ht="30" customHeight="1">
      <x:c r="A1374" s="59" t="str">
        <x:v>GUGIK_BDOT</x:v>
      </x:c>
      <x:c r="B1374" s="59" t="str">
        <x:v>probe_ids</x:v>
      </x:c>
      <x:c r="C1374" s="59" t="str">
        <x:v>[]</x:v>
      </x:c>
    </x:row>
    <x:row r="1375" ht="30" customHeight="1">
      <x:c r="A1375" s="59" t="str">
        <x:v>GUGIK_BDOT</x:v>
      </x:c>
      <x:c r="B1375" s="59" t="str">
        <x:v>related_urls</x:v>
      </x:c>
      <x:c r="C1375" s="59" t="str">
        <x:v>[ "https://mapy.geoportal.gov.pl/wss/service/PZGIK/BDOT/WMS/PobieranieBDOT10k" ]</x:v>
      </x:c>
    </x:row>
    <x:row r="1376" ht="30" customHeight="1">
      <x:c r="A1376" s="59" t="str">
        <x:v>GUGIK_BDOT</x:v>
      </x:c>
      <x:c r="B1376" s="59" t="str">
        <x:v>source_id</x:v>
      </x:c>
      <x:c r="C1376" s="59" t="str">
        <x:v>GUGIK_BDOT</x:v>
      </x:c>
    </x:row>
    <x:row r="1377" ht="30" customHeight="1">
      <x:c r="A1377" s="59" t="str">
        <x:v>GUGIK_BDOT</x:v>
      </x:c>
      <x:c r="B1377" s="59" t="str">
        <x:v>operator</x:v>
      </x:c>
      <x:c r="C1377" s="59" t="str">
        <x:v>UNKNOWN — nie ustalono</x:v>
      </x:c>
    </x:row>
    <x:row r="1378" ht="30" customHeight="1">
      <x:c r="A1378" s="59" t="str">
        <x:v>GUGIK_BDOT</x:v>
      </x:c>
      <x:c r="B1378" s="59" t="str">
        <x:v>source_name</x:v>
      </x:c>
      <x:c r="C1378" s="59" t="str">
        <x:v>BDOT10k — dane topograficzne</x:v>
      </x:c>
    </x:row>
    <x:row r="1379" ht="30" customHeight="1">
      <x:c r="A1379" s="59" t="str">
        <x:v>GUGIK_BDOT</x:v>
      </x:c>
      <x:c r="B1379" s="59" t="str">
        <x:v>url</x:v>
      </x:c>
      <x:c r="C1379" s="59" t="str">
        <x:v>https://www.geoportal.gov.pl/pl/dane/baza-danych-obiektow-topograficznych-bdot10k/</x:v>
      </x:c>
    </x:row>
    <x:row r="1380" ht="30" customHeight="1">
      <x:c r="A1380" s="59" t="str">
        <x:v>GUGIK_BDOT</x:v>
      </x:c>
      <x:c r="B1380" s="59" t="str">
        <x:v>data_owner</x:v>
      </x:c>
      <x:c r="C1380" s="59" t="str">
        <x:v>GUGiK / PZGiK</x:v>
      </x:c>
    </x:row>
    <x:row r="1381" ht="30" customHeight="1">
      <x:c r="A1381" s="59" t="str">
        <x:v>GUGIK_BDOT</x:v>
      </x:c>
      <x:c r="B1381" s="59" t="str">
        <x:v>data_category</x:v>
      </x:c>
      <x:c r="C1381" s="59" t="str">
        <x:v>topography_transport_infrastructure</x:v>
      </x:c>
    </x:row>
    <x:row r="1382" ht="30" customHeight="1">
      <x:c r="A1382" s="59" t="str">
        <x:v>GUGIK_BDOT</x:v>
      </x:c>
      <x:c r="B1382" s="59" t="str">
        <x:v>data_format</x:v>
      </x:c>
      <x:c r="C1382" s="59" t="str">
        <x:v>[ "GML", "WMS", "downloads" ]</x:v>
      </x:c>
    </x:row>
    <x:row r="1383" ht="30" customHeight="1">
      <x:c r="A1383" s="59" t="str">
        <x:v>GUGIK_BDOT</x:v>
      </x:c>
      <x:c r="B1383" s="59" t="str">
        <x:v>verification_status</x:v>
      </x:c>
      <x:c r="C1383" s="59" t="str">
        <x:v>DOCUMENTATION_REVIEWED</x:v>
      </x:c>
    </x:row>
    <x:row r="1384" ht="30" customHeight="1">
      <x:c r="A1384" s="59" t="str">
        <x:v>GUGIK_BDOT</x:v>
      </x:c>
      <x:c r="B1384" s="59" t="str">
        <x:v>reliability</x:v>
      </x:c>
      <x:c r="C1384" s="59" t="str">
        <x:v>C</x:v>
      </x:c>
    </x:row>
    <x:row r="1385" ht="30" customHeight="1">
      <x:c r="A1385" s="59" t="str">
        <x:v>GUGIK_BDOT</x:v>
      </x:c>
      <x:c r="B1385" s="59" t="str">
        <x:v>key_fields</x:v>
      </x:c>
      <x:c r="C1385" s="59" t="str">
        <x:v>[ "klasa obiektu", "geometria", "atrybuty topograficzne" ]</x:v>
      </x:c>
    </x:row>
    <x:row r="1386" ht="30" customHeight="1">
      <x:c r="A1386" s="59" t="str">
        <x:v>GUGIK_BDOT</x:v>
      </x:c>
      <x:c r="B1386" s="59" t="str">
        <x:v>potential_application</x:v>
      </x:c>
      <x:c r="C1386" s="59" t="str">
        <x:v>Drogi, kolej, obiekty i bariery trasowe.</x:v>
      </x:c>
    </x:row>
    <x:row r="1387" ht="30" customHeight="1">
      <x:c r="A1387" s="59" t="str">
        <x:v>GUGIK_BDOT</x:v>
      </x:c>
      <x:c r="B1387" s="59" t="str">
        <x:v>known_limitations</x:v>
      </x:c>
      <x:c r="C1387" s="59" t="str">
        <x:v>[ "Nie jest modelem elektrycznym ani świadectwem legalnego dostępu do gruntu." ]</x:v>
      </x:c>
    </x:row>
    <x:row r="1388" ht="30" customHeight="1">
      <x:c r="A1388" s="59" t="str">
        <x:v>GUGIK_BDOT</x:v>
      </x:c>
      <x:c r="B1388" s="59" t="str">
        <x:v>priority</x:v>
      </x:c>
      <x:c r="C1388" s="59" t="str">
        <x:v>P1</x:v>
      </x:c>
    </x:row>
    <x:row r="1389" ht="30" customHeight="1">
      <x:c r="A1389" s="59" t="str">
        <x:v>GUGIK_BDOT</x:v>
      </x:c>
      <x:c r="B1389" s="59" t="str">
        <x:v>evidence</x:v>
      </x:c>
      <x:c r="C1389" s="59" t="str">
        <x:v>[]</x:v>
      </x:c>
    </x:row>
    <x:row r="1390" ht="30" customHeight="1">
      <x:c r="A1390" s="59" t="str">
        <x:v>GUGIK_BDOT</x:v>
      </x:c>
      <x:c r="B1390" s="59" t="str">
        <x:v>retrieval_date</x:v>
      </x:c>
      <x:c r="C1390" s="59" t="str">
        <x:v>[]</x:v>
      </x:c>
    </x:row>
    <x:row r="1391" ht="30" customHeight="1">
      <x:c r="A1391" s="59" t="str">
        <x:v>GUGIK_BDOT_PARQUET</x:v>
      </x:c>
      <x:c r="B1391" s="59" t="str">
        <x:v>country</x:v>
      </x:c>
      <x:c r="C1391" s="59" t="str">
        <x:v>PL</x:v>
      </x:c>
    </x:row>
    <x:row r="1392" ht="30" customHeight="1">
      <x:c r="A1392" s="59" t="str">
        <x:v>GUGIK_BDOT_PARQUET</x:v>
      </x:c>
      <x:c r="B1392" s="59" t="str">
        <x:v>geographical_scope</x:v>
      </x:c>
      <x:c r="C1392" s="59" t="str">
        <x:v>Zakres publikacji danego operatora/instytucji; nie założono pełnego pokrycia kraju.</x:v>
      </x:c>
    </x:row>
    <x:row r="1393" ht="30" customHeight="1">
      <x:c r="A1393" s="59" t="str">
        <x:v>GUGIK_BDOT_PARQUET</x:v>
      </x:c>
      <x:c r="B1393" s="59" t="str">
        <x:v>grid_voltage</x:v>
      </x:c>
      <x:c r="C1393" s="59" t="str">
        <x:v>[ "UNKNOWN_OR_NOT_APPLICABLE" ]</x:v>
      </x:c>
    </x:row>
    <x:row r="1394" ht="30" customHeight="1">
      <x:c r="A1394" s="59" t="str">
        <x:v>GUGIK_BDOT_PARQUET</x:v>
      </x:c>
      <x:c r="B1394" s="59" t="str">
        <x:v>api_available</x:v>
      </x:c>
      <x:c r="C1394" s="59" t="str">
        <x:v>UNKNOWN</x:v>
      </x:c>
    </x:row>
    <x:row r="1395" ht="30" customHeight="1">
      <x:c r="A1395" s="59" t="str">
        <x:v>GUGIK_BDOT_PARQUET</x:v>
      </x:c>
      <x:c r="B1395" s="59" t="str">
        <x:v>gis_available</x:v>
      </x:c>
      <x:c r="C1395" s="59" t="str">
        <x:v>UNKNOWN</x:v>
      </x:c>
    </x:row>
    <x:row r="1396" ht="30" customHeight="1">
      <x:c r="A1396" s="59" t="str">
        <x:v>GUGIK_BDOT_PARQUET</x:v>
      </x:c>
      <x:c r="B1396" s="59" t="str">
        <x:v>update_frequency</x:v>
      </x:c>
      <x:c r="C1396" s="59" t="str">
        <x:v>UNKNOWN — nie ustalono gwarantowanego cyklu publikacji.</x:v>
      </x:c>
    </x:row>
    <x:row r="1397" ht="30" customHeight="1">
      <x:c r="A1397" s="59" t="str">
        <x:v>GUGIK_BDOT_PARQUET</x:v>
      </x:c>
      <x:c r="B1397" s="59" t="str">
        <x:v>historical_data</x:v>
      </x:c>
      <x:c r="C1397" s="59" t="str">
        <x:v>UNKNOWN — własne snapshoty od 10.09.2026, jeśli zapisano próbkę.</x:v>
      </x:c>
    </x:row>
    <x:row r="1398" ht="30" customHeight="1">
      <x:c r="A1398" s="59" t="str">
        <x:v>GUGIK_BDOT_PARQUET</x:v>
      </x:c>
      <x:c r="B1398" s="59" t="str">
        <x:v>authentication</x:v>
      </x:c>
      <x:c r="C1398" s="59" t="str">
        <x:v>Odczyt publicznej strony bez konta; nie dowodzi dostępu do wszystkich danych.</x:v>
      </x:c>
    </x:row>
    <x:row r="1399" ht="30" customHeight="1">
      <x:c r="A1399" s="59" t="str">
        <x:v>GUGIK_BDOT_PARQUET</x:v>
      </x:c>
      <x:c r="B1399" s="59" t="str">
        <x:v>license</x:v>
      </x:c>
      <x:c r="C1399" s="59" t="str">
        <x:v>UNKNOWN — nie potwierdzono otwartej licencji wybranego zbioru.</x:v>
      </x:c>
    </x:row>
    <x:row r="1400" ht="30" customHeight="1">
      <x:c r="A1400" s="59" t="str">
        <x:v>GUGIK_BDOT_PARQUET</x:v>
      </x:c>
      <x:c r="B1400" s="59" t="str">
        <x:v>license_url</x:v>
      </x:c>
      <x:c r="C1400" s="59" t="str">
        <x:v>UNKNOWN — nie ustalono</x:v>
      </x:c>
    </x:row>
    <x:row r="1401" ht="30" customHeight="1">
      <x:c r="A1401" s="59" t="str">
        <x:v>GUGIK_BDOT_PARQUET</x:v>
      </x:c>
      <x:c r="B1401" s="59" t="str">
        <x:v>commercial_use</x:v>
      </x:c>
      <x:c r="C1401" s="59" t="str">
        <x:v>UNKNOWN</x:v>
      </x:c>
    </x:row>
    <x:row r="1402" ht="30" customHeight="1">
      <x:c r="A1402" s="59" t="str">
        <x:v>GUGIK_BDOT_PARQUET</x:v>
      </x:c>
      <x:c r="B1402" s="59" t="str">
        <x:v>machine_readable</x:v>
      </x:c>
      <x:c r="C1402" s="59" t="str">
        <x:v>YES</x:v>
      </x:c>
    </x:row>
    <x:row r="1403" ht="30" customHeight="1">
      <x:c r="A1403" s="59" t="str">
        <x:v>GUGIK_BDOT_PARQUET</x:v>
      </x:c>
      <x:c r="B1403" s="59" t="str">
        <x:v>scraping_required</x:v>
      </x:c>
      <x:c r="C1403" s="59" t="str">
        <x:v>UNKNOWN — przed scraperem preferować oficjalny plik lub API.</x:v>
      </x:c>
    </x:row>
    <x:row r="1404" ht="30" customHeight="1">
      <x:c r="A1404" s="59" t="str">
        <x:v>GUGIK_BDOT_PARQUET</x:v>
      </x:c>
      <x:c r="B1404" s="59" t="str">
        <x:v>data_quality_score</x:v>
      </x:c>
      <x:c r="C1404" s="59" t="str">
        <x:v>UNKNOWN — nie ustalono</x:v>
      </x:c>
    </x:row>
    <x:row r="1405" ht="30" customHeight="1">
      <x:c r="A1405" s="59" t="str">
        <x:v>GUGIK_BDOT_PARQUET</x:v>
      </x:c>
      <x:c r="B1405" s="59" t="str">
        <x:v>quality_score_status</x:v>
      </x:c>
      <x:c r="C1405" s="59" t="str">
        <x:v>NOT_CALIBRATED — autorytet źródła nie jest procentem kompletności lub trafności.</x:v>
      </x:c>
    </x:row>
    <x:row r="1406" ht="30" customHeight="1">
      <x:c r="A1406" s="59" t="str">
        <x:v>GUGIK_BDOT_PARQUET</x:v>
      </x:c>
      <x:c r="B1406" s="59" t="str">
        <x:v>last_verified</x:v>
      </x:c>
      <x:c r="C1406" s="60" t="n">
        <x:v>46275</x:v>
      </x:c>
    </x:row>
    <x:row r="1407" ht="30" customHeight="1">
      <x:c r="A1407" s="59" t="str">
        <x:v>GUGIK_BDOT_PARQUET</x:v>
      </x:c>
      <x:c r="B1407" s="59" t="str">
        <x:v>last_successful_verification</x:v>
      </x:c>
      <x:c r="C1407" s="60" t="n">
        <x:v>46275</x:v>
      </x:c>
    </x:row>
    <x:row r="1408" ht="30" customHeight="1">
      <x:c r="A1408" s="59" t="str">
        <x:v>GUGIK_BDOT_PARQUET</x:v>
      </x:c>
      <x:c r="B1408" s="59" t="str">
        <x:v>source_date</x:v>
      </x:c>
      <x:c r="C1408" s="59" t="str">
        <x:v>UNKNOWN — nie ustalono</x:v>
      </x:c>
    </x:row>
    <x:row r="1409" ht="30" customHeight="1">
      <x:c r="A1409" s="59" t="str">
        <x:v>GUGIK_BDOT_PARQUET</x:v>
      </x:c>
      <x:c r="B1409" s="59" t="str">
        <x:v>publication_date</x:v>
      </x:c>
      <x:c r="C1409" s="60" t="n">
        <x:v>46128</x:v>
      </x:c>
    </x:row>
    <x:row r="1410" ht="30" customHeight="1">
      <x:c r="A1410" s="59" t="str">
        <x:v>GUGIK_BDOT_PARQUET</x:v>
      </x:c>
      <x:c r="B1410" s="59" t="str">
        <x:v>source_version</x:v>
      </x:c>
      <x:c r="C1410" s="59" t="str">
        <x:v>UNKNOWN — nie ustalono</x:v>
      </x:c>
    </x:row>
    <x:row r="1411" ht="30" customHeight="1">
      <x:c r="A1411" s="59" t="str">
        <x:v>GUGIK_BDOT_PARQUET</x:v>
      </x:c>
      <x:c r="B1411" s="59" t="str">
        <x:v>source_page</x:v>
      </x:c>
      <x:c r="C1411" s="59" t="str">
        <x:v>UNKNOWN — nie ustalono</x:v>
      </x:c>
    </x:row>
    <x:row r="1412" ht="30" customHeight="1">
      <x:c r="A1412" s="59" t="str">
        <x:v>GUGIK_BDOT_PARQUET</x:v>
      </x:c>
      <x:c r="B1412" s="59" t="str">
        <x:v>valid_from</x:v>
      </x:c>
      <x:c r="C1412" s="59" t="str">
        <x:v>UNKNOWN — nie ustalono</x:v>
      </x:c>
    </x:row>
    <x:row r="1413" ht="30" customHeight="1">
      <x:c r="A1413" s="59" t="str">
        <x:v>GUGIK_BDOT_PARQUET</x:v>
      </x:c>
      <x:c r="B1413" s="59" t="str">
        <x:v>valid_to</x:v>
      </x:c>
      <x:c r="C1413" s="59" t="str">
        <x:v>UNKNOWN — nie ustalono</x:v>
      </x:c>
    </x:row>
    <x:row r="1414" ht="30" customHeight="1">
      <x:c r="A1414" s="59" t="str">
        <x:v>GUGIK_BDOT_PARQUET</x:v>
      </x:c>
      <x:c r="B1414" s="59" t="str">
        <x:v>current_future_scope</x:v>
      </x:c>
      <x:c r="C1414" s="59" t="str">
        <x:v>SOURCE_DEPENDENT</x:v>
      </x:c>
    </x:row>
    <x:row r="1415" ht="30" customHeight="1">
      <x:c r="A1415" s="59" t="str">
        <x:v>GUGIK_BDOT_PARQUET</x:v>
      </x:c>
      <x:c r="B1415" s="59" t="str">
        <x:v>value_classification_default</x:v>
      </x:c>
      <x:c r="C1415" s="59" t="str">
        <x:v>REPORTED</x:v>
      </x:c>
    </x:row>
    <x:row r="1416" ht="38" customHeight="1">
      <x:c r="A1416" s="59" t="str">
        <x:v>GUGIK_BDOT_PARQUET</x:v>
      </x:c>
      <x:c r="B1416" s="59" t="str">
        <x:v>automation_notes</x:v>
      </x:c>
      <x:c r="C1416" s="59" t="str">
        <x:v>Jednorazowy przegląd; brak zgody na stały scraper wynikającej z samego dostępu. Sprawdzić warunki, robots.txt i limity przed wdrożeniem.</x:v>
      </x:c>
    </x:row>
    <x:row r="1417" ht="30" customHeight="1">
      <x:c r="A1417" s="59" t="str">
        <x:v>GUGIK_BDOT_PARQUET</x:v>
      </x:c>
      <x:c r="B1417" s="59" t="str">
        <x:v>probe_ids</x:v>
      </x:c>
      <x:c r="C1417" s="59" t="str">
        <x:v>[]</x:v>
      </x:c>
    </x:row>
    <x:row r="1418" ht="30" customHeight="1">
      <x:c r="A1418" s="59" t="str">
        <x:v>GUGIK_BDOT_PARQUET</x:v>
      </x:c>
      <x:c r="B1418" s="59" t="str">
        <x:v>related_urls</x:v>
      </x:c>
      <x:c r="C1418" s="59" t="str">
        <x:v>[]</x:v>
      </x:c>
    </x:row>
    <x:row r="1419" ht="30" customHeight="1">
      <x:c r="A1419" s="59" t="str">
        <x:v>GUGIK_BDOT_PARQUET</x:v>
      </x:c>
      <x:c r="B1419" s="59" t="str">
        <x:v>source_id</x:v>
      </x:c>
      <x:c r="C1419" s="59" t="str">
        <x:v>GUGIK_BDOT_PARQUET</x:v>
      </x:c>
    </x:row>
    <x:row r="1420" ht="30" customHeight="1">
      <x:c r="A1420" s="59" t="str">
        <x:v>GUGIK_BDOT_PARQUET</x:v>
      </x:c>
      <x:c r="B1420" s="59" t="str">
        <x:v>operator</x:v>
      </x:c>
      <x:c r="C1420" s="59" t="str">
        <x:v>UNKNOWN — nie ustalono</x:v>
      </x:c>
    </x:row>
    <x:row r="1421" ht="30" customHeight="1">
      <x:c r="A1421" s="59" t="str">
        <x:v>GUGIK_BDOT_PARQUET</x:v>
      </x:c>
      <x:c r="B1421" s="59" t="str">
        <x:v>source_name</x:v>
      </x:c>
      <x:c r="C1421" s="59" t="str">
        <x:v>Nowe udostępnianie BDOT10k jako GeoParquet</x:v>
      </x:c>
    </x:row>
    <x:row r="1422" ht="30" customHeight="1">
      <x:c r="A1422" s="59" t="str">
        <x:v>GUGIK_BDOT_PARQUET</x:v>
      </x:c>
      <x:c r="B1422" s="59" t="str">
        <x:v>url</x:v>
      </x:c>
      <x:c r="C1422" s="59" t="str">
        <x:v>https://www.geoportal.gov.pl/aktualnosci/nowy-sposob-udostepniania-danych-bdot10k-w-geoportalu/</x:v>
      </x:c>
    </x:row>
    <x:row r="1423" ht="30" customHeight="1">
      <x:c r="A1423" s="59" t="str">
        <x:v>GUGIK_BDOT_PARQUET</x:v>
      </x:c>
      <x:c r="B1423" s="59" t="str">
        <x:v>data_owner</x:v>
      </x:c>
      <x:c r="C1423" s="59" t="str">
        <x:v>GUGiK</x:v>
      </x:c>
    </x:row>
    <x:row r="1424" ht="30" customHeight="1">
      <x:c r="A1424" s="59" t="str">
        <x:v>GUGIK_BDOT_PARQUET</x:v>
      </x:c>
      <x:c r="B1424" s="59" t="str">
        <x:v>data_category</x:v>
      </x:c>
      <x:c r="C1424" s="59" t="str">
        <x:v>structured_topography_download</x:v>
      </x:c>
    </x:row>
    <x:row r="1425" ht="30" customHeight="1">
      <x:c r="A1425" s="59" t="str">
        <x:v>GUGIK_BDOT_PARQUET</x:v>
      </x:c>
      <x:c r="B1425" s="59" t="str">
        <x:v>data_format</x:v>
      </x:c>
      <x:c r="C1425" s="59" t="str">
        <x:v>[ "GeoParquet" ]</x:v>
      </x:c>
    </x:row>
    <x:row r="1426" ht="30" customHeight="1">
      <x:c r="A1426" s="59" t="str">
        <x:v>GUGIK_BDOT_PARQUET</x:v>
      </x:c>
      <x:c r="B1426" s="59" t="str">
        <x:v>verification_status</x:v>
      </x:c>
      <x:c r="C1426" s="59" t="str">
        <x:v>DOCUMENTATION_REVIEWED</x:v>
      </x:c>
    </x:row>
    <x:row r="1427" ht="30" customHeight="1">
      <x:c r="A1427" s="59" t="str">
        <x:v>GUGIK_BDOT_PARQUET</x:v>
      </x:c>
      <x:c r="B1427" s="59" t="str">
        <x:v>reliability</x:v>
      </x:c>
      <x:c r="C1427" s="59" t="str">
        <x:v>C</x:v>
      </x:c>
    </x:row>
    <x:row r="1428" ht="30" customHeight="1">
      <x:c r="A1428" s="59" t="str">
        <x:v>GUGIK_BDOT_PARQUET</x:v>
      </x:c>
      <x:c r="B1428" s="59" t="str">
        <x:v>key_fields</x:v>
      </x:c>
      <x:c r="C1428" s="59" t="str">
        <x:v>[ "klasa obiektu", "geometria", "schemat2021" ]</x:v>
      </x:c>
    </x:row>
    <x:row r="1429" ht="30" customHeight="1">
      <x:c r="A1429" s="59" t="str">
        <x:v>GUGIK_BDOT_PARQUET</x:v>
      </x:c>
      <x:c r="B1429" s="59" t="str">
        <x:v>potential_application</x:v>
      </x:c>
      <x:c r="C1429" s="59" t="str">
        <x:v>Wydajne pobieranie klas zamiast parsowania mapy.</x:v>
      </x:c>
    </x:row>
    <x:row r="1430" ht="30" customHeight="1">
      <x:c r="A1430" s="59" t="str">
        <x:v>GUGIK_BDOT_PARQUET</x:v>
      </x:c>
      <x:c r="B1430" s="59" t="str">
        <x:v>known_limitations</x:v>
      </x:c>
      <x:c r="C1430" s="59" t="str">
        <x:v>[ "Nie pobierano i nie walidowano krajowych paczek." ]</x:v>
      </x:c>
    </x:row>
    <x:row r="1431" ht="30" customHeight="1">
      <x:c r="A1431" s="59" t="str">
        <x:v>GUGIK_BDOT_PARQUET</x:v>
      </x:c>
      <x:c r="B1431" s="59" t="str">
        <x:v>priority</x:v>
      </x:c>
      <x:c r="C1431" s="59" t="str">
        <x:v>P1</x:v>
      </x:c>
    </x:row>
    <x:row r="1432" ht="30" customHeight="1">
      <x:c r="A1432" s="59" t="str">
        <x:v>GUGIK_BDOT_PARQUET</x:v>
      </x:c>
      <x:c r="B1432" s="59" t="str">
        <x:v>evidence</x:v>
      </x:c>
      <x:c r="C1432" s="59" t="str">
        <x:v>[]</x:v>
      </x:c>
    </x:row>
    <x:row r="1433" ht="30" customHeight="1">
      <x:c r="A1433" s="59" t="str">
        <x:v>GUGIK_BDOT_PARQUET</x:v>
      </x:c>
      <x:c r="B1433" s="59" t="str">
        <x:v>retrieval_date</x:v>
      </x:c>
      <x:c r="C1433" s="59" t="str">
        <x:v>[]</x:v>
      </x:c>
    </x:row>
    <x:row r="1434" ht="30" customHeight="1">
      <x:c r="A1434" s="59" t="str">
        <x:v>GUGIK_ORTHO</x:v>
      </x:c>
      <x:c r="B1434" s="59" t="str">
        <x:v>country</x:v>
      </x:c>
      <x:c r="C1434" s="59" t="str">
        <x:v>PL</x:v>
      </x:c>
    </x:row>
    <x:row r="1435" ht="30" customHeight="1">
      <x:c r="A1435" s="59" t="str">
        <x:v>GUGIK_ORTHO</x:v>
      </x:c>
      <x:c r="B1435" s="59" t="str">
        <x:v>geographical_scope</x:v>
      </x:c>
      <x:c r="C1435" s="59" t="str">
        <x:v>Zakres publikacji danego operatora/instytucji; nie założono pełnego pokrycia kraju.</x:v>
      </x:c>
    </x:row>
    <x:row r="1436" ht="30" customHeight="1">
      <x:c r="A1436" s="59" t="str">
        <x:v>GUGIK_ORTHO</x:v>
      </x:c>
      <x:c r="B1436" s="59" t="str">
        <x:v>grid_voltage</x:v>
      </x:c>
      <x:c r="C1436" s="59" t="str">
        <x:v>[ "UNKNOWN_OR_NOT_APPLICABLE" ]</x:v>
      </x:c>
    </x:row>
    <x:row r="1437" ht="30" customHeight="1">
      <x:c r="A1437" s="59" t="str">
        <x:v>GUGIK_ORTHO</x:v>
      </x:c>
      <x:c r="B1437" s="59" t="str">
        <x:v>api_available</x:v>
      </x:c>
      <x:c r="C1437" s="59" t="str">
        <x:v>UNKNOWN</x:v>
      </x:c>
    </x:row>
    <x:row r="1438" ht="30" customHeight="1">
      <x:c r="A1438" s="59" t="str">
        <x:v>GUGIK_ORTHO</x:v>
      </x:c>
      <x:c r="B1438" s="59" t="str">
        <x:v>gis_available</x:v>
      </x:c>
      <x:c r="C1438" s="59" t="str">
        <x:v>DOCUMENTED_NOT_TESTED</x:v>
      </x:c>
    </x:row>
    <x:row r="1439" ht="30" customHeight="1">
      <x:c r="A1439" s="59" t="str">
        <x:v>GUGIK_ORTHO</x:v>
      </x:c>
      <x:c r="B1439" s="59" t="str">
        <x:v>update_frequency</x:v>
      </x:c>
      <x:c r="C1439" s="59" t="str">
        <x:v>UNKNOWN — nie ustalono gwarantowanego cyklu publikacji.</x:v>
      </x:c>
    </x:row>
    <x:row r="1440" ht="30" customHeight="1">
      <x:c r="A1440" s="59" t="str">
        <x:v>GUGIK_ORTHO</x:v>
      </x:c>
      <x:c r="B1440" s="59" t="str">
        <x:v>historical_data</x:v>
      </x:c>
      <x:c r="C1440" s="59" t="str">
        <x:v>UNKNOWN — własne snapshoty od 10.09.2026, jeśli zapisano próbkę.</x:v>
      </x:c>
    </x:row>
    <x:row r="1441" ht="30" customHeight="1">
      <x:c r="A1441" s="59" t="str">
        <x:v>GUGIK_ORTHO</x:v>
      </x:c>
      <x:c r="B1441" s="59" t="str">
        <x:v>authentication</x:v>
      </x:c>
      <x:c r="C1441" s="59" t="str">
        <x:v>Odczyt publicznej strony bez konta; nie dowodzi dostępu do wszystkich danych.</x:v>
      </x:c>
    </x:row>
    <x:row r="1442" ht="30" customHeight="1">
      <x:c r="A1442" s="59" t="str">
        <x:v>GUGIK_ORTHO</x:v>
      </x:c>
      <x:c r="B1442" s="59" t="str">
        <x:v>license</x:v>
      </x:c>
      <x:c r="C1442" s="59" t="str">
        <x:v>Oficjalna strona opisuje bezpłatne pobieranie i dowolne wykorzystanie ortofotomapy.</x:v>
      </x:c>
    </x:row>
    <x:row r="1443" ht="30" customHeight="1">
      <x:c r="A1443" s="59" t="str">
        <x:v>GUGIK_ORTHO</x:v>
      </x:c>
      <x:c r="B1443" s="59" t="str">
        <x:v>license_url</x:v>
      </x:c>
      <x:c r="C1443" s="59" t="str">
        <x:v>https://www.geoportal.gov.pl/pl/dane/ortofotomapa-orto/</x:v>
      </x:c>
    </x:row>
    <x:row r="1444" ht="30" customHeight="1">
      <x:c r="A1444" s="59" t="str">
        <x:v>GUGIK_ORTHO</x:v>
      </x:c>
      <x:c r="B1444" s="59" t="str">
        <x:v>commercial_use</x:v>
      </x:c>
      <x:c r="C1444" s="59" t="str">
        <x:v>PERMITTED_AS_DESCRIBED</x:v>
      </x:c>
    </x:row>
    <x:row r="1445" ht="30" customHeight="1">
      <x:c r="A1445" s="59" t="str">
        <x:v>GUGIK_ORTHO</x:v>
      </x:c>
      <x:c r="B1445" s="59" t="str">
        <x:v>machine_readable</x:v>
      </x:c>
      <x:c r="C1445" s="59" t="str">
        <x:v>UNKNOWN</x:v>
      </x:c>
    </x:row>
    <x:row r="1446" ht="30" customHeight="1">
      <x:c r="A1446" s="59" t="str">
        <x:v>GUGIK_ORTHO</x:v>
      </x:c>
      <x:c r="B1446" s="59" t="str">
        <x:v>scraping_required</x:v>
      </x:c>
      <x:c r="C1446" s="59" t="str">
        <x:v>UNKNOWN — przed scraperem preferować oficjalny plik lub API.</x:v>
      </x:c>
    </x:row>
    <x:row r="1447" ht="30" customHeight="1">
      <x:c r="A1447" s="59" t="str">
        <x:v>GUGIK_ORTHO</x:v>
      </x:c>
      <x:c r="B1447" s="59" t="str">
        <x:v>data_quality_score</x:v>
      </x:c>
      <x:c r="C1447" s="59" t="str">
        <x:v>UNKNOWN — nie ustalono</x:v>
      </x:c>
    </x:row>
    <x:row r="1448" ht="30" customHeight="1">
      <x:c r="A1448" s="59" t="str">
        <x:v>GUGIK_ORTHO</x:v>
      </x:c>
      <x:c r="B1448" s="59" t="str">
        <x:v>quality_score_status</x:v>
      </x:c>
      <x:c r="C1448" s="59" t="str">
        <x:v>NOT_CALIBRATED — autorytet źródła nie jest procentem kompletności lub trafności.</x:v>
      </x:c>
    </x:row>
    <x:row r="1449" ht="30" customHeight="1">
      <x:c r="A1449" s="59" t="str">
        <x:v>GUGIK_ORTHO</x:v>
      </x:c>
      <x:c r="B1449" s="59" t="str">
        <x:v>last_verified</x:v>
      </x:c>
      <x:c r="C1449" s="60" t="n">
        <x:v>46275</x:v>
      </x:c>
    </x:row>
    <x:row r="1450" ht="30" customHeight="1">
      <x:c r="A1450" s="59" t="str">
        <x:v>GUGIK_ORTHO</x:v>
      </x:c>
      <x:c r="B1450" s="59" t="str">
        <x:v>last_successful_verification</x:v>
      </x:c>
      <x:c r="C1450" s="60" t="n">
        <x:v>46275</x:v>
      </x:c>
    </x:row>
    <x:row r="1451" ht="30" customHeight="1">
      <x:c r="A1451" s="59" t="str">
        <x:v>GUGIK_ORTHO</x:v>
      </x:c>
      <x:c r="B1451" s="59" t="str">
        <x:v>source_date</x:v>
      </x:c>
      <x:c r="C1451" s="59" t="str">
        <x:v>UNKNOWN — nie ustalono</x:v>
      </x:c>
    </x:row>
    <x:row r="1452" ht="30" customHeight="1">
      <x:c r="A1452" s="59" t="str">
        <x:v>GUGIK_ORTHO</x:v>
      </x:c>
      <x:c r="B1452" s="59" t="str">
        <x:v>publication_date</x:v>
      </x:c>
      <x:c r="C1452" s="59" t="str">
        <x:v>UNKNOWN — nie ustalono</x:v>
      </x:c>
    </x:row>
    <x:row r="1453" ht="30" customHeight="1">
      <x:c r="A1453" s="59" t="str">
        <x:v>GUGIK_ORTHO</x:v>
      </x:c>
      <x:c r="B1453" s="59" t="str">
        <x:v>source_version</x:v>
      </x:c>
      <x:c r="C1453" s="59" t="str">
        <x:v>UNKNOWN — nie ustalono</x:v>
      </x:c>
    </x:row>
    <x:row r="1454" ht="30" customHeight="1">
      <x:c r="A1454" s="59" t="str">
        <x:v>GUGIK_ORTHO</x:v>
      </x:c>
      <x:c r="B1454" s="59" t="str">
        <x:v>source_page</x:v>
      </x:c>
      <x:c r="C1454" s="59" t="str">
        <x:v>UNKNOWN — nie ustalono</x:v>
      </x:c>
    </x:row>
    <x:row r="1455" ht="30" customHeight="1">
      <x:c r="A1455" s="59" t="str">
        <x:v>GUGIK_ORTHO</x:v>
      </x:c>
      <x:c r="B1455" s="59" t="str">
        <x:v>valid_from</x:v>
      </x:c>
      <x:c r="C1455" s="59" t="str">
        <x:v>UNKNOWN — nie ustalono</x:v>
      </x:c>
    </x:row>
    <x:row r="1456" ht="30" customHeight="1">
      <x:c r="A1456" s="59" t="str">
        <x:v>GUGIK_ORTHO</x:v>
      </x:c>
      <x:c r="B1456" s="59" t="str">
        <x:v>valid_to</x:v>
      </x:c>
      <x:c r="C1456" s="59" t="str">
        <x:v>UNKNOWN — nie ustalono</x:v>
      </x:c>
    </x:row>
    <x:row r="1457" ht="30" customHeight="1">
      <x:c r="A1457" s="59" t="str">
        <x:v>GUGIK_ORTHO</x:v>
      </x:c>
      <x:c r="B1457" s="59" t="str">
        <x:v>current_future_scope</x:v>
      </x:c>
      <x:c r="C1457" s="59" t="str">
        <x:v>SOURCE_DEPENDENT</x:v>
      </x:c>
    </x:row>
    <x:row r="1458" ht="30" customHeight="1">
      <x:c r="A1458" s="59" t="str">
        <x:v>GUGIK_ORTHO</x:v>
      </x:c>
      <x:c r="B1458" s="59" t="str">
        <x:v>value_classification_default</x:v>
      </x:c>
      <x:c r="C1458" s="59" t="str">
        <x:v>REPORTED</x:v>
      </x:c>
    </x:row>
    <x:row r="1459" ht="38" customHeight="1">
      <x:c r="A1459" s="59" t="str">
        <x:v>GUGIK_ORTHO</x:v>
      </x:c>
      <x:c r="B1459" s="59" t="str">
        <x:v>automation_notes</x:v>
      </x:c>
      <x:c r="C1459" s="59" t="str">
        <x:v>Jednorazowy przegląd; brak zgody na stały scraper wynikającej z samego dostępu. Sprawdzić warunki, robots.txt i limity przed wdrożeniem.</x:v>
      </x:c>
    </x:row>
    <x:row r="1460" ht="30" customHeight="1">
      <x:c r="A1460" s="59" t="str">
        <x:v>GUGIK_ORTHO</x:v>
      </x:c>
      <x:c r="B1460" s="59" t="str">
        <x:v>probe_ids</x:v>
      </x:c>
      <x:c r="C1460" s="59" t="str">
        <x:v>[]</x:v>
      </x:c>
    </x:row>
    <x:row r="1461" ht="38" customHeight="1">
      <x:c r="A1461" s="59" t="str">
        <x:v>GUGIK_ORTHO</x:v>
      </x:c>
      <x:c r="B1461" s="59" t="str">
        <x:v>related_urls</x:v>
      </x:c>
      <x:c r="C1461" s="59" t="str">
        <x:v>[ "https://mapy.geoportal.gov.pl/wss/service/PZGIK/ORTO/WMS/StandardResolution", "https://mapy.geoportal.gov.pl/wss/service/PZGIK/ORTO/WMTS/StandardResolution" ]</x:v>
      </x:c>
    </x:row>
    <x:row r="1462" ht="30" customHeight="1">
      <x:c r="A1462" s="59" t="str">
        <x:v>GUGIK_ORTHO</x:v>
      </x:c>
      <x:c r="B1462" s="59" t="str">
        <x:v>source_id</x:v>
      </x:c>
      <x:c r="C1462" s="59" t="str">
        <x:v>GUGIK_ORTHO</x:v>
      </x:c>
    </x:row>
    <x:row r="1463" ht="30" customHeight="1">
      <x:c r="A1463" s="59" t="str">
        <x:v>GUGIK_ORTHO</x:v>
      </x:c>
      <x:c r="B1463" s="59" t="str">
        <x:v>operator</x:v>
      </x:c>
      <x:c r="C1463" s="59" t="str">
        <x:v>UNKNOWN — nie ustalono</x:v>
      </x:c>
    </x:row>
    <x:row r="1464" ht="30" customHeight="1">
      <x:c r="A1464" s="59" t="str">
        <x:v>GUGIK_ORTHO</x:v>
      </x:c>
      <x:c r="B1464" s="59" t="str">
        <x:v>source_name</x:v>
      </x:c>
      <x:c r="C1464" s="59" t="str">
        <x:v>Ortofotomapa GUGiK</x:v>
      </x:c>
    </x:row>
    <x:row r="1465" ht="30" customHeight="1">
      <x:c r="A1465" s="59" t="str">
        <x:v>GUGIK_ORTHO</x:v>
      </x:c>
      <x:c r="B1465" s="59" t="str">
        <x:v>url</x:v>
      </x:c>
      <x:c r="C1465" s="59" t="str">
        <x:v>https://www.geoportal.gov.pl/pl/dane/ortofotomapa-orto/</x:v>
      </x:c>
    </x:row>
    <x:row r="1466" ht="30" customHeight="1">
      <x:c r="A1466" s="59" t="str">
        <x:v>GUGIK_ORTHO</x:v>
      </x:c>
      <x:c r="B1466" s="59" t="str">
        <x:v>data_owner</x:v>
      </x:c>
      <x:c r="C1466" s="59" t="str">
        <x:v>GUGiK / PZGiK</x:v>
      </x:c>
    </x:row>
    <x:row r="1467" ht="30" customHeight="1">
      <x:c r="A1467" s="59" t="str">
        <x:v>GUGIK_ORTHO</x:v>
      </x:c>
      <x:c r="B1467" s="59" t="str">
        <x:v>data_category</x:v>
      </x:c>
      <x:c r="C1467" s="59" t="str">
        <x:v>orthophoto</x:v>
      </x:c>
    </x:row>
    <x:row r="1468" ht="30" customHeight="1">
      <x:c r="A1468" s="59" t="str">
        <x:v>GUGIK_ORTHO</x:v>
      </x:c>
      <x:c r="B1468" s="59" t="str">
        <x:v>data_format</x:v>
      </x:c>
      <x:c r="C1468" s="59" t="str">
        <x:v>[ "raster", "WMS", "WMTS" ]</x:v>
      </x:c>
    </x:row>
    <x:row r="1469" ht="30" customHeight="1">
      <x:c r="A1469" s="59" t="str">
        <x:v>GUGIK_ORTHO</x:v>
      </x:c>
      <x:c r="B1469" s="59" t="str">
        <x:v>verification_status</x:v>
      </x:c>
      <x:c r="C1469" s="59" t="str">
        <x:v>DOCUMENTATION_REVIEWED</x:v>
      </x:c>
    </x:row>
    <x:row r="1470" ht="30" customHeight="1">
      <x:c r="A1470" s="59" t="str">
        <x:v>GUGIK_ORTHO</x:v>
      </x:c>
      <x:c r="B1470" s="59" t="str">
        <x:v>reliability</x:v>
      </x:c>
      <x:c r="C1470" s="59" t="str">
        <x:v>C</x:v>
      </x:c>
    </x:row>
    <x:row r="1471" ht="30" customHeight="1">
      <x:c r="A1471" s="59" t="str">
        <x:v>GUGIK_ORTHO</x:v>
      </x:c>
      <x:c r="B1471" s="59" t="str">
        <x:v>key_fields</x:v>
      </x:c>
      <x:c r="C1471" s="59" t="str">
        <x:v>[ "data zdjęcia", "rozdzielczość", "CRS" ]</x:v>
      </x:c>
    </x:row>
    <x:row r="1472" ht="30" customHeight="1">
      <x:c r="A1472" s="59" t="str">
        <x:v>GUGIK_ORTHO</x:v>
      </x:c>
      <x:c r="B1472" s="59" t="str">
        <x:v>potential_application</x:v>
      </x:c>
      <x:c r="C1472" s="59" t="str">
        <x:v>Kontrola przestrzenna obiektów i korytarzy.</x:v>
      </x:c>
    </x:row>
    <x:row r="1473" ht="30" customHeight="1">
      <x:c r="A1473" s="59" t="str">
        <x:v>GUGIK_ORTHO</x:v>
      </x:c>
      <x:c r="B1473" s="59" t="str">
        <x:v>known_limitations</x:v>
      </x:c>
      <x:c r="C1473" s="59" t="str">
        <x:v>[ "Obraz nie potwierdza parametrów elektrycznych ani połączenia." ]</x:v>
      </x:c>
    </x:row>
    <x:row r="1474" ht="30" customHeight="1">
      <x:c r="A1474" s="59" t="str">
        <x:v>GUGIK_ORTHO</x:v>
      </x:c>
      <x:c r="B1474" s="59" t="str">
        <x:v>priority</x:v>
      </x:c>
      <x:c r="C1474" s="59" t="str">
        <x:v>P2</x:v>
      </x:c>
    </x:row>
    <x:row r="1475" ht="30" customHeight="1">
      <x:c r="A1475" s="59" t="str">
        <x:v>GUGIK_ORTHO</x:v>
      </x:c>
      <x:c r="B1475" s="59" t="str">
        <x:v>evidence</x:v>
      </x:c>
      <x:c r="C1475" s="59" t="str">
        <x:v>[]</x:v>
      </x:c>
    </x:row>
    <x:row r="1476" ht="30" customHeight="1">
      <x:c r="A1476" s="59" t="str">
        <x:v>GUGIK_ORTHO</x:v>
      </x:c>
      <x:c r="B1476" s="59" t="str">
        <x:v>retrieval_date</x:v>
      </x:c>
      <x:c r="C1476" s="59" t="str">
        <x:v>[]</x:v>
      </x:c>
    </x:row>
    <x:row r="1477" ht="30" customHeight="1">
      <x:c r="A1477" s="59" t="str">
        <x:v>GUGIK_NMT</x:v>
      </x:c>
      <x:c r="B1477" s="59" t="str">
        <x:v>country</x:v>
      </x:c>
      <x:c r="C1477" s="59" t="str">
        <x:v>PL</x:v>
      </x:c>
    </x:row>
    <x:row r="1478" ht="30" customHeight="1">
      <x:c r="A1478" s="59" t="str">
        <x:v>GUGIK_NMT</x:v>
      </x:c>
      <x:c r="B1478" s="59" t="str">
        <x:v>geographical_scope</x:v>
      </x:c>
      <x:c r="C1478" s="59" t="str">
        <x:v>Zakres publikacji danego operatora/instytucji; nie założono pełnego pokrycia kraju.</x:v>
      </x:c>
    </x:row>
    <x:row r="1479" ht="30" customHeight="1">
      <x:c r="A1479" s="59" t="str">
        <x:v>GUGIK_NMT</x:v>
      </x:c>
      <x:c r="B1479" s="59" t="str">
        <x:v>grid_voltage</x:v>
      </x:c>
      <x:c r="C1479" s="59" t="str">
        <x:v>[ "UNKNOWN_OR_NOT_APPLICABLE" ]</x:v>
      </x:c>
    </x:row>
    <x:row r="1480" ht="30" customHeight="1">
      <x:c r="A1480" s="59" t="str">
        <x:v>GUGIK_NMT</x:v>
      </x:c>
      <x:c r="B1480" s="59" t="str">
        <x:v>api_available</x:v>
      </x:c>
      <x:c r="C1480" s="59" t="str">
        <x:v>UNKNOWN</x:v>
      </x:c>
    </x:row>
    <x:row r="1481" ht="30" customHeight="1">
      <x:c r="A1481" s="59" t="str">
        <x:v>GUGIK_NMT</x:v>
      </x:c>
      <x:c r="B1481" s="59" t="str">
        <x:v>gis_available</x:v>
      </x:c>
      <x:c r="C1481" s="59" t="str">
        <x:v>DOCUMENTED_NOT_TESTED</x:v>
      </x:c>
    </x:row>
    <x:row r="1482" ht="30" customHeight="1">
      <x:c r="A1482" s="59" t="str">
        <x:v>GUGIK_NMT</x:v>
      </x:c>
      <x:c r="B1482" s="59" t="str">
        <x:v>update_frequency</x:v>
      </x:c>
      <x:c r="C1482" s="59" t="str">
        <x:v>UNKNOWN — nie ustalono gwarantowanego cyklu publikacji.</x:v>
      </x:c>
    </x:row>
    <x:row r="1483" ht="30" customHeight="1">
      <x:c r="A1483" s="59" t="str">
        <x:v>GUGIK_NMT</x:v>
      </x:c>
      <x:c r="B1483" s="59" t="str">
        <x:v>historical_data</x:v>
      </x:c>
      <x:c r="C1483" s="59" t="str">
        <x:v>UNKNOWN — własne snapshoty od 10.09.2026, jeśli zapisano próbkę.</x:v>
      </x:c>
    </x:row>
    <x:row r="1484" ht="30" customHeight="1">
      <x:c r="A1484" s="59" t="str">
        <x:v>GUGIK_NMT</x:v>
      </x:c>
      <x:c r="B1484" s="59" t="str">
        <x:v>authentication</x:v>
      </x:c>
      <x:c r="C1484" s="59" t="str">
        <x:v>Odczyt publicznej strony bez konta; nie dowodzi dostępu do wszystkich danych.</x:v>
      </x:c>
    </x:row>
    <x:row r="1485" ht="30" customHeight="1">
      <x:c r="A1485" s="59" t="str">
        <x:v>GUGIK_NMT</x:v>
      </x:c>
      <x:c r="B1485" s="59" t="str">
        <x:v>license</x:v>
      </x:c>
      <x:c r="C1485" s="59" t="str">
        <x:v>UNKNOWN — nie potwierdzono otwartej licencji wybranego zbioru.</x:v>
      </x:c>
    </x:row>
    <x:row r="1486" ht="30" customHeight="1">
      <x:c r="A1486" s="59" t="str">
        <x:v>GUGIK_NMT</x:v>
      </x:c>
      <x:c r="B1486" s="59" t="str">
        <x:v>license_url</x:v>
      </x:c>
      <x:c r="C1486" s="59" t="str">
        <x:v>UNKNOWN — nie ustalono</x:v>
      </x:c>
    </x:row>
    <x:row r="1487" ht="30" customHeight="1">
      <x:c r="A1487" s="59" t="str">
        <x:v>GUGIK_NMT</x:v>
      </x:c>
      <x:c r="B1487" s="59" t="str">
        <x:v>commercial_use</x:v>
      </x:c>
      <x:c r="C1487" s="59" t="str">
        <x:v>UNKNOWN</x:v>
      </x:c>
    </x:row>
    <x:row r="1488" ht="30" customHeight="1">
      <x:c r="A1488" s="59" t="str">
        <x:v>GUGIK_NMT</x:v>
      </x:c>
      <x:c r="B1488" s="59" t="str">
        <x:v>machine_readable</x:v>
      </x:c>
      <x:c r="C1488" s="59" t="str">
        <x:v>UNKNOWN</x:v>
      </x:c>
    </x:row>
    <x:row r="1489" ht="30" customHeight="1">
      <x:c r="A1489" s="59" t="str">
        <x:v>GUGIK_NMT</x:v>
      </x:c>
      <x:c r="B1489" s="59" t="str">
        <x:v>scraping_required</x:v>
      </x:c>
      <x:c r="C1489" s="59" t="str">
        <x:v>UNKNOWN — przed scraperem preferować oficjalny plik lub API.</x:v>
      </x:c>
    </x:row>
    <x:row r="1490" ht="30" customHeight="1">
      <x:c r="A1490" s="59" t="str">
        <x:v>GUGIK_NMT</x:v>
      </x:c>
      <x:c r="B1490" s="59" t="str">
        <x:v>data_quality_score</x:v>
      </x:c>
      <x:c r="C1490" s="59" t="str">
        <x:v>UNKNOWN — nie ustalono</x:v>
      </x:c>
    </x:row>
    <x:row r="1491" ht="30" customHeight="1">
      <x:c r="A1491" s="59" t="str">
        <x:v>GUGIK_NMT</x:v>
      </x:c>
      <x:c r="B1491" s="59" t="str">
        <x:v>quality_score_status</x:v>
      </x:c>
      <x:c r="C1491" s="59" t="str">
        <x:v>NOT_CALIBRATED — autorytet źródła nie jest procentem kompletności lub trafności.</x:v>
      </x:c>
    </x:row>
    <x:row r="1492" ht="30" customHeight="1">
      <x:c r="A1492" s="59" t="str">
        <x:v>GUGIK_NMT</x:v>
      </x:c>
      <x:c r="B1492" s="59" t="str">
        <x:v>last_verified</x:v>
      </x:c>
      <x:c r="C1492" s="60" t="n">
        <x:v>46275</x:v>
      </x:c>
    </x:row>
    <x:row r="1493" ht="30" customHeight="1">
      <x:c r="A1493" s="59" t="str">
        <x:v>GUGIK_NMT</x:v>
      </x:c>
      <x:c r="B1493" s="59" t="str">
        <x:v>last_successful_verification</x:v>
      </x:c>
      <x:c r="C1493" s="60" t="n">
        <x:v>46275</x:v>
      </x:c>
    </x:row>
    <x:row r="1494" ht="30" customHeight="1">
      <x:c r="A1494" s="59" t="str">
        <x:v>GUGIK_NMT</x:v>
      </x:c>
      <x:c r="B1494" s="59" t="str">
        <x:v>source_date</x:v>
      </x:c>
      <x:c r="C1494" s="59" t="str">
        <x:v>UNKNOWN — nie ustalono</x:v>
      </x:c>
    </x:row>
    <x:row r="1495" ht="30" customHeight="1">
      <x:c r="A1495" s="59" t="str">
        <x:v>GUGIK_NMT</x:v>
      </x:c>
      <x:c r="B1495" s="59" t="str">
        <x:v>publication_date</x:v>
      </x:c>
      <x:c r="C1495" s="59" t="str">
        <x:v>UNKNOWN — nie ustalono</x:v>
      </x:c>
    </x:row>
    <x:row r="1496" ht="30" customHeight="1">
      <x:c r="A1496" s="59" t="str">
        <x:v>GUGIK_NMT</x:v>
      </x:c>
      <x:c r="B1496" s="59" t="str">
        <x:v>source_version</x:v>
      </x:c>
      <x:c r="C1496" s="59" t="str">
        <x:v>UNKNOWN — nie ustalono</x:v>
      </x:c>
    </x:row>
    <x:row r="1497" ht="30" customHeight="1">
      <x:c r="A1497" s="59" t="str">
        <x:v>GUGIK_NMT</x:v>
      </x:c>
      <x:c r="B1497" s="59" t="str">
        <x:v>source_page</x:v>
      </x:c>
      <x:c r="C1497" s="59" t="str">
        <x:v>UNKNOWN — nie ustalono</x:v>
      </x:c>
    </x:row>
    <x:row r="1498" ht="30" customHeight="1">
      <x:c r="A1498" s="59" t="str">
        <x:v>GUGIK_NMT</x:v>
      </x:c>
      <x:c r="B1498" s="59" t="str">
        <x:v>valid_from</x:v>
      </x:c>
      <x:c r="C1498" s="59" t="str">
        <x:v>UNKNOWN — nie ustalono</x:v>
      </x:c>
    </x:row>
    <x:row r="1499" ht="30" customHeight="1">
      <x:c r="A1499" s="59" t="str">
        <x:v>GUGIK_NMT</x:v>
      </x:c>
      <x:c r="B1499" s="59" t="str">
        <x:v>valid_to</x:v>
      </x:c>
      <x:c r="C1499" s="59" t="str">
        <x:v>UNKNOWN — nie ustalono</x:v>
      </x:c>
    </x:row>
    <x:row r="1500" ht="30" customHeight="1">
      <x:c r="A1500" s="59" t="str">
        <x:v>GUGIK_NMT</x:v>
      </x:c>
      <x:c r="B1500" s="59" t="str">
        <x:v>current_future_scope</x:v>
      </x:c>
      <x:c r="C1500" s="59" t="str">
        <x:v>SOURCE_DEPENDENT</x:v>
      </x:c>
    </x:row>
    <x:row r="1501" ht="30" customHeight="1">
      <x:c r="A1501" s="59" t="str">
        <x:v>GUGIK_NMT</x:v>
      </x:c>
      <x:c r="B1501" s="59" t="str">
        <x:v>value_classification_default</x:v>
      </x:c>
      <x:c r="C1501" s="59" t="str">
        <x:v>REPORTED</x:v>
      </x:c>
    </x:row>
    <x:row r="1502" ht="38" customHeight="1">
      <x:c r="A1502" s="59" t="str">
        <x:v>GUGIK_NMT</x:v>
      </x:c>
      <x:c r="B1502" s="59" t="str">
        <x:v>automation_notes</x:v>
      </x:c>
      <x:c r="C1502" s="59" t="str">
        <x:v>Jednorazowy przegląd; brak zgody na stały scraper wynikającej z samego dostępu. Sprawdzić warunki, robots.txt i limity przed wdrożeniem.</x:v>
      </x:c>
    </x:row>
    <x:row r="1503" ht="30" customHeight="1">
      <x:c r="A1503" s="59" t="str">
        <x:v>GUGIK_NMT</x:v>
      </x:c>
      <x:c r="B1503" s="59" t="str">
        <x:v>probe_ids</x:v>
      </x:c>
      <x:c r="C1503" s="59" t="str">
        <x:v>[]</x:v>
      </x:c>
    </x:row>
    <x:row r="1504" ht="30" customHeight="1">
      <x:c r="A1504" s="59" t="str">
        <x:v>GUGIK_NMT</x:v>
      </x:c>
      <x:c r="B1504" s="59" t="str">
        <x:v>related_urls</x:v>
      </x:c>
      <x:c r="C1504" s="59" t="str">
        <x:v>[]</x:v>
      </x:c>
    </x:row>
    <x:row r="1505" ht="30" customHeight="1">
      <x:c r="A1505" s="59" t="str">
        <x:v>GUGIK_NMT</x:v>
      </x:c>
      <x:c r="B1505" s="59" t="str">
        <x:v>source_id</x:v>
      </x:c>
      <x:c r="C1505" s="59" t="str">
        <x:v>GUGIK_NMT</x:v>
      </x:c>
    </x:row>
    <x:row r="1506" ht="30" customHeight="1">
      <x:c r="A1506" s="59" t="str">
        <x:v>GUGIK_NMT</x:v>
      </x:c>
      <x:c r="B1506" s="59" t="str">
        <x:v>operator</x:v>
      </x:c>
      <x:c r="C1506" s="59" t="str">
        <x:v>UNKNOWN — nie ustalono</x:v>
      </x:c>
    </x:row>
    <x:row r="1507" ht="30" customHeight="1">
      <x:c r="A1507" s="59" t="str">
        <x:v>GUGIK_NMT</x:v>
      </x:c>
      <x:c r="B1507" s="59" t="str">
        <x:v>source_name</x:v>
      </x:c>
      <x:c r="C1507" s="59" t="str">
        <x:v>Numeryczny model terenu</x:v>
      </x:c>
    </x:row>
    <x:row r="1508" ht="30" customHeight="1">
      <x:c r="A1508" s="59" t="str">
        <x:v>GUGIK_NMT</x:v>
      </x:c>
      <x:c r="B1508" s="59" t="str">
        <x:v>url</x:v>
      </x:c>
      <x:c r="C1508" s="59" t="str">
        <x:v>https://www.geoportal.gov.pl/pl/dane/numeryczny-model-terenu-nmt/</x:v>
      </x:c>
    </x:row>
    <x:row r="1509" ht="30" customHeight="1">
      <x:c r="A1509" s="59" t="str">
        <x:v>GUGIK_NMT</x:v>
      </x:c>
      <x:c r="B1509" s="59" t="str">
        <x:v>data_owner</x:v>
      </x:c>
      <x:c r="C1509" s="59" t="str">
        <x:v>GUGiK / PZGiK</x:v>
      </x:c>
    </x:row>
    <x:row r="1510" ht="30" customHeight="1">
      <x:c r="A1510" s="59" t="str">
        <x:v>GUGIK_NMT</x:v>
      </x:c>
      <x:c r="B1510" s="59" t="str">
        <x:v>data_category</x:v>
      </x:c>
      <x:c r="C1510" s="59" t="str">
        <x:v>terrain</x:v>
      </x:c>
    </x:row>
    <x:row r="1511" ht="30" customHeight="1">
      <x:c r="A1511" s="59" t="str">
        <x:v>GUGIK_NMT</x:v>
      </x:c>
      <x:c r="B1511" s="59" t="str">
        <x:v>data_format</x:v>
      </x:c>
      <x:c r="C1511" s="59" t="str">
        <x:v>[ "raster", "downloads", "WCS documentation" ]</x:v>
      </x:c>
    </x:row>
    <x:row r="1512" ht="30" customHeight="1">
      <x:c r="A1512" s="59" t="str">
        <x:v>GUGIK_NMT</x:v>
      </x:c>
      <x:c r="B1512" s="59" t="str">
        <x:v>verification_status</x:v>
      </x:c>
      <x:c r="C1512" s="59" t="str">
        <x:v>DOCUMENTATION_REVIEWED</x:v>
      </x:c>
    </x:row>
    <x:row r="1513" ht="30" customHeight="1">
      <x:c r="A1513" s="59" t="str">
        <x:v>GUGIK_NMT</x:v>
      </x:c>
      <x:c r="B1513" s="59" t="str">
        <x:v>reliability</x:v>
      </x:c>
      <x:c r="C1513" s="59" t="str">
        <x:v>C</x:v>
      </x:c>
    </x:row>
    <x:row r="1514" ht="30" customHeight="1">
      <x:c r="A1514" s="59" t="str">
        <x:v>GUGIK_NMT</x:v>
      </x:c>
      <x:c r="B1514" s="59" t="str">
        <x:v>key_fields</x:v>
      </x:c>
      <x:c r="C1514" s="59" t="str">
        <x:v>[ "wysokość", "rozdzielczość", "CRS poziomy i pionowy" ]</x:v>
      </x:c>
    </x:row>
    <x:row r="1515" ht="30" customHeight="1">
      <x:c r="A1515" s="59" t="str">
        <x:v>GUGIK_NMT</x:v>
      </x:c>
      <x:c r="B1515" s="59" t="str">
        <x:v>potential_application</x:v>
      </x:c>
      <x:c r="C1515" s="59" t="str">
        <x:v>Nachylenie i wstępna analiza trasy.</x:v>
      </x:c>
    </x:row>
    <x:row r="1516" ht="30" customHeight="1">
      <x:c r="A1516" s="59" t="str">
        <x:v>GUGIK_NMT</x:v>
      </x:c>
      <x:c r="B1516" s="59" t="str">
        <x:v>known_limitations</x:v>
      </x:c>
      <x:c r="C1516" s="59" t="str">
        <x:v>[ "Nie jest geotechniką ani dokumentacją projektową." ]</x:v>
      </x:c>
    </x:row>
    <x:row r="1517" ht="30" customHeight="1">
      <x:c r="A1517" s="59" t="str">
        <x:v>GUGIK_NMT</x:v>
      </x:c>
      <x:c r="B1517" s="59" t="str">
        <x:v>priority</x:v>
      </x:c>
      <x:c r="C1517" s="59" t="str">
        <x:v>P2</x:v>
      </x:c>
    </x:row>
    <x:row r="1518" ht="30" customHeight="1">
      <x:c r="A1518" s="59" t="str">
        <x:v>GUGIK_NMT</x:v>
      </x:c>
      <x:c r="B1518" s="59" t="str">
        <x:v>evidence</x:v>
      </x:c>
      <x:c r="C1518" s="59" t="str">
        <x:v>[]</x:v>
      </x:c>
    </x:row>
    <x:row r="1519" ht="30" customHeight="1">
      <x:c r="A1519" s="59" t="str">
        <x:v>GUGIK_NMT</x:v>
      </x:c>
      <x:c r="B1519" s="59" t="str">
        <x:v>retrieval_date</x:v>
      </x:c>
      <x:c r="C1519" s="59" t="str">
        <x:v>[]</x:v>
      </x:c>
    </x:row>
    <x:row r="1520" ht="30" customHeight="1">
      <x:c r="A1520" s="59" t="str">
        <x:v>GUGIK_MPZP</x:v>
      </x:c>
      <x:c r="B1520" s="59" t="str">
        <x:v>country</x:v>
      </x:c>
      <x:c r="C1520" s="59" t="str">
        <x:v>PL</x:v>
      </x:c>
    </x:row>
    <x:row r="1521" ht="30" customHeight="1">
      <x:c r="A1521" s="59" t="str">
        <x:v>GUGIK_MPZP</x:v>
      </x:c>
      <x:c r="B1521" s="59" t="str">
        <x:v>geographical_scope</x:v>
      </x:c>
      <x:c r="C1521" s="59" t="str">
        <x:v>Zakres publikacji danego operatora/instytucji; nie założono pełnego pokrycia kraju.</x:v>
      </x:c>
    </x:row>
    <x:row r="1522" ht="30" customHeight="1">
      <x:c r="A1522" s="59" t="str">
        <x:v>GUGIK_MPZP</x:v>
      </x:c>
      <x:c r="B1522" s="59" t="str">
        <x:v>grid_voltage</x:v>
      </x:c>
      <x:c r="C1522" s="59" t="str">
        <x:v>[ "UNKNOWN_OR_NOT_APPLICABLE" ]</x:v>
      </x:c>
    </x:row>
    <x:row r="1523" ht="30" customHeight="1">
      <x:c r="A1523" s="59" t="str">
        <x:v>GUGIK_MPZP</x:v>
      </x:c>
      <x:c r="B1523" s="59" t="str">
        <x:v>api_available</x:v>
      </x:c>
      <x:c r="C1523" s="59" t="str">
        <x:v>UNKNOWN</x:v>
      </x:c>
    </x:row>
    <x:row r="1524" ht="30" customHeight="1">
      <x:c r="A1524" s="59" t="str">
        <x:v>GUGIK_MPZP</x:v>
      </x:c>
      <x:c r="B1524" s="59" t="str">
        <x:v>gis_available</x:v>
      </x:c>
      <x:c r="C1524" s="59" t="str">
        <x:v>VIEWER_ONLY</x:v>
      </x:c>
    </x:row>
    <x:row r="1525" ht="30" customHeight="1">
      <x:c r="A1525" s="59" t="str">
        <x:v>GUGIK_MPZP</x:v>
      </x:c>
      <x:c r="B1525" s="59" t="str">
        <x:v>update_frequency</x:v>
      </x:c>
      <x:c r="C1525" s="59" t="str">
        <x:v>UNKNOWN — nie ustalono gwarantowanego cyklu publikacji.</x:v>
      </x:c>
    </x:row>
    <x:row r="1526" ht="30" customHeight="1">
      <x:c r="A1526" s="59" t="str">
        <x:v>GUGIK_MPZP</x:v>
      </x:c>
      <x:c r="B1526" s="59" t="str">
        <x:v>historical_data</x:v>
      </x:c>
      <x:c r="C1526" s="59" t="str">
        <x:v>UNKNOWN — własne snapshoty od 10.09.2026, jeśli zapisano próbkę.</x:v>
      </x:c>
    </x:row>
    <x:row r="1527" ht="30" customHeight="1">
      <x:c r="A1527" s="59" t="str">
        <x:v>GUGIK_MPZP</x:v>
      </x:c>
      <x:c r="B1527" s="59" t="str">
        <x:v>authentication</x:v>
      </x:c>
      <x:c r="C1527" s="59" t="str">
        <x:v>Odczyt publicznej strony bez konta; nie dowodzi dostępu do wszystkich danych.</x:v>
      </x:c>
    </x:row>
    <x:row r="1528" ht="30" customHeight="1">
      <x:c r="A1528" s="59" t="str">
        <x:v>GUGIK_MPZP</x:v>
      </x:c>
      <x:c r="B1528" s="59" t="str">
        <x:v>license</x:v>
      </x:c>
      <x:c r="C1528" s="59" t="str">
        <x:v>UNKNOWN — nie potwierdzono otwartej licencji wybranego zbioru.</x:v>
      </x:c>
    </x:row>
    <x:row r="1529" ht="30" customHeight="1">
      <x:c r="A1529" s="59" t="str">
        <x:v>GUGIK_MPZP</x:v>
      </x:c>
      <x:c r="B1529" s="59" t="str">
        <x:v>license_url</x:v>
      </x:c>
      <x:c r="C1529" s="59" t="str">
        <x:v>UNKNOWN — nie ustalono</x:v>
      </x:c>
    </x:row>
    <x:row r="1530" ht="30" customHeight="1">
      <x:c r="A1530" s="59" t="str">
        <x:v>GUGIK_MPZP</x:v>
      </x:c>
      <x:c r="B1530" s="59" t="str">
        <x:v>commercial_use</x:v>
      </x:c>
      <x:c r="C1530" s="59" t="str">
        <x:v>UNKNOWN</x:v>
      </x:c>
    </x:row>
    <x:row r="1531" ht="30" customHeight="1">
      <x:c r="A1531" s="59" t="str">
        <x:v>GUGIK_MPZP</x:v>
      </x:c>
      <x:c r="B1531" s="59" t="str">
        <x:v>machine_readable</x:v>
      </x:c>
      <x:c r="C1531" s="59" t="str">
        <x:v>UNKNOWN</x:v>
      </x:c>
    </x:row>
    <x:row r="1532" ht="30" customHeight="1">
      <x:c r="A1532" s="59" t="str">
        <x:v>GUGIK_MPZP</x:v>
      </x:c>
      <x:c r="B1532" s="59" t="str">
        <x:v>scraping_required</x:v>
      </x:c>
      <x:c r="C1532" s="59" t="str">
        <x:v>UNKNOWN — przed scraperem preferować oficjalny plik lub API.</x:v>
      </x:c>
    </x:row>
    <x:row r="1533" ht="30" customHeight="1">
      <x:c r="A1533" s="59" t="str">
        <x:v>GUGIK_MPZP</x:v>
      </x:c>
      <x:c r="B1533" s="59" t="str">
        <x:v>data_quality_score</x:v>
      </x:c>
      <x:c r="C1533" s="59" t="str">
        <x:v>UNKNOWN — nie ustalono</x:v>
      </x:c>
    </x:row>
    <x:row r="1534" ht="30" customHeight="1">
      <x:c r="A1534" s="59" t="str">
        <x:v>GUGIK_MPZP</x:v>
      </x:c>
      <x:c r="B1534" s="59" t="str">
        <x:v>quality_score_status</x:v>
      </x:c>
      <x:c r="C1534" s="59" t="str">
        <x:v>NOT_CALIBRATED — autorytet źródła nie jest procentem kompletności lub trafności.</x:v>
      </x:c>
    </x:row>
    <x:row r="1535" ht="30" customHeight="1">
      <x:c r="A1535" s="59" t="str">
        <x:v>GUGIK_MPZP</x:v>
      </x:c>
      <x:c r="B1535" s="59" t="str">
        <x:v>last_verified</x:v>
      </x:c>
      <x:c r="C1535" s="60" t="n">
        <x:v>46275</x:v>
      </x:c>
    </x:row>
    <x:row r="1536" ht="30" customHeight="1">
      <x:c r="A1536" s="59" t="str">
        <x:v>GUGIK_MPZP</x:v>
      </x:c>
      <x:c r="B1536" s="59" t="str">
        <x:v>last_successful_verification</x:v>
      </x:c>
      <x:c r="C1536" s="60" t="n">
        <x:v>46275</x:v>
      </x:c>
    </x:row>
    <x:row r="1537" ht="30" customHeight="1">
      <x:c r="A1537" s="59" t="str">
        <x:v>GUGIK_MPZP</x:v>
      </x:c>
      <x:c r="B1537" s="59" t="str">
        <x:v>source_date</x:v>
      </x:c>
      <x:c r="C1537" s="59" t="str">
        <x:v>UNKNOWN — nie ustalono</x:v>
      </x:c>
    </x:row>
    <x:row r="1538" ht="30" customHeight="1">
      <x:c r="A1538" s="59" t="str">
        <x:v>GUGIK_MPZP</x:v>
      </x:c>
      <x:c r="B1538" s="59" t="str">
        <x:v>publication_date</x:v>
      </x:c>
      <x:c r="C1538" s="59" t="str">
        <x:v>UNKNOWN — nie ustalono</x:v>
      </x:c>
    </x:row>
    <x:row r="1539" ht="30" customHeight="1">
      <x:c r="A1539" s="59" t="str">
        <x:v>GUGIK_MPZP</x:v>
      </x:c>
      <x:c r="B1539" s="59" t="str">
        <x:v>source_version</x:v>
      </x:c>
      <x:c r="C1539" s="59" t="str">
        <x:v>UNKNOWN — nie ustalono</x:v>
      </x:c>
    </x:row>
    <x:row r="1540" ht="30" customHeight="1">
      <x:c r="A1540" s="59" t="str">
        <x:v>GUGIK_MPZP</x:v>
      </x:c>
      <x:c r="B1540" s="59" t="str">
        <x:v>source_page</x:v>
      </x:c>
      <x:c r="C1540" s="59" t="str">
        <x:v>UNKNOWN — nie ustalono</x:v>
      </x:c>
    </x:row>
    <x:row r="1541" ht="30" customHeight="1">
      <x:c r="A1541" s="59" t="str">
        <x:v>GUGIK_MPZP</x:v>
      </x:c>
      <x:c r="B1541" s="59" t="str">
        <x:v>valid_from</x:v>
      </x:c>
      <x:c r="C1541" s="59" t="str">
        <x:v>UNKNOWN — nie ustalono</x:v>
      </x:c>
    </x:row>
    <x:row r="1542" ht="30" customHeight="1">
      <x:c r="A1542" s="59" t="str">
        <x:v>GUGIK_MPZP</x:v>
      </x:c>
      <x:c r="B1542" s="59" t="str">
        <x:v>valid_to</x:v>
      </x:c>
      <x:c r="C1542" s="59" t="str">
        <x:v>UNKNOWN — nie ustalono</x:v>
      </x:c>
    </x:row>
    <x:row r="1543" ht="30" customHeight="1">
      <x:c r="A1543" s="59" t="str">
        <x:v>GUGIK_MPZP</x:v>
      </x:c>
      <x:c r="B1543" s="59" t="str">
        <x:v>current_future_scope</x:v>
      </x:c>
      <x:c r="C1543" s="59" t="str">
        <x:v>SOURCE_DEPENDENT</x:v>
      </x:c>
    </x:row>
    <x:row r="1544" ht="30" customHeight="1">
      <x:c r="A1544" s="59" t="str">
        <x:v>GUGIK_MPZP</x:v>
      </x:c>
      <x:c r="B1544" s="59" t="str">
        <x:v>value_classification_default</x:v>
      </x:c>
      <x:c r="C1544" s="59" t="str">
        <x:v>REPORTED</x:v>
      </x:c>
    </x:row>
    <x:row r="1545" ht="38" customHeight="1">
      <x:c r="A1545" s="59" t="str">
        <x:v>GUGIK_MPZP</x:v>
      </x:c>
      <x:c r="B1545" s="59" t="str">
        <x:v>automation_notes</x:v>
      </x:c>
      <x:c r="C1545" s="59" t="str">
        <x:v>Jednorazowy przegląd; brak zgody na stały scraper wynikającej z samego dostępu. Sprawdzić warunki, robots.txt i limity przed wdrożeniem.</x:v>
      </x:c>
    </x:row>
    <x:row r="1546" ht="30" customHeight="1">
      <x:c r="A1546" s="59" t="str">
        <x:v>GUGIK_MPZP</x:v>
      </x:c>
      <x:c r="B1546" s="59" t="str">
        <x:v>probe_ids</x:v>
      </x:c>
      <x:c r="C1546" s="59" t="str">
        <x:v>[]</x:v>
      </x:c>
    </x:row>
    <x:row r="1547" ht="30" customHeight="1">
      <x:c r="A1547" s="59" t="str">
        <x:v>GUGIK_MPZP</x:v>
      </x:c>
      <x:c r="B1547" s="59" t="str">
        <x:v>related_urls</x:v>
      </x:c>
      <x:c r="C1547" s="59" t="str">
        <x:v>[]</x:v>
      </x:c>
    </x:row>
    <x:row r="1548" ht="30" customHeight="1">
      <x:c r="A1548" s="59" t="str">
        <x:v>GUGIK_MPZP</x:v>
      </x:c>
      <x:c r="B1548" s="59" t="str">
        <x:v>source_id</x:v>
      </x:c>
      <x:c r="C1548" s="59" t="str">
        <x:v>GUGIK_MPZP</x:v>
      </x:c>
    </x:row>
    <x:row r="1549" ht="30" customHeight="1">
      <x:c r="A1549" s="59" t="str">
        <x:v>GUGIK_MPZP</x:v>
      </x:c>
      <x:c r="B1549" s="59" t="str">
        <x:v>operator</x:v>
      </x:c>
      <x:c r="C1549" s="59" t="str">
        <x:v>UNKNOWN — nie ustalono</x:v>
      </x:c>
    </x:row>
    <x:row r="1550" ht="30" customHeight="1">
      <x:c r="A1550" s="59" t="str">
        <x:v>GUGIK_MPZP</x:v>
      </x:c>
      <x:c r="B1550" s="59" t="str">
        <x:v>source_name</x:v>
      </x:c>
      <x:c r="C1550" s="59" t="str">
        <x:v>Krajowa Integracja MPZP</x:v>
      </x:c>
    </x:row>
    <x:row r="1551" ht="30" customHeight="1">
      <x:c r="A1551" s="59" t="str">
        <x:v>GUGIK_MPZP</x:v>
      </x:c>
      <x:c r="B1551" s="59" t="str">
        <x:v>url</x:v>
      </x:c>
      <x:c r="C1551" s="59" t="str">
        <x:v>https://mapy.geoportal.gov.pl/wss/ext/KrajowaIntegracjaMiejscowychPlanowZagospodarowaniaPrzestrzennego?lang=pol</x:v>
      </x:c>
    </x:row>
    <x:row r="1552" ht="30" customHeight="1">
      <x:c r="A1552" s="59" t="str">
        <x:v>GUGIK_MPZP</x:v>
      </x:c>
      <x:c r="B1552" s="59" t="str">
        <x:v>data_owner</x:v>
      </x:c>
      <x:c r="C1552" s="59" t="str">
        <x:v>GUGiK / gminy</x:v>
      </x:c>
    </x:row>
    <x:row r="1553" ht="30" customHeight="1">
      <x:c r="A1553" s="59" t="str">
        <x:v>GUGIK_MPZP</x:v>
      </x:c>
      <x:c r="B1553" s="59" t="str">
        <x:v>data_category</x:v>
      </x:c>
      <x:c r="C1553" s="59" t="str">
        <x:v>spatial_planning</x:v>
      </x:c>
    </x:row>
    <x:row r="1554" ht="30" customHeight="1">
      <x:c r="A1554" s="59" t="str">
        <x:v>GUGIK_MPZP</x:v>
      </x:c>
      <x:c r="B1554" s="59" t="str">
        <x:v>data_format</x:v>
      </x:c>
      <x:c r="C1554" s="59" t="str">
        <x:v>[ "HTML", "WMS integration" ]</x:v>
      </x:c>
    </x:row>
    <x:row r="1555" ht="30" customHeight="1">
      <x:c r="A1555" s="59" t="str">
        <x:v>GUGIK_MPZP</x:v>
      </x:c>
      <x:c r="B1555" s="59" t="str">
        <x:v>verification_status</x:v>
      </x:c>
      <x:c r="C1555" s="59" t="str">
        <x:v>CONTENT_REVIEWED</x:v>
      </x:c>
    </x:row>
    <x:row r="1556" ht="30" customHeight="1">
      <x:c r="A1556" s="59" t="str">
        <x:v>GUGIK_MPZP</x:v>
      </x:c>
      <x:c r="B1556" s="59" t="str">
        <x:v>reliability</x:v>
      </x:c>
      <x:c r="C1556" s="59" t="str">
        <x:v>C</x:v>
      </x:c>
    </x:row>
    <x:row r="1557" ht="30" customHeight="1">
      <x:c r="A1557" s="59" t="str">
        <x:v>GUGIK_MPZP</x:v>
      </x:c>
      <x:c r="B1557" s="59" t="str">
        <x:v>key_fields</x:v>
      </x:c>
      <x:c r="C1557" s="59" t="str">
        <x:v>[ "obszar planu", "prezentacja ustaleń", "odsyłacze" ]</x:v>
      </x:c>
    </x:row>
    <x:row r="1558" ht="30" customHeight="1">
      <x:c r="A1558" s="59" t="str">
        <x:v>GUGIK_MPZP</x:v>
      </x:c>
      <x:c r="B1558" s="59" t="str">
        <x:v>potential_application</x:v>
      </x:c>
      <x:c r="C1558" s="59" t="str">
        <x:v>Lokalizacja obowiązujących planów do dalszej weryfikacji.</x:v>
      </x:c>
    </x:row>
    <x:row r="1559" ht="30" customHeight="1">
      <x:c r="A1559" s="59" t="str">
        <x:v>GUGIK_MPZP</x:v>
      </x:c>
      <x:c r="B1559" s="59" t="str">
        <x:v>known_limitations</x:v>
      </x:c>
      <x:c r="C1559" s="59" t="str">
        <x:v>[ "Potrzebne teksty uchwał i aktualność; mapowy obraz nie zastępuje reguł prawnych." ]</x:v>
      </x:c>
    </x:row>
    <x:row r="1560" ht="30" customHeight="1">
      <x:c r="A1560" s="59" t="str">
        <x:v>GUGIK_MPZP</x:v>
      </x:c>
      <x:c r="B1560" s="59" t="str">
        <x:v>priority</x:v>
      </x:c>
      <x:c r="C1560" s="59" t="str">
        <x:v>P2</x:v>
      </x:c>
    </x:row>
    <x:row r="1561" ht="30" customHeight="1">
      <x:c r="A1561" s="59" t="str">
        <x:v>GUGIK_MPZP</x:v>
      </x:c>
      <x:c r="B1561" s="59" t="str">
        <x:v>evidence</x:v>
      </x:c>
      <x:c r="C1561" s="59" t="str">
        <x:v>[]</x:v>
      </x:c>
    </x:row>
    <x:row r="1562" ht="30" customHeight="1">
      <x:c r="A1562" s="59" t="str">
        <x:v>GUGIK_MPZP</x:v>
      </x:c>
      <x:c r="B1562" s="59" t="str">
        <x:v>retrieval_date</x:v>
      </x:c>
      <x:c r="C1562" s="59" t="str">
        <x:v>[]</x:v>
      </x:c>
    </x:row>
    <x:row r="1563" ht="30" customHeight="1">
      <x:c r="A1563" s="59" t="str">
        <x:v>URBAN_REGISTER</x:v>
      </x:c>
      <x:c r="B1563" s="59" t="str">
        <x:v>country</x:v>
      </x:c>
      <x:c r="C1563" s="59" t="str">
        <x:v>PL</x:v>
      </x:c>
    </x:row>
    <x:row r="1564" ht="30" customHeight="1">
      <x:c r="A1564" s="59" t="str">
        <x:v>URBAN_REGISTER</x:v>
      </x:c>
      <x:c r="B1564" s="59" t="str">
        <x:v>geographical_scope</x:v>
      </x:c>
      <x:c r="C1564" s="59" t="str">
        <x:v>Zakres publikacji danego operatora/instytucji; nie założono pełnego pokrycia kraju.</x:v>
      </x:c>
    </x:row>
    <x:row r="1565" ht="30" customHeight="1">
      <x:c r="A1565" s="59" t="str">
        <x:v>URBAN_REGISTER</x:v>
      </x:c>
      <x:c r="B1565" s="59" t="str">
        <x:v>grid_voltage</x:v>
      </x:c>
      <x:c r="C1565" s="59" t="str">
        <x:v>[ "UNKNOWN_OR_NOT_APPLICABLE" ]</x:v>
      </x:c>
    </x:row>
    <x:row r="1566" ht="30" customHeight="1">
      <x:c r="A1566" s="59" t="str">
        <x:v>URBAN_REGISTER</x:v>
      </x:c>
      <x:c r="B1566" s="59" t="str">
        <x:v>api_available</x:v>
      </x:c>
      <x:c r="C1566" s="59" t="str">
        <x:v>UNKNOWN</x:v>
      </x:c>
    </x:row>
    <x:row r="1567" ht="30" customHeight="1">
      <x:c r="A1567" s="59" t="str">
        <x:v>URBAN_REGISTER</x:v>
      </x:c>
      <x:c r="B1567" s="59" t="str">
        <x:v>gis_available</x:v>
      </x:c>
      <x:c r="C1567" s="59" t="str">
        <x:v>UNKNOWN</x:v>
      </x:c>
    </x:row>
    <x:row r="1568" ht="30" customHeight="1">
      <x:c r="A1568" s="59" t="str">
        <x:v>URBAN_REGISTER</x:v>
      </x:c>
      <x:c r="B1568" s="59" t="str">
        <x:v>update_frequency</x:v>
      </x:c>
      <x:c r="C1568" s="59" t="str">
        <x:v>UNKNOWN — nie ustalono gwarantowanego cyklu publikacji.</x:v>
      </x:c>
    </x:row>
    <x:row r="1569" ht="30" customHeight="1">
      <x:c r="A1569" s="59" t="str">
        <x:v>URBAN_REGISTER</x:v>
      </x:c>
      <x:c r="B1569" s="59" t="str">
        <x:v>historical_data</x:v>
      </x:c>
      <x:c r="C1569" s="59" t="str">
        <x:v>UNKNOWN — własne snapshoty od 10.09.2026, jeśli zapisano próbkę.</x:v>
      </x:c>
    </x:row>
    <x:row r="1570" ht="30" customHeight="1">
      <x:c r="A1570" s="59" t="str">
        <x:v>URBAN_REGISTER</x:v>
      </x:c>
      <x:c r="B1570" s="59" t="str">
        <x:v>authentication</x:v>
      </x:c>
      <x:c r="C1570" s="59" t="str">
        <x:v>Odczyt publicznej strony bez konta; nie dowodzi dostępu do wszystkich danych.</x:v>
      </x:c>
    </x:row>
    <x:row r="1571" ht="30" customHeight="1">
      <x:c r="A1571" s="59" t="str">
        <x:v>URBAN_REGISTER</x:v>
      </x:c>
      <x:c r="B1571" s="59" t="str">
        <x:v>license</x:v>
      </x:c>
      <x:c r="C1571" s="59" t="str">
        <x:v>UNKNOWN — nie potwierdzono otwartej licencji wybranego zbioru.</x:v>
      </x:c>
    </x:row>
    <x:row r="1572" ht="30" customHeight="1">
      <x:c r="A1572" s="59" t="str">
        <x:v>URBAN_REGISTER</x:v>
      </x:c>
      <x:c r="B1572" s="59" t="str">
        <x:v>license_url</x:v>
      </x:c>
      <x:c r="C1572" s="59" t="str">
        <x:v>UNKNOWN — nie ustalono</x:v>
      </x:c>
    </x:row>
    <x:row r="1573" ht="30" customHeight="1">
      <x:c r="A1573" s="59" t="str">
        <x:v>URBAN_REGISTER</x:v>
      </x:c>
      <x:c r="B1573" s="59" t="str">
        <x:v>commercial_use</x:v>
      </x:c>
      <x:c r="C1573" s="59" t="str">
        <x:v>UNKNOWN</x:v>
      </x:c>
    </x:row>
    <x:row r="1574" ht="30" customHeight="1">
      <x:c r="A1574" s="59" t="str">
        <x:v>URBAN_REGISTER</x:v>
      </x:c>
      <x:c r="B1574" s="59" t="str">
        <x:v>machine_readable</x:v>
      </x:c>
      <x:c r="C1574" s="59" t="str">
        <x:v>UNKNOWN</x:v>
      </x:c>
    </x:row>
    <x:row r="1575" ht="30" customHeight="1">
      <x:c r="A1575" s="59" t="str">
        <x:v>URBAN_REGISTER</x:v>
      </x:c>
      <x:c r="B1575" s="59" t="str">
        <x:v>scraping_required</x:v>
      </x:c>
      <x:c r="C1575" s="59" t="str">
        <x:v>UNKNOWN — przed scraperem preferować oficjalny plik lub API.</x:v>
      </x:c>
    </x:row>
    <x:row r="1576" ht="30" customHeight="1">
      <x:c r="A1576" s="59" t="str">
        <x:v>URBAN_REGISTER</x:v>
      </x:c>
      <x:c r="B1576" s="59" t="str">
        <x:v>data_quality_score</x:v>
      </x:c>
      <x:c r="C1576" s="59" t="str">
        <x:v>UNKNOWN — nie ustalono</x:v>
      </x:c>
    </x:row>
    <x:row r="1577" ht="30" customHeight="1">
      <x:c r="A1577" s="59" t="str">
        <x:v>URBAN_REGISTER</x:v>
      </x:c>
      <x:c r="B1577" s="59" t="str">
        <x:v>quality_score_status</x:v>
      </x:c>
      <x:c r="C1577" s="59" t="str">
        <x:v>NOT_CALIBRATED — autorytet źródła nie jest procentem kompletności lub trafności.</x:v>
      </x:c>
    </x:row>
    <x:row r="1578" ht="30" customHeight="1">
      <x:c r="A1578" s="59" t="str">
        <x:v>URBAN_REGISTER</x:v>
      </x:c>
      <x:c r="B1578" s="59" t="str">
        <x:v>last_verified</x:v>
      </x:c>
      <x:c r="C1578" s="60" t="n">
        <x:v>46275</x:v>
      </x:c>
    </x:row>
    <x:row r="1579" ht="30" customHeight="1">
      <x:c r="A1579" s="59" t="str">
        <x:v>URBAN_REGISTER</x:v>
      </x:c>
      <x:c r="B1579" s="59" t="str">
        <x:v>last_successful_verification</x:v>
      </x:c>
      <x:c r="C1579" s="60" t="n">
        <x:v>46275</x:v>
      </x:c>
    </x:row>
    <x:row r="1580" ht="30" customHeight="1">
      <x:c r="A1580" s="59" t="str">
        <x:v>URBAN_REGISTER</x:v>
      </x:c>
      <x:c r="B1580" s="59" t="str">
        <x:v>source_date</x:v>
      </x:c>
      <x:c r="C1580" s="59" t="str">
        <x:v>UNKNOWN — nie ustalono</x:v>
      </x:c>
    </x:row>
    <x:row r="1581" ht="30" customHeight="1">
      <x:c r="A1581" s="59" t="str">
        <x:v>URBAN_REGISTER</x:v>
      </x:c>
      <x:c r="B1581" s="59" t="str">
        <x:v>publication_date</x:v>
      </x:c>
      <x:c r="C1581" s="59" t="str">
        <x:v>UNKNOWN — nie ustalono</x:v>
      </x:c>
    </x:row>
    <x:row r="1582" ht="30" customHeight="1">
      <x:c r="A1582" s="59" t="str">
        <x:v>URBAN_REGISTER</x:v>
      </x:c>
      <x:c r="B1582" s="59" t="str">
        <x:v>source_version</x:v>
      </x:c>
      <x:c r="C1582" s="59" t="str">
        <x:v>UNKNOWN — nie ustalono</x:v>
      </x:c>
    </x:row>
    <x:row r="1583" ht="30" customHeight="1">
      <x:c r="A1583" s="59" t="str">
        <x:v>URBAN_REGISTER</x:v>
      </x:c>
      <x:c r="B1583" s="59" t="str">
        <x:v>source_page</x:v>
      </x:c>
      <x:c r="C1583" s="59" t="str">
        <x:v>UNKNOWN — nie ustalono</x:v>
      </x:c>
    </x:row>
    <x:row r="1584" ht="30" customHeight="1">
      <x:c r="A1584" s="59" t="str">
        <x:v>URBAN_REGISTER</x:v>
      </x:c>
      <x:c r="B1584" s="59" t="str">
        <x:v>valid_from</x:v>
      </x:c>
      <x:c r="C1584" s="59" t="str">
        <x:v>UNKNOWN — nie ustalono</x:v>
      </x:c>
    </x:row>
    <x:row r="1585" ht="30" customHeight="1">
      <x:c r="A1585" s="59" t="str">
        <x:v>URBAN_REGISTER</x:v>
      </x:c>
      <x:c r="B1585" s="59" t="str">
        <x:v>valid_to</x:v>
      </x:c>
      <x:c r="C1585" s="59" t="str">
        <x:v>UNKNOWN — nie ustalono</x:v>
      </x:c>
    </x:row>
    <x:row r="1586" ht="30" customHeight="1">
      <x:c r="A1586" s="59" t="str">
        <x:v>URBAN_REGISTER</x:v>
      </x:c>
      <x:c r="B1586" s="59" t="str">
        <x:v>current_future_scope</x:v>
      </x:c>
      <x:c r="C1586" s="59" t="str">
        <x:v>SOURCE_DEPENDENT</x:v>
      </x:c>
    </x:row>
    <x:row r="1587" ht="30" customHeight="1">
      <x:c r="A1587" s="59" t="str">
        <x:v>URBAN_REGISTER</x:v>
      </x:c>
      <x:c r="B1587" s="59" t="str">
        <x:v>value_classification_default</x:v>
      </x:c>
      <x:c r="C1587" s="59" t="str">
        <x:v>REPORTED</x:v>
      </x:c>
    </x:row>
    <x:row r="1588" ht="38" customHeight="1">
      <x:c r="A1588" s="59" t="str">
        <x:v>URBAN_REGISTER</x:v>
      </x:c>
      <x:c r="B1588" s="59" t="str">
        <x:v>automation_notes</x:v>
      </x:c>
      <x:c r="C1588" s="59" t="str">
        <x:v>Jednorazowy przegląd; brak zgody na stały scraper wynikającej z samego dostępu. Sprawdzić warunki, robots.txt i limity przed wdrożeniem.</x:v>
      </x:c>
    </x:row>
    <x:row r="1589" ht="30" customHeight="1">
      <x:c r="A1589" s="59" t="str">
        <x:v>URBAN_REGISTER</x:v>
      </x:c>
      <x:c r="B1589" s="59" t="str">
        <x:v>probe_ids</x:v>
      </x:c>
      <x:c r="C1589" s="59" t="str">
        <x:v>[]</x:v>
      </x:c>
    </x:row>
    <x:row r="1590" ht="30" customHeight="1">
      <x:c r="A1590" s="59" t="str">
        <x:v>URBAN_REGISTER</x:v>
      </x:c>
      <x:c r="B1590" s="59" t="str">
        <x:v>related_urls</x:v>
      </x:c>
      <x:c r="C1590" s="59" t="str">
        <x:v>[]</x:v>
      </x:c>
    </x:row>
    <x:row r="1591" ht="30" customHeight="1">
      <x:c r="A1591" s="59" t="str">
        <x:v>URBAN_REGISTER</x:v>
      </x:c>
      <x:c r="B1591" s="59" t="str">
        <x:v>source_id</x:v>
      </x:c>
      <x:c r="C1591" s="59" t="str">
        <x:v>URBAN_REGISTER</x:v>
      </x:c>
    </x:row>
    <x:row r="1592" ht="30" customHeight="1">
      <x:c r="A1592" s="59" t="str">
        <x:v>URBAN_REGISTER</x:v>
      </x:c>
      <x:c r="B1592" s="59" t="str">
        <x:v>operator</x:v>
      </x:c>
      <x:c r="C1592" s="59" t="str">
        <x:v>UNKNOWN — nie ustalono</x:v>
      </x:c>
    </x:row>
    <x:row r="1593" ht="30" customHeight="1">
      <x:c r="A1593" s="59" t="str">
        <x:v>URBAN_REGISTER</x:v>
      </x:c>
      <x:c r="B1593" s="59" t="str">
        <x:v>source_name</x:v>
      </x:c>
      <x:c r="C1593" s="59" t="str">
        <x:v>Rejestr Urbanistyczny — publikacje</x:v>
      </x:c>
    </x:row>
    <x:row r="1594" ht="30" customHeight="1">
      <x:c r="A1594" s="59" t="str">
        <x:v>URBAN_REGISTER</x:v>
      </x:c>
      <x:c r="B1594" s="59" t="str">
        <x:v>url</x:v>
      </x:c>
      <x:c r="C1594" s="59" t="str">
        <x:v>https://rejestr-urbanistyczny.gov.pl/published</x:v>
      </x:c>
    </x:row>
    <x:row r="1595" ht="30" customHeight="1">
      <x:c r="A1595" s="59" t="str">
        <x:v>URBAN_REGISTER</x:v>
      </x:c>
      <x:c r="B1595" s="59" t="str">
        <x:v>data_owner</x:v>
      </x:c>
      <x:c r="C1595" s="59" t="str">
        <x:v>Administracja publiczna — Rejestr Urbanistyczny</x:v>
      </x:c>
    </x:row>
    <x:row r="1596" ht="30" customHeight="1">
      <x:c r="A1596" s="59" t="str">
        <x:v>URBAN_REGISTER</x:v>
      </x:c>
      <x:c r="B1596" s="59" t="str">
        <x:v>data_category</x:v>
      </x:c>
      <x:c r="C1596" s="59" t="str">
        <x:v>spatial_planning_register</x:v>
      </x:c>
    </x:row>
    <x:row r="1597" ht="30" customHeight="1">
      <x:c r="A1597" s="59" t="str">
        <x:v>URBAN_REGISTER</x:v>
      </x:c>
      <x:c r="B1597" s="59" t="str">
        <x:v>data_format</x:v>
      </x:c>
      <x:c r="C1597" s="59" t="str">
        <x:v>[ "HTML", "web application" ]</x:v>
      </x:c>
    </x:row>
    <x:row r="1598" ht="30" customHeight="1">
      <x:c r="A1598" s="59" t="str">
        <x:v>URBAN_REGISTER</x:v>
      </x:c>
      <x:c r="B1598" s="59" t="str">
        <x:v>verification_status</x:v>
      </x:c>
      <x:c r="C1598" s="59" t="str">
        <x:v>CONTENT_REVIEWED</x:v>
      </x:c>
    </x:row>
    <x:row r="1599" ht="30" customHeight="1">
      <x:c r="A1599" s="59" t="str">
        <x:v>URBAN_REGISTER</x:v>
      </x:c>
      <x:c r="B1599" s="59" t="str">
        <x:v>reliability</x:v>
      </x:c>
      <x:c r="C1599" s="59" t="str">
        <x:v>C</x:v>
      </x:c>
    </x:row>
    <x:row r="1600" ht="30" customHeight="1">
      <x:c r="A1600" s="59" t="str">
        <x:v>URBAN_REGISTER</x:v>
      </x:c>
      <x:c r="B1600" s="59" t="str">
        <x:v>key_fields</x:v>
      </x:c>
      <x:c r="C1600" s="59" t="str">
        <x:v>[ "UNKNOWN — nie zweryfikowano eksportu danych" ]</x:v>
      </x:c>
    </x:row>
    <x:row r="1601" ht="30" customHeight="1">
      <x:c r="A1601" s="59" t="str">
        <x:v>URBAN_REGISTER</x:v>
      </x:c>
      <x:c r="B1601" s="59" t="str">
        <x:v>potential_application</x:v>
      </x:c>
      <x:c r="C1601" s="59" t="str">
        <x:v>Plany ogólne i dokumenty planistyczne po ocenie pokrycia.</x:v>
      </x:c>
    </x:row>
    <x:row r="1602" ht="30" customHeight="1">
      <x:c r="A1602" s="59" t="str">
        <x:v>URBAN_REGISTER</x:v>
      </x:c>
      <x:c r="B1602" s="59" t="str">
        <x:v>known_limitations</x:v>
      </x:c>
      <x:c r="C1602" s="59" t="str">
        <x:v>[ "Otworzył się interfejs JS; brak testu kompletności i publicznego API." ]</x:v>
      </x:c>
    </x:row>
    <x:row r="1603" ht="30" customHeight="1">
      <x:c r="A1603" s="59" t="str">
        <x:v>URBAN_REGISTER</x:v>
      </x:c>
      <x:c r="B1603" s="59" t="str">
        <x:v>priority</x:v>
      </x:c>
      <x:c r="C1603" s="59" t="str">
        <x:v>P2</x:v>
      </x:c>
    </x:row>
    <x:row r="1604" ht="30" customHeight="1">
      <x:c r="A1604" s="59" t="str">
        <x:v>URBAN_REGISTER</x:v>
      </x:c>
      <x:c r="B1604" s="59" t="str">
        <x:v>evidence</x:v>
      </x:c>
      <x:c r="C1604" s="59" t="str">
        <x:v>[]</x:v>
      </x:c>
    </x:row>
    <x:row r="1605" ht="30" customHeight="1">
      <x:c r="A1605" s="59" t="str">
        <x:v>URBAN_REGISTER</x:v>
      </x:c>
      <x:c r="B1605" s="59" t="str">
        <x:v>retrieval_date</x:v>
      </x:c>
      <x:c r="C1605" s="59" t="str">
        <x:v>[]</x:v>
      </x:c>
    </x:row>
    <x:row r="1606" ht="30" customHeight="1">
      <x:c r="A1606" s="59" t="str">
        <x:v>GDOS_GIS</x:v>
      </x:c>
      <x:c r="B1606" s="59" t="str">
        <x:v>country</x:v>
      </x:c>
      <x:c r="C1606" s="59" t="str">
        <x:v>PL</x:v>
      </x:c>
    </x:row>
    <x:row r="1607" ht="30" customHeight="1">
      <x:c r="A1607" s="59" t="str">
        <x:v>GDOS_GIS</x:v>
      </x:c>
      <x:c r="B1607" s="59" t="str">
        <x:v>geographical_scope</x:v>
      </x:c>
      <x:c r="C1607" s="59" t="str">
        <x:v>Zakres publikacji danego operatora/instytucji; nie założono pełnego pokrycia kraju.</x:v>
      </x:c>
    </x:row>
    <x:row r="1608" ht="30" customHeight="1">
      <x:c r="A1608" s="59" t="str">
        <x:v>GDOS_GIS</x:v>
      </x:c>
      <x:c r="B1608" s="59" t="str">
        <x:v>grid_voltage</x:v>
      </x:c>
      <x:c r="C1608" s="59" t="str">
        <x:v>[ "UNKNOWN_OR_NOT_APPLICABLE" ]</x:v>
      </x:c>
    </x:row>
    <x:row r="1609" ht="30" customHeight="1">
      <x:c r="A1609" s="59" t="str">
        <x:v>GDOS_GIS</x:v>
      </x:c>
      <x:c r="B1609" s="59" t="str">
        <x:v>api_available</x:v>
      </x:c>
      <x:c r="C1609" s="59" t="str">
        <x:v>YES</x:v>
      </x:c>
    </x:row>
    <x:row r="1610" ht="30" customHeight="1">
      <x:c r="A1610" s="59" t="str">
        <x:v>GDOS_GIS</x:v>
      </x:c>
      <x:c r="B1610" s="59" t="str">
        <x:v>gis_available</x:v>
      </x:c>
      <x:c r="C1610" s="59" t="str">
        <x:v>WFS_CAPABILITIES_VERIFIED</x:v>
      </x:c>
    </x:row>
    <x:row r="1611" ht="30" customHeight="1">
      <x:c r="A1611" s="59" t="str">
        <x:v>GDOS_GIS</x:v>
      </x:c>
      <x:c r="B1611" s="59" t="str">
        <x:v>update_frequency</x:v>
      </x:c>
      <x:c r="C1611" s="59" t="str">
        <x:v>UNKNOWN — nie ustalono gwarantowanego cyklu publikacji.</x:v>
      </x:c>
    </x:row>
    <x:row r="1612" ht="30" customHeight="1">
      <x:c r="A1612" s="59" t="str">
        <x:v>GDOS_GIS</x:v>
      </x:c>
      <x:c r="B1612" s="59" t="str">
        <x:v>historical_data</x:v>
      </x:c>
      <x:c r="C1612" s="59" t="str">
        <x:v>UNKNOWN — własne snapshoty od 10.09.2026, jeśli zapisano próbkę.</x:v>
      </x:c>
    </x:row>
    <x:row r="1613" ht="30" customHeight="1">
      <x:c r="A1613" s="59" t="str">
        <x:v>GDOS_GIS</x:v>
      </x:c>
      <x:c r="B1613" s="59" t="str">
        <x:v>authentication</x:v>
      </x:c>
      <x:c r="C1613" s="59" t="str">
        <x:v>Odczyt publicznej strony bez konta; nie dowodzi dostępu do wszystkich danych.</x:v>
      </x:c>
    </x:row>
    <x:row r="1614" ht="30" customHeight="1">
      <x:c r="A1614" s="59" t="str">
        <x:v>GDOS_GIS</x:v>
      </x:c>
      <x:c r="B1614" s="59" t="str">
        <x:v>license</x:v>
      </x:c>
      <x:c r="C1614" s="59" t="str">
        <x:v>UNKNOWN — nie potwierdzono otwartej licencji wybranego zbioru.</x:v>
      </x:c>
    </x:row>
    <x:row r="1615" ht="30" customHeight="1">
      <x:c r="A1615" s="59" t="str">
        <x:v>GDOS_GIS</x:v>
      </x:c>
      <x:c r="B1615" s="59" t="str">
        <x:v>license_url</x:v>
      </x:c>
      <x:c r="C1615" s="59" t="str">
        <x:v>UNKNOWN — nie ustalono</x:v>
      </x:c>
    </x:row>
    <x:row r="1616" ht="30" customHeight="1">
      <x:c r="A1616" s="59" t="str">
        <x:v>GDOS_GIS</x:v>
      </x:c>
      <x:c r="B1616" s="59" t="str">
        <x:v>commercial_use</x:v>
      </x:c>
      <x:c r="C1616" s="59" t="str">
        <x:v>UNKNOWN</x:v>
      </x:c>
    </x:row>
    <x:row r="1617" ht="30" customHeight="1">
      <x:c r="A1617" s="59" t="str">
        <x:v>GDOS_GIS</x:v>
      </x:c>
      <x:c r="B1617" s="59" t="str">
        <x:v>machine_readable</x:v>
      </x:c>
      <x:c r="C1617" s="59" t="str">
        <x:v>YES</x:v>
      </x:c>
    </x:row>
    <x:row r="1618" ht="30" customHeight="1">
      <x:c r="A1618" s="59" t="str">
        <x:v>GDOS_GIS</x:v>
      </x:c>
      <x:c r="B1618" s="59" t="str">
        <x:v>scraping_required</x:v>
      </x:c>
      <x:c r="C1618" s="59" t="str">
        <x:v>UNKNOWN — przed scraperem preferować oficjalny plik lub API.</x:v>
      </x:c>
    </x:row>
    <x:row r="1619" ht="30" customHeight="1">
      <x:c r="A1619" s="59" t="str">
        <x:v>GDOS_GIS</x:v>
      </x:c>
      <x:c r="B1619" s="59" t="str">
        <x:v>data_quality_score</x:v>
      </x:c>
      <x:c r="C1619" s="59" t="str">
        <x:v>UNKNOWN — nie ustalono</x:v>
      </x:c>
    </x:row>
    <x:row r="1620" ht="30" customHeight="1">
      <x:c r="A1620" s="59" t="str">
        <x:v>GDOS_GIS</x:v>
      </x:c>
      <x:c r="B1620" s="59" t="str">
        <x:v>quality_score_status</x:v>
      </x:c>
      <x:c r="C1620" s="59" t="str">
        <x:v>NOT_CALIBRATED — autorytet źródła nie jest procentem kompletności lub trafności.</x:v>
      </x:c>
    </x:row>
    <x:row r="1621" ht="30" customHeight="1">
      <x:c r="A1621" s="59" t="str">
        <x:v>GDOS_GIS</x:v>
      </x:c>
      <x:c r="B1621" s="59" t="str">
        <x:v>last_verified</x:v>
      </x:c>
      <x:c r="C1621" s="60" t="n">
        <x:v>46275</x:v>
      </x:c>
    </x:row>
    <x:row r="1622" ht="30" customHeight="1">
      <x:c r="A1622" s="59" t="str">
        <x:v>GDOS_GIS</x:v>
      </x:c>
      <x:c r="B1622" s="59" t="str">
        <x:v>last_successful_verification</x:v>
      </x:c>
      <x:c r="C1622" s="60" t="n">
        <x:v>46275</x:v>
      </x:c>
    </x:row>
    <x:row r="1623" ht="30" customHeight="1">
      <x:c r="A1623" s="59" t="str">
        <x:v>GDOS_GIS</x:v>
      </x:c>
      <x:c r="B1623" s="59" t="str">
        <x:v>source_date</x:v>
      </x:c>
      <x:c r="C1623" s="59" t="str">
        <x:v>UNKNOWN — nie ustalono</x:v>
      </x:c>
    </x:row>
    <x:row r="1624" ht="30" customHeight="1">
      <x:c r="A1624" s="59" t="str">
        <x:v>GDOS_GIS</x:v>
      </x:c>
      <x:c r="B1624" s="59" t="str">
        <x:v>publication_date</x:v>
      </x:c>
      <x:c r="C1624" s="59" t="str">
        <x:v>UNKNOWN — nie ustalono</x:v>
      </x:c>
    </x:row>
    <x:row r="1625" ht="30" customHeight="1">
      <x:c r="A1625" s="59" t="str">
        <x:v>GDOS_GIS</x:v>
      </x:c>
      <x:c r="B1625" s="59" t="str">
        <x:v>source_version</x:v>
      </x:c>
      <x:c r="C1625" s="59" t="str">
        <x:v>UNKNOWN — nie ustalono</x:v>
      </x:c>
    </x:row>
    <x:row r="1626" ht="30" customHeight="1">
      <x:c r="A1626" s="59" t="str">
        <x:v>GDOS_GIS</x:v>
      </x:c>
      <x:c r="B1626" s="59" t="str">
        <x:v>source_page</x:v>
      </x:c>
      <x:c r="C1626" s="59" t="str">
        <x:v>UNKNOWN — nie ustalono</x:v>
      </x:c>
    </x:row>
    <x:row r="1627" ht="30" customHeight="1">
      <x:c r="A1627" s="59" t="str">
        <x:v>GDOS_GIS</x:v>
      </x:c>
      <x:c r="B1627" s="59" t="str">
        <x:v>valid_from</x:v>
      </x:c>
      <x:c r="C1627" s="59" t="str">
        <x:v>UNKNOWN — nie ustalono</x:v>
      </x:c>
    </x:row>
    <x:row r="1628" ht="30" customHeight="1">
      <x:c r="A1628" s="59" t="str">
        <x:v>GDOS_GIS</x:v>
      </x:c>
      <x:c r="B1628" s="59" t="str">
        <x:v>valid_to</x:v>
      </x:c>
      <x:c r="C1628" s="59" t="str">
        <x:v>UNKNOWN — nie ustalono</x:v>
      </x:c>
    </x:row>
    <x:row r="1629" ht="30" customHeight="1">
      <x:c r="A1629" s="59" t="str">
        <x:v>GDOS_GIS</x:v>
      </x:c>
      <x:c r="B1629" s="59" t="str">
        <x:v>current_future_scope</x:v>
      </x:c>
      <x:c r="C1629" s="59" t="str">
        <x:v>SOURCE_DEPENDENT</x:v>
      </x:c>
    </x:row>
    <x:row r="1630" ht="30" customHeight="1">
      <x:c r="A1630" s="59" t="str">
        <x:v>GDOS_GIS</x:v>
      </x:c>
      <x:c r="B1630" s="59" t="str">
        <x:v>value_classification_default</x:v>
      </x:c>
      <x:c r="C1630" s="59" t="str">
        <x:v>REPORTED</x:v>
      </x:c>
    </x:row>
    <x:row r="1631" ht="38" customHeight="1">
      <x:c r="A1631" s="59" t="str">
        <x:v>GDOS_GIS</x:v>
      </x:c>
      <x:c r="B1631" s="59" t="str">
        <x:v>automation_notes</x:v>
      </x:c>
      <x:c r="C1631" s="59" t="str">
        <x:v>Jednorazowy przegląd; brak zgody na stały scraper wynikającej z samego dostępu. Sprawdzić warunki, robots.txt i limity przed wdrożeniem.</x:v>
      </x:c>
    </x:row>
    <x:row r="1632" ht="30" customHeight="1">
      <x:c r="A1632" s="59" t="str">
        <x:v>GDOS_GIS</x:v>
      </x:c>
      <x:c r="B1632" s="59" t="str">
        <x:v>probe_ids</x:v>
      </x:c>
      <x:c r="C1632" s="59" t="str">
        <x:v>[ "GDOS_CAPABILITIES" ]</x:v>
      </x:c>
    </x:row>
    <x:row r="1633" ht="30" customHeight="1">
      <x:c r="A1633" s="59" t="str">
        <x:v>GDOS_GIS</x:v>
      </x:c>
      <x:c r="B1633" s="59" t="str">
        <x:v>related_urls</x:v>
      </x:c>
      <x:c r="C1633" s="59" t="str">
        <x:v>[ "https://www.gov.pl/web/gdos/dostep-do-danych-geoprzestrzennych", "https://sdi.gdos.gov.pl/wms" ]</x:v>
      </x:c>
    </x:row>
    <x:row r="1634" ht="30" customHeight="1">
      <x:c r="A1634" s="59" t="str">
        <x:v>GDOS_GIS</x:v>
      </x:c>
      <x:c r="B1634" s="59" t="str">
        <x:v>source_id</x:v>
      </x:c>
      <x:c r="C1634" s="59" t="str">
        <x:v>GDOS_GIS</x:v>
      </x:c>
    </x:row>
    <x:row r="1635" ht="30" customHeight="1">
      <x:c r="A1635" s="59" t="str">
        <x:v>GDOS_GIS</x:v>
      </x:c>
      <x:c r="B1635" s="59" t="str">
        <x:v>operator</x:v>
      </x:c>
      <x:c r="C1635" s="59" t="str">
        <x:v>UNKNOWN — nie ustalono</x:v>
      </x:c>
    </x:row>
    <x:row r="1636" ht="30" customHeight="1">
      <x:c r="A1636" s="59" t="str">
        <x:v>GDOS_GIS</x:v>
      </x:c>
      <x:c r="B1636" s="59" t="str">
        <x:v>source_name</x:v>
      </x:c>
      <x:c r="C1636" s="59" t="str">
        <x:v>GDOŚ — WFS form ochrony przyrody</x:v>
      </x:c>
    </x:row>
    <x:row r="1637" ht="30" customHeight="1">
      <x:c r="A1637" s="59" t="str">
        <x:v>GDOS_GIS</x:v>
      </x:c>
      <x:c r="B1637" s="59" t="str">
        <x:v>url</x:v>
      </x:c>
      <x:c r="C1637" s="59" t="str">
        <x:v>https://sdi.gdos.gov.pl/wfs?SERVICE=WFS&amp;REQUEST=GetCapabilities</x:v>
      </x:c>
    </x:row>
    <x:row r="1638" ht="30" customHeight="1">
      <x:c r="A1638" s="59" t="str">
        <x:v>GDOS_GIS</x:v>
      </x:c>
      <x:c r="B1638" s="59" t="str">
        <x:v>data_owner</x:v>
      </x:c>
      <x:c r="C1638" s="59" t="str">
        <x:v>Generalna Dyrekcja Ochrony Środowiska</x:v>
      </x:c>
    </x:row>
    <x:row r="1639" ht="30" customHeight="1">
      <x:c r="A1639" s="59" t="str">
        <x:v>GDOS_GIS</x:v>
      </x:c>
      <x:c r="B1639" s="59" t="str">
        <x:v>data_category</x:v>
      </x:c>
      <x:c r="C1639" s="59" t="str">
        <x:v>protected_areas_natura2000</x:v>
      </x:c>
    </x:row>
    <x:row r="1640" ht="30" customHeight="1">
      <x:c r="A1640" s="59" t="str">
        <x:v>GDOS_GIS</x:v>
      </x:c>
      <x:c r="B1640" s="59" t="str">
        <x:v>data_format</x:v>
      </x:c>
      <x:c r="C1640" s="59" t="str">
        <x:v>[ "WFS", "WMS", "XML" ]</x:v>
      </x:c>
    </x:row>
    <x:row r="1641" ht="30" customHeight="1">
      <x:c r="A1641" s="59" t="str">
        <x:v>GDOS_GIS</x:v>
      </x:c>
      <x:c r="B1641" s="59" t="str">
        <x:v>verification_status</x:v>
      </x:c>
      <x:c r="C1641" s="59" t="str">
        <x:v>SAMPLE_VERIFIED</x:v>
      </x:c>
    </x:row>
    <x:row r="1642" ht="30" customHeight="1">
      <x:c r="A1642" s="59" t="str">
        <x:v>GDOS_GIS</x:v>
      </x:c>
      <x:c r="B1642" s="59" t="str">
        <x:v>reliability</x:v>
      </x:c>
      <x:c r="C1642" s="59" t="str">
        <x:v>C</x:v>
      </x:c>
    </x:row>
    <x:row r="1643" ht="30" customHeight="1">
      <x:c r="A1643" s="59" t="str">
        <x:v>GDOS_GIS</x:v>
      </x:c>
      <x:c r="B1643" s="59" t="str">
        <x:v>key_fields</x:v>
      </x:c>
      <x:c r="C1643" s="59" t="str">
        <x:v>[ "typy warstw", "CRS", "operacje" ]</x:v>
      </x:c>
    </x:row>
    <x:row r="1644" ht="30" customHeight="1">
      <x:c r="A1644" s="59" t="str">
        <x:v>GDOS_GIS</x:v>
      </x:c>
      <x:c r="B1644" s="59" t="str">
        <x:v>potential_application</x:v>
      </x:c>
      <x:c r="C1644" s="59" t="str">
        <x:v>Przecięcia kandydackich tras z obszarami ochrony.</x:v>
      </x:c>
    </x:row>
    <x:row r="1645" ht="30" customHeight="1">
      <x:c r="A1645" s="59" t="str">
        <x:v>GDOS_GIS</x:v>
      </x:c>
      <x:c r="B1645" s="59" t="str">
        <x:v>known_limitations</x:v>
      </x:c>
      <x:c r="C1645" s="59" t="str">
        <x:v>[ "Sprawdzono capabilities, nie wszystkie geometrie; akty ustanawiające ochronę są rozstrzygające." ]</x:v>
      </x:c>
    </x:row>
    <x:row r="1646" ht="30" customHeight="1">
      <x:c r="A1646" s="59" t="str">
        <x:v>GDOS_GIS</x:v>
      </x:c>
      <x:c r="B1646" s="59" t="str">
        <x:v>priority</x:v>
      </x:c>
      <x:c r="C1646" s="59" t="str">
        <x:v>P1</x:v>
      </x:c>
    </x:row>
    <x:row r="1647" ht="66" customHeight="1">
      <x:c r="A1647" s="59" t="str">
        <x:v>GDOS_GIS</x:v>
      </x:c>
      <x:c r="B1647" s="59" t="str">
        <x:v>evidence</x:v>
      </x:c>
      <x:c r="C1647" s="59" t="str">
        <x:v>[ { "source_id": "GDOS_CAPABILITIES", "url": "https://sdi.gdos.gov.pl/wfs?SERVICE=WFS&amp;REQUEST=GetCapabilities", "retrieval_date": "2026-09-10T11:18:13.4573839Z", "http_status": 200, "content_type": "application/xml", "bytes": 85917, "sha256": "3fc2a3b52d3a08d2ded4bffcd6f33296058772daa79f9a30442330cbb83002d0", "local_path": "data/raw/research/2026-09-10/gdos_capabilities.xml", "error": null, "manifest": "data/catalog/probe_results_20260910T111813793Z.json" } ]</x:v>
      </x:c>
    </x:row>
    <x:row r="1648" ht="30" customHeight="1">
      <x:c r="A1648" s="59" t="str">
        <x:v>GDOS_GIS</x:v>
      </x:c>
      <x:c r="B1648" s="59" t="str">
        <x:v>retrieval_date</x:v>
      </x:c>
      <x:c r="C1648" s="59" t="str">
        <x:v>[ "2026-09-10T11:18:13.4573839Z" ]</x:v>
      </x:c>
    </x:row>
    <x:row r="1649" ht="30" customHeight="1">
      <x:c r="A1649" s="59" t="str">
        <x:v>WODY_SIGW</x:v>
      </x:c>
      <x:c r="B1649" s="59" t="str">
        <x:v>country</x:v>
      </x:c>
      <x:c r="C1649" s="59" t="str">
        <x:v>PL</x:v>
      </x:c>
    </x:row>
    <x:row r="1650" ht="30" customHeight="1">
      <x:c r="A1650" s="59" t="str">
        <x:v>WODY_SIGW</x:v>
      </x:c>
      <x:c r="B1650" s="59" t="str">
        <x:v>geographical_scope</x:v>
      </x:c>
      <x:c r="C1650" s="59" t="str">
        <x:v>Zakres publikacji danego operatora/instytucji; nie założono pełnego pokrycia kraju.</x:v>
      </x:c>
    </x:row>
    <x:row r="1651" ht="30" customHeight="1">
      <x:c r="A1651" s="59" t="str">
        <x:v>WODY_SIGW</x:v>
      </x:c>
      <x:c r="B1651" s="59" t="str">
        <x:v>grid_voltage</x:v>
      </x:c>
      <x:c r="C1651" s="59" t="str">
        <x:v>[ "UNKNOWN_OR_NOT_APPLICABLE" ]</x:v>
      </x:c>
    </x:row>
    <x:row r="1652" ht="30" customHeight="1">
      <x:c r="A1652" s="59" t="str">
        <x:v>WODY_SIGW</x:v>
      </x:c>
      <x:c r="B1652" s="59" t="str">
        <x:v>api_available</x:v>
      </x:c>
      <x:c r="C1652" s="59" t="str">
        <x:v>UNKNOWN</x:v>
      </x:c>
    </x:row>
    <x:row r="1653" ht="30" customHeight="1">
      <x:c r="A1653" s="59" t="str">
        <x:v>WODY_SIGW</x:v>
      </x:c>
      <x:c r="B1653" s="59" t="str">
        <x:v>gis_available</x:v>
      </x:c>
      <x:c r="C1653" s="59" t="str">
        <x:v>DOCUMENTED_NOT_TESTED</x:v>
      </x:c>
    </x:row>
    <x:row r="1654" ht="30" customHeight="1">
      <x:c r="A1654" s="59" t="str">
        <x:v>WODY_SIGW</x:v>
      </x:c>
      <x:c r="B1654" s="59" t="str">
        <x:v>update_frequency</x:v>
      </x:c>
      <x:c r="C1654" s="59" t="str">
        <x:v>UNKNOWN — nie ustalono gwarantowanego cyklu publikacji.</x:v>
      </x:c>
    </x:row>
    <x:row r="1655" ht="30" customHeight="1">
      <x:c r="A1655" s="59" t="str">
        <x:v>WODY_SIGW</x:v>
      </x:c>
      <x:c r="B1655" s="59" t="str">
        <x:v>historical_data</x:v>
      </x:c>
      <x:c r="C1655" s="59" t="str">
        <x:v>UNKNOWN — własne snapshoty od 10.09.2026, jeśli zapisano próbkę.</x:v>
      </x:c>
    </x:row>
    <x:row r="1656" ht="30" customHeight="1">
      <x:c r="A1656" s="59" t="str">
        <x:v>WODY_SIGW</x:v>
      </x:c>
      <x:c r="B1656" s="59" t="str">
        <x:v>authentication</x:v>
      </x:c>
      <x:c r="C1656" s="59" t="str">
        <x:v>Odczyt publicznej strony bez konta; nie dowodzi dostępu do wszystkich danych.</x:v>
      </x:c>
    </x:row>
    <x:row r="1657" ht="30" customHeight="1">
      <x:c r="A1657" s="59" t="str">
        <x:v>WODY_SIGW</x:v>
      </x:c>
      <x:c r="B1657" s="59" t="str">
        <x:v>license</x:v>
      </x:c>
      <x:c r="C1657" s="59" t="str">
        <x:v>Zasady zależą od danych i sposobu udostępnienia; do sprawdzenia dla wybranej warstwy.</x:v>
      </x:c>
    </x:row>
    <x:row r="1658" ht="30" customHeight="1">
      <x:c r="A1658" s="59" t="str">
        <x:v>WODY_SIGW</x:v>
      </x:c>
      <x:c r="B1658" s="59" t="str">
        <x:v>license_url</x:v>
      </x:c>
      <x:c r="C1658" s="59" t="str">
        <x:v>UNKNOWN — nie ustalono</x:v>
      </x:c>
    </x:row>
    <x:row r="1659" ht="30" customHeight="1">
      <x:c r="A1659" s="59" t="str">
        <x:v>WODY_SIGW</x:v>
      </x:c>
      <x:c r="B1659" s="59" t="str">
        <x:v>commercial_use</x:v>
      </x:c>
      <x:c r="C1659" s="59" t="str">
        <x:v>PRODUCT_SPECIFIC</x:v>
      </x:c>
    </x:row>
    <x:row r="1660" ht="30" customHeight="1">
      <x:c r="A1660" s="59" t="str">
        <x:v>WODY_SIGW</x:v>
      </x:c>
      <x:c r="B1660" s="59" t="str">
        <x:v>machine_readable</x:v>
      </x:c>
      <x:c r="C1660" s="59" t="str">
        <x:v>UNKNOWN</x:v>
      </x:c>
    </x:row>
    <x:row r="1661" ht="30" customHeight="1">
      <x:c r="A1661" s="59" t="str">
        <x:v>WODY_SIGW</x:v>
      </x:c>
      <x:c r="B1661" s="59" t="str">
        <x:v>scraping_required</x:v>
      </x:c>
      <x:c r="C1661" s="59" t="str">
        <x:v>UNKNOWN — przed scraperem preferować oficjalny plik lub API.</x:v>
      </x:c>
    </x:row>
    <x:row r="1662" ht="30" customHeight="1">
      <x:c r="A1662" s="59" t="str">
        <x:v>WODY_SIGW</x:v>
      </x:c>
      <x:c r="B1662" s="59" t="str">
        <x:v>data_quality_score</x:v>
      </x:c>
      <x:c r="C1662" s="59" t="str">
        <x:v>UNKNOWN — nie ustalono</x:v>
      </x:c>
    </x:row>
    <x:row r="1663" ht="30" customHeight="1">
      <x:c r="A1663" s="59" t="str">
        <x:v>WODY_SIGW</x:v>
      </x:c>
      <x:c r="B1663" s="59" t="str">
        <x:v>quality_score_status</x:v>
      </x:c>
      <x:c r="C1663" s="59" t="str">
        <x:v>NOT_CALIBRATED — autorytet źródła nie jest procentem kompletności lub trafności.</x:v>
      </x:c>
    </x:row>
    <x:row r="1664" ht="30" customHeight="1">
      <x:c r="A1664" s="59" t="str">
        <x:v>WODY_SIGW</x:v>
      </x:c>
      <x:c r="B1664" s="59" t="str">
        <x:v>last_verified</x:v>
      </x:c>
      <x:c r="C1664" s="60" t="n">
        <x:v>46275</x:v>
      </x:c>
    </x:row>
    <x:row r="1665" ht="30" customHeight="1">
      <x:c r="A1665" s="59" t="str">
        <x:v>WODY_SIGW</x:v>
      </x:c>
      <x:c r="B1665" s="59" t="str">
        <x:v>last_successful_verification</x:v>
      </x:c>
      <x:c r="C1665" s="60" t="n">
        <x:v>46275</x:v>
      </x:c>
    </x:row>
    <x:row r="1666" ht="30" customHeight="1">
      <x:c r="A1666" s="59" t="str">
        <x:v>WODY_SIGW</x:v>
      </x:c>
      <x:c r="B1666" s="59" t="str">
        <x:v>source_date</x:v>
      </x:c>
      <x:c r="C1666" s="59" t="str">
        <x:v>UNKNOWN — nie ustalono</x:v>
      </x:c>
    </x:row>
    <x:row r="1667" ht="30" customHeight="1">
      <x:c r="A1667" s="59" t="str">
        <x:v>WODY_SIGW</x:v>
      </x:c>
      <x:c r="B1667" s="59" t="str">
        <x:v>publication_date</x:v>
      </x:c>
      <x:c r="C1667" s="59" t="str">
        <x:v>UNKNOWN — nie ustalono</x:v>
      </x:c>
    </x:row>
    <x:row r="1668" ht="30" customHeight="1">
      <x:c r="A1668" s="59" t="str">
        <x:v>WODY_SIGW</x:v>
      </x:c>
      <x:c r="B1668" s="59" t="str">
        <x:v>source_version</x:v>
      </x:c>
      <x:c r="C1668" s="59" t="str">
        <x:v>UNKNOWN — nie ustalono</x:v>
      </x:c>
    </x:row>
    <x:row r="1669" ht="30" customHeight="1">
      <x:c r="A1669" s="59" t="str">
        <x:v>WODY_SIGW</x:v>
      </x:c>
      <x:c r="B1669" s="59" t="str">
        <x:v>source_page</x:v>
      </x:c>
      <x:c r="C1669" s="59" t="str">
        <x:v>UNKNOWN — nie ustalono</x:v>
      </x:c>
    </x:row>
    <x:row r="1670" ht="30" customHeight="1">
      <x:c r="A1670" s="59" t="str">
        <x:v>WODY_SIGW</x:v>
      </x:c>
      <x:c r="B1670" s="59" t="str">
        <x:v>valid_from</x:v>
      </x:c>
      <x:c r="C1670" s="59" t="str">
        <x:v>UNKNOWN — nie ustalono</x:v>
      </x:c>
    </x:row>
    <x:row r="1671" ht="30" customHeight="1">
      <x:c r="A1671" s="59" t="str">
        <x:v>WODY_SIGW</x:v>
      </x:c>
      <x:c r="B1671" s="59" t="str">
        <x:v>valid_to</x:v>
      </x:c>
      <x:c r="C1671" s="59" t="str">
        <x:v>UNKNOWN — nie ustalono</x:v>
      </x:c>
    </x:row>
    <x:row r="1672" ht="30" customHeight="1">
      <x:c r="A1672" s="59" t="str">
        <x:v>WODY_SIGW</x:v>
      </x:c>
      <x:c r="B1672" s="59" t="str">
        <x:v>current_future_scope</x:v>
      </x:c>
      <x:c r="C1672" s="59" t="str">
        <x:v>SOURCE_DEPENDENT</x:v>
      </x:c>
    </x:row>
    <x:row r="1673" ht="30" customHeight="1">
      <x:c r="A1673" s="59" t="str">
        <x:v>WODY_SIGW</x:v>
      </x:c>
      <x:c r="B1673" s="59" t="str">
        <x:v>value_classification_default</x:v>
      </x:c>
      <x:c r="C1673" s="59" t="str">
        <x:v>REPORTED</x:v>
      </x:c>
    </x:row>
    <x:row r="1674" ht="38" customHeight="1">
      <x:c r="A1674" s="59" t="str">
        <x:v>WODY_SIGW</x:v>
      </x:c>
      <x:c r="B1674" s="59" t="str">
        <x:v>automation_notes</x:v>
      </x:c>
      <x:c r="C1674" s="59" t="str">
        <x:v>Jednorazowy przegląd; brak zgody na stały scraper wynikającej z samego dostępu. Sprawdzić warunki, robots.txt i limity przed wdrożeniem.</x:v>
      </x:c>
    </x:row>
    <x:row r="1675" ht="30" customHeight="1">
      <x:c r="A1675" s="59" t="str">
        <x:v>WODY_SIGW</x:v>
      </x:c>
      <x:c r="B1675" s="59" t="str">
        <x:v>probe_ids</x:v>
      </x:c>
      <x:c r="C1675" s="59" t="str">
        <x:v>[]</x:v>
      </x:c>
    </x:row>
    <x:row r="1676" ht="30" customHeight="1">
      <x:c r="A1676" s="59" t="str">
        <x:v>WODY_SIGW</x:v>
      </x:c>
      <x:c r="B1676" s="59" t="str">
        <x:v>related_urls</x:v>
      </x:c>
      <x:c r="C1676" s="59" t="str">
        <x:v>[]</x:v>
      </x:c>
    </x:row>
    <x:row r="1677" ht="30" customHeight="1">
      <x:c r="A1677" s="59" t="str">
        <x:v>WODY_SIGW</x:v>
      </x:c>
      <x:c r="B1677" s="59" t="str">
        <x:v>source_id</x:v>
      </x:c>
      <x:c r="C1677" s="59" t="str">
        <x:v>WODY_SIGW</x:v>
      </x:c>
    </x:row>
    <x:row r="1678" ht="30" customHeight="1">
      <x:c r="A1678" s="59" t="str">
        <x:v>WODY_SIGW</x:v>
      </x:c>
      <x:c r="B1678" s="59" t="str">
        <x:v>operator</x:v>
      </x:c>
      <x:c r="C1678" s="59" t="str">
        <x:v>UNKNOWN — nie ustalono</x:v>
      </x:c>
    </x:row>
    <x:row r="1679" ht="30" customHeight="1">
      <x:c r="A1679" s="59" t="str">
        <x:v>WODY_SIGW</x:v>
      </x:c>
      <x:c r="B1679" s="59" t="str">
        <x:v>source_name</x:v>
      </x:c>
      <x:c r="C1679" s="59" t="str">
        <x:v>SIGW — udostępnianie danych Wód Polskich</x:v>
      </x:c>
    </x:row>
    <x:row r="1680" ht="30" customHeight="1">
      <x:c r="A1680" s="59" t="str">
        <x:v>WODY_SIGW</x:v>
      </x:c>
      <x:c r="B1680" s="59" t="str">
        <x:v>url</x:v>
      </x:c>
      <x:c r="C1680" s="59" t="str">
        <x:v>https://www.gov.pl/web/wody-polskie/udostepnianie-danych-z-systemu-informacyjnego-gospodarowania-wodami</x:v>
      </x:c>
    </x:row>
    <x:row r="1681" ht="30" customHeight="1">
      <x:c r="A1681" s="59" t="str">
        <x:v>WODY_SIGW</x:v>
      </x:c>
      <x:c r="B1681" s="59" t="str">
        <x:v>data_owner</x:v>
      </x:c>
      <x:c r="C1681" s="59" t="str">
        <x:v>Państwowe Gospodarstwo Wodne Wody Polskie</x:v>
      </x:c>
    </x:row>
    <x:row r="1682" ht="30" customHeight="1">
      <x:c r="A1682" s="59" t="str">
        <x:v>WODY_SIGW</x:v>
      </x:c>
      <x:c r="B1682" s="59" t="str">
        <x:v>data_category</x:v>
      </x:c>
      <x:c r="C1682" s="59" t="str">
        <x:v>flood_and_water_constraints</x:v>
      </x:c>
    </x:row>
    <x:row r="1683" ht="30" customHeight="1">
      <x:c r="A1683" s="59" t="str">
        <x:v>WODY_SIGW</x:v>
      </x:c>
      <x:c r="B1683" s="59" t="str">
        <x:v>data_format</x:v>
      </x:c>
      <x:c r="C1683" s="59" t="str">
        <x:v>[ "WMS", "downloads_on_request" ]</x:v>
      </x:c>
    </x:row>
    <x:row r="1684" ht="30" customHeight="1">
      <x:c r="A1684" s="59" t="str">
        <x:v>WODY_SIGW</x:v>
      </x:c>
      <x:c r="B1684" s="59" t="str">
        <x:v>verification_status</x:v>
      </x:c>
      <x:c r="C1684" s="59" t="str">
        <x:v>DOCUMENTATION_REVIEWED</x:v>
      </x:c>
    </x:row>
    <x:row r="1685" ht="30" customHeight="1">
      <x:c r="A1685" s="59" t="str">
        <x:v>WODY_SIGW</x:v>
      </x:c>
      <x:c r="B1685" s="59" t="str">
        <x:v>reliability</x:v>
      </x:c>
      <x:c r="C1685" s="59" t="str">
        <x:v>C</x:v>
      </x:c>
    </x:row>
    <x:row r="1686" ht="30" customHeight="1">
      <x:c r="A1686" s="59" t="str">
        <x:v>WODY_SIGW</x:v>
      </x:c>
      <x:c r="B1686" s="59" t="str">
        <x:v>key_fields</x:v>
      </x:c>
      <x:c r="C1686" s="59" t="str">
        <x:v>[ "zagrożenie", "zasięg", "produkt", "scenariusz" ]</x:v>
      </x:c>
    </x:row>
    <x:row r="1687" ht="30" customHeight="1">
      <x:c r="A1687" s="59" t="str">
        <x:v>WODY_SIGW</x:v>
      </x:c>
      <x:c r="B1687" s="59" t="str">
        <x:v>potential_application</x:v>
      </x:c>
      <x:c r="C1687" s="59" t="str">
        <x:v>Ograniczenia powodziowe i wodne.</x:v>
      </x:c>
    </x:row>
    <x:row r="1688" ht="30" customHeight="1">
      <x:c r="A1688" s="59" t="str">
        <x:v>WODY_SIGW</x:v>
      </x:c>
      <x:c r="B1688" s="59" t="str">
        <x:v>known_limitations</x:v>
      </x:c>
      <x:c r="C1688" s="59" t="str">
        <x:v>[ "Przeglądanie nie równa się dowolnemu pobraniu; możliwe opłaty i tryb wnioskowy zależnie od produktu." ]</x:v>
      </x:c>
    </x:row>
    <x:row r="1689" ht="30" customHeight="1">
      <x:c r="A1689" s="59" t="str">
        <x:v>WODY_SIGW</x:v>
      </x:c>
      <x:c r="B1689" s="59" t="str">
        <x:v>priority</x:v>
      </x:c>
      <x:c r="C1689" s="59" t="str">
        <x:v>P2</x:v>
      </x:c>
    </x:row>
    <x:row r="1690" ht="30" customHeight="1">
      <x:c r="A1690" s="59" t="str">
        <x:v>WODY_SIGW</x:v>
      </x:c>
      <x:c r="B1690" s="59" t="str">
        <x:v>evidence</x:v>
      </x:c>
      <x:c r="C1690" s="59" t="str">
        <x:v>[]</x:v>
      </x:c>
    </x:row>
    <x:row r="1691" ht="30" customHeight="1">
      <x:c r="A1691" s="59" t="str">
        <x:v>WODY_SIGW</x:v>
      </x:c>
      <x:c r="B1691" s="59" t="str">
        <x:v>retrieval_date</x:v>
      </x:c>
      <x:c r="C1691" s="59" t="str">
        <x:v>[]</x:v>
      </x:c>
    </x:row>
    <x:row r="1692" ht="30" customHeight="1">
      <x:c r="A1692" s="59" t="str">
        <x:v>BDL_GIS</x:v>
      </x:c>
      <x:c r="B1692" s="59" t="str">
        <x:v>country</x:v>
      </x:c>
      <x:c r="C1692" s="59" t="str">
        <x:v>PL</x:v>
      </x:c>
    </x:row>
    <x:row r="1693" ht="30" customHeight="1">
      <x:c r="A1693" s="59" t="str">
        <x:v>BDL_GIS</x:v>
      </x:c>
      <x:c r="B1693" s="59" t="str">
        <x:v>geographical_scope</x:v>
      </x:c>
      <x:c r="C1693" s="59" t="str">
        <x:v>Zakres publikacji danego operatora/instytucji; nie założono pełnego pokrycia kraju.</x:v>
      </x:c>
    </x:row>
    <x:row r="1694" ht="30" customHeight="1">
      <x:c r="A1694" s="59" t="str">
        <x:v>BDL_GIS</x:v>
      </x:c>
      <x:c r="B1694" s="59" t="str">
        <x:v>grid_voltage</x:v>
      </x:c>
      <x:c r="C1694" s="59" t="str">
        <x:v>[ "UNKNOWN_OR_NOT_APPLICABLE" ]</x:v>
      </x:c>
    </x:row>
    <x:row r="1695" ht="30" customHeight="1">
      <x:c r="A1695" s="59" t="str">
        <x:v>BDL_GIS</x:v>
      </x:c>
      <x:c r="B1695" s="59" t="str">
        <x:v>api_available</x:v>
      </x:c>
      <x:c r="C1695" s="59" t="str">
        <x:v>DOCUMENTED_NOT_TESTED</x:v>
      </x:c>
    </x:row>
    <x:row r="1696" ht="30" customHeight="1">
      <x:c r="A1696" s="59" t="str">
        <x:v>BDL_GIS</x:v>
      </x:c>
      <x:c r="B1696" s="59" t="str">
        <x:v>gis_available</x:v>
      </x:c>
      <x:c r="C1696" s="59" t="str">
        <x:v>DOCUMENTED_NOT_TESTED</x:v>
      </x:c>
    </x:row>
    <x:row r="1697" ht="30" customHeight="1">
      <x:c r="A1697" s="59" t="str">
        <x:v>BDL_GIS</x:v>
      </x:c>
      <x:c r="B1697" s="59" t="str">
        <x:v>update_frequency</x:v>
      </x:c>
      <x:c r="C1697" s="59" t="str">
        <x:v>UNKNOWN — nie ustalono gwarantowanego cyklu publikacji.</x:v>
      </x:c>
    </x:row>
    <x:row r="1698" ht="30" customHeight="1">
      <x:c r="A1698" s="59" t="str">
        <x:v>BDL_GIS</x:v>
      </x:c>
      <x:c r="B1698" s="59" t="str">
        <x:v>historical_data</x:v>
      </x:c>
      <x:c r="C1698" s="59" t="str">
        <x:v>UNKNOWN — własne snapshoty od 10.09.2026, jeśli zapisano próbkę.</x:v>
      </x:c>
    </x:row>
    <x:row r="1699" ht="30" customHeight="1">
      <x:c r="A1699" s="59" t="str">
        <x:v>BDL_GIS</x:v>
      </x:c>
      <x:c r="B1699" s="59" t="str">
        <x:v>authentication</x:v>
      </x:c>
      <x:c r="C1699" s="59" t="str">
        <x:v>Odczyt publicznej strony bez konta; nie dowodzi dostępu do wszystkich danych.</x:v>
      </x:c>
    </x:row>
    <x:row r="1700" ht="30" customHeight="1">
      <x:c r="A1700" s="59" t="str">
        <x:v>BDL_GIS</x:v>
      </x:c>
      <x:c r="B1700" s="59" t="str">
        <x:v>license</x:v>
      </x:c>
      <x:c r="C1700" s="59" t="str">
        <x:v>UNKNOWN — nie potwierdzono otwartej licencji wybranego zbioru.</x:v>
      </x:c>
    </x:row>
    <x:row r="1701" ht="30" customHeight="1">
      <x:c r="A1701" s="59" t="str">
        <x:v>BDL_GIS</x:v>
      </x:c>
      <x:c r="B1701" s="59" t="str">
        <x:v>license_url</x:v>
      </x:c>
      <x:c r="C1701" s="59" t="str">
        <x:v>UNKNOWN — nie ustalono</x:v>
      </x:c>
    </x:row>
    <x:row r="1702" ht="30" customHeight="1">
      <x:c r="A1702" s="59" t="str">
        <x:v>BDL_GIS</x:v>
      </x:c>
      <x:c r="B1702" s="59" t="str">
        <x:v>commercial_use</x:v>
      </x:c>
      <x:c r="C1702" s="59" t="str">
        <x:v>UNKNOWN</x:v>
      </x:c>
    </x:row>
    <x:row r="1703" ht="30" customHeight="1">
      <x:c r="A1703" s="59" t="str">
        <x:v>BDL_GIS</x:v>
      </x:c>
      <x:c r="B1703" s="59" t="str">
        <x:v>machine_readable</x:v>
      </x:c>
      <x:c r="C1703" s="59" t="str">
        <x:v>UNKNOWN</x:v>
      </x:c>
    </x:row>
    <x:row r="1704" ht="30" customHeight="1">
      <x:c r="A1704" s="59" t="str">
        <x:v>BDL_GIS</x:v>
      </x:c>
      <x:c r="B1704" s="59" t="str">
        <x:v>scraping_required</x:v>
      </x:c>
      <x:c r="C1704" s="59" t="str">
        <x:v>UNKNOWN — przed scraperem preferować oficjalny plik lub API.</x:v>
      </x:c>
    </x:row>
    <x:row r="1705" ht="30" customHeight="1">
      <x:c r="A1705" s="59" t="str">
        <x:v>BDL_GIS</x:v>
      </x:c>
      <x:c r="B1705" s="59" t="str">
        <x:v>data_quality_score</x:v>
      </x:c>
      <x:c r="C1705" s="59" t="str">
        <x:v>UNKNOWN — nie ustalono</x:v>
      </x:c>
    </x:row>
    <x:row r="1706" ht="30" customHeight="1">
      <x:c r="A1706" s="59" t="str">
        <x:v>BDL_GIS</x:v>
      </x:c>
      <x:c r="B1706" s="59" t="str">
        <x:v>quality_score_status</x:v>
      </x:c>
      <x:c r="C1706" s="59" t="str">
        <x:v>NOT_CALIBRATED — autorytet źródła nie jest procentem kompletności lub trafności.</x:v>
      </x:c>
    </x:row>
    <x:row r="1707" ht="30" customHeight="1">
      <x:c r="A1707" s="59" t="str">
        <x:v>BDL_GIS</x:v>
      </x:c>
      <x:c r="B1707" s="59" t="str">
        <x:v>last_verified</x:v>
      </x:c>
      <x:c r="C1707" s="60" t="n">
        <x:v>46275</x:v>
      </x:c>
    </x:row>
    <x:row r="1708" ht="30" customHeight="1">
      <x:c r="A1708" s="59" t="str">
        <x:v>BDL_GIS</x:v>
      </x:c>
      <x:c r="B1708" s="59" t="str">
        <x:v>last_successful_verification</x:v>
      </x:c>
      <x:c r="C1708" s="60" t="n">
        <x:v>46275</x:v>
      </x:c>
    </x:row>
    <x:row r="1709" ht="30" customHeight="1">
      <x:c r="A1709" s="59" t="str">
        <x:v>BDL_GIS</x:v>
      </x:c>
      <x:c r="B1709" s="59" t="str">
        <x:v>source_date</x:v>
      </x:c>
      <x:c r="C1709" s="59" t="str">
        <x:v>UNKNOWN — nie ustalono</x:v>
      </x:c>
    </x:row>
    <x:row r="1710" ht="30" customHeight="1">
      <x:c r="A1710" s="59" t="str">
        <x:v>BDL_GIS</x:v>
      </x:c>
      <x:c r="B1710" s="59" t="str">
        <x:v>publication_date</x:v>
      </x:c>
      <x:c r="C1710" s="59" t="str">
        <x:v>UNKNOWN — nie ustalono</x:v>
      </x:c>
    </x:row>
    <x:row r="1711" ht="30" customHeight="1">
      <x:c r="A1711" s="59" t="str">
        <x:v>BDL_GIS</x:v>
      </x:c>
      <x:c r="B1711" s="59" t="str">
        <x:v>source_version</x:v>
      </x:c>
      <x:c r="C1711" s="59" t="str">
        <x:v>UNKNOWN — nie ustalono</x:v>
      </x:c>
    </x:row>
    <x:row r="1712" ht="30" customHeight="1">
      <x:c r="A1712" s="59" t="str">
        <x:v>BDL_GIS</x:v>
      </x:c>
      <x:c r="B1712" s="59" t="str">
        <x:v>source_page</x:v>
      </x:c>
      <x:c r="C1712" s="59" t="str">
        <x:v>UNKNOWN — nie ustalono</x:v>
      </x:c>
    </x:row>
    <x:row r="1713" ht="30" customHeight="1">
      <x:c r="A1713" s="59" t="str">
        <x:v>BDL_GIS</x:v>
      </x:c>
      <x:c r="B1713" s="59" t="str">
        <x:v>valid_from</x:v>
      </x:c>
      <x:c r="C1713" s="59" t="str">
        <x:v>UNKNOWN — nie ustalono</x:v>
      </x:c>
    </x:row>
    <x:row r="1714" ht="30" customHeight="1">
      <x:c r="A1714" s="59" t="str">
        <x:v>BDL_GIS</x:v>
      </x:c>
      <x:c r="B1714" s="59" t="str">
        <x:v>valid_to</x:v>
      </x:c>
      <x:c r="C1714" s="59" t="str">
        <x:v>UNKNOWN — nie ustalono</x:v>
      </x:c>
    </x:row>
    <x:row r="1715" ht="30" customHeight="1">
      <x:c r="A1715" s="59" t="str">
        <x:v>BDL_GIS</x:v>
      </x:c>
      <x:c r="B1715" s="59" t="str">
        <x:v>current_future_scope</x:v>
      </x:c>
      <x:c r="C1715" s="59" t="str">
        <x:v>SOURCE_DEPENDENT</x:v>
      </x:c>
    </x:row>
    <x:row r="1716" ht="30" customHeight="1">
      <x:c r="A1716" s="59" t="str">
        <x:v>BDL_GIS</x:v>
      </x:c>
      <x:c r="B1716" s="59" t="str">
        <x:v>value_classification_default</x:v>
      </x:c>
      <x:c r="C1716" s="59" t="str">
        <x:v>REPORTED</x:v>
      </x:c>
    </x:row>
    <x:row r="1717" ht="38" customHeight="1">
      <x:c r="A1717" s="59" t="str">
        <x:v>BDL_GIS</x:v>
      </x:c>
      <x:c r="B1717" s="59" t="str">
        <x:v>automation_notes</x:v>
      </x:c>
      <x:c r="C1717" s="59" t="str">
        <x:v>Jednorazowy przegląd; brak zgody na stały scraper wynikającej z samego dostępu. Sprawdzić warunki, robots.txt i limity przed wdrożeniem.</x:v>
      </x:c>
    </x:row>
    <x:row r="1718" ht="30" customHeight="1">
      <x:c r="A1718" s="59" t="str">
        <x:v>BDL_GIS</x:v>
      </x:c>
      <x:c r="B1718" s="59" t="str">
        <x:v>probe_ids</x:v>
      </x:c>
      <x:c r="C1718" s="59" t="str">
        <x:v>[]</x:v>
      </x:c>
    </x:row>
    <x:row r="1719" ht="38" customHeight="1">
      <x:c r="A1719" s="59" t="str">
        <x:v>BDL_GIS</x:v>
      </x:c>
      <x:c r="B1719" s="59" t="str">
        <x:v>related_urls</x:v>
      </x:c>
      <x:c r="C1719" s="59" t="str">
        <x:v>[ "https://wfs.bdl.lasy.gov.pl/geoserver/BDL/ows", "https://mapserver.bdl.lasy.gov.pl/arcgis/services/WMS_BDL_mapa_drzewostanow/MapServer/WMSServer" ]</x:v>
      </x:c>
    </x:row>
    <x:row r="1720" ht="30" customHeight="1">
      <x:c r="A1720" s="59" t="str">
        <x:v>BDL_GIS</x:v>
      </x:c>
      <x:c r="B1720" s="59" t="str">
        <x:v>source_id</x:v>
      </x:c>
      <x:c r="C1720" s="59" t="str">
        <x:v>BDL_GIS</x:v>
      </x:c>
    </x:row>
    <x:row r="1721" ht="30" customHeight="1">
      <x:c r="A1721" s="59" t="str">
        <x:v>BDL_GIS</x:v>
      </x:c>
      <x:c r="B1721" s="59" t="str">
        <x:v>operator</x:v>
      </x:c>
      <x:c r="C1721" s="59" t="str">
        <x:v>UNKNOWN — nie ustalono</x:v>
      </x:c>
    </x:row>
    <x:row r="1722" ht="30" customHeight="1">
      <x:c r="A1722" s="59" t="str">
        <x:v>BDL_GIS</x:v>
      </x:c>
      <x:c r="B1722" s="59" t="str">
        <x:v>source_name</x:v>
      </x:c>
      <x:c r="C1722" s="59" t="str">
        <x:v>Bank Danych o Lasach — usługi OGC</x:v>
      </x:c>
    </x:row>
    <x:row r="1723" ht="30" customHeight="1">
      <x:c r="A1723" s="59" t="str">
        <x:v>BDL_GIS</x:v>
      </x:c>
      <x:c r="B1723" s="59" t="str">
        <x:v>url</x:v>
      </x:c>
      <x:c r="C1723" s="59" t="str">
        <x:v>https://www9.bdl.lasy.gov.pl/portal/uslugi-ogc?v=1</x:v>
      </x:c>
    </x:row>
    <x:row r="1724" ht="30" customHeight="1">
      <x:c r="A1724" s="59" t="str">
        <x:v>BDL_GIS</x:v>
      </x:c>
      <x:c r="B1724" s="59" t="str">
        <x:v>data_owner</x:v>
      </x:c>
      <x:c r="C1724" s="59" t="str">
        <x:v>Bank Danych o Lasach / Lasy Państwowe</x:v>
      </x:c>
    </x:row>
    <x:row r="1725" ht="30" customHeight="1">
      <x:c r="A1725" s="59" t="str">
        <x:v>BDL_GIS</x:v>
      </x:c>
      <x:c r="B1725" s="59" t="str">
        <x:v>data_category</x:v>
      </x:c>
      <x:c r="C1725" s="59" t="str">
        <x:v>forest_constraints</x:v>
      </x:c>
    </x:row>
    <x:row r="1726" ht="30" customHeight="1">
      <x:c r="A1726" s="59" t="str">
        <x:v>BDL_GIS</x:v>
      </x:c>
      <x:c r="B1726" s="59" t="str">
        <x:v>data_format</x:v>
      </x:c>
      <x:c r="C1726" s="59" t="str">
        <x:v>[ "WFS", "WMS", "WMTS", "ArcGIS service URLs" ]</x:v>
      </x:c>
    </x:row>
    <x:row r="1727" ht="30" customHeight="1">
      <x:c r="A1727" s="59" t="str">
        <x:v>BDL_GIS</x:v>
      </x:c>
      <x:c r="B1727" s="59" t="str">
        <x:v>verification_status</x:v>
      </x:c>
      <x:c r="C1727" s="59" t="str">
        <x:v>DOCUMENTATION_REVIEWED</x:v>
      </x:c>
    </x:row>
    <x:row r="1728" ht="30" customHeight="1">
      <x:c r="A1728" s="59" t="str">
        <x:v>BDL_GIS</x:v>
      </x:c>
      <x:c r="B1728" s="59" t="str">
        <x:v>reliability</x:v>
      </x:c>
      <x:c r="C1728" s="59" t="str">
        <x:v>C</x:v>
      </x:c>
    </x:row>
    <x:row r="1729" ht="30" customHeight="1">
      <x:c r="A1729" s="59" t="str">
        <x:v>BDL_GIS</x:v>
      </x:c>
      <x:c r="B1729" s="59" t="str">
        <x:v>key_fields</x:v>
      </x:c>
      <x:c r="C1729" s="59" t="str">
        <x:v>[ "wydzielenia", "granice", "atrybuty leśne" ]</x:v>
      </x:c>
    </x:row>
    <x:row r="1730" ht="30" customHeight="1">
      <x:c r="A1730" s="59" t="str">
        <x:v>BDL_GIS</x:v>
      </x:c>
      <x:c r="B1730" s="59" t="str">
        <x:v>potential_application</x:v>
      </x:c>
      <x:c r="C1730" s="59" t="str">
        <x:v>Warstwa ograniczeń leśnych i korytarzy.</x:v>
      </x:c>
    </x:row>
    <x:row r="1731" ht="30" customHeight="1">
      <x:c r="A1731" s="59" t="str">
        <x:v>BDL_GIS</x:v>
      </x:c>
      <x:c r="B1731" s="59" t="str">
        <x:v>known_limitations</x:v>
      </x:c>
      <x:c r="C1731" s="59" t="str">
        <x:v>[ "Nie potwierdzono pobierania masowego ani praw dla wszystkich warstw; nie ustala prawa własności." ]</x:v>
      </x:c>
    </x:row>
    <x:row r="1732" ht="30" customHeight="1">
      <x:c r="A1732" s="59" t="str">
        <x:v>BDL_GIS</x:v>
      </x:c>
      <x:c r="B1732" s="59" t="str">
        <x:v>priority</x:v>
      </x:c>
      <x:c r="C1732" s="59" t="str">
        <x:v>P2</x:v>
      </x:c>
    </x:row>
    <x:row r="1733" ht="30" customHeight="1">
      <x:c r="A1733" s="59" t="str">
        <x:v>BDL_GIS</x:v>
      </x:c>
      <x:c r="B1733" s="59" t="str">
        <x:v>evidence</x:v>
      </x:c>
      <x:c r="C1733" s="59" t="str">
        <x:v>[]</x:v>
      </x:c>
    </x:row>
    <x:row r="1734" ht="30" customHeight="1">
      <x:c r="A1734" s="59" t="str">
        <x:v>BDL_GIS</x:v>
      </x:c>
      <x:c r="B1734" s="59" t="str">
        <x:v>retrieval_date</x:v>
      </x:c>
      <x:c r="C1734" s="59" t="str">
        <x:v>[]</x:v>
      </x:c>
    </x:row>
    <x:row r="1735" ht="30" customHeight="1">
      <x:c r="A1735" s="59" t="str">
        <x:v>ENTSOE_TP</x:v>
      </x:c>
      <x:c r="B1735" s="59" t="str">
        <x:v>country</x:v>
      </x:c>
      <x:c r="C1735" s="59" t="str">
        <x:v>EUROPE</x:v>
      </x:c>
    </x:row>
    <x:row r="1736" ht="30" customHeight="1">
      <x:c r="A1736" s="59" t="str">
        <x:v>ENTSOE_TP</x:v>
      </x:c>
      <x:c r="B1736" s="59" t="str">
        <x:v>geographical_scope</x:v>
      </x:c>
      <x:c r="C1736" s="59" t="str">
        <x:v>Kraje, strefy rynkowe, przekroje; zakres zależny od serii</x:v>
      </x:c>
    </x:row>
    <x:row r="1737" ht="30" customHeight="1">
      <x:c r="A1737" s="59" t="str">
        <x:v>ENTSOE_TP</x:v>
      </x:c>
      <x:c r="B1737" s="59" t="str">
        <x:v>grid_voltage</x:v>
      </x:c>
      <x:c r="C1737" s="59" t="str">
        <x:v>[ "UNKNOWN_OR_NOT_APPLICABLE" ]</x:v>
      </x:c>
    </x:row>
    <x:row r="1738" ht="30" customHeight="1">
      <x:c r="A1738" s="59" t="str">
        <x:v>ENTSOE_TP</x:v>
      </x:c>
      <x:c r="B1738" s="59" t="str">
        <x:v>api_available</x:v>
      </x:c>
      <x:c r="C1738" s="59" t="str">
        <x:v>DOCUMENTED_NOT_TESTED</x:v>
      </x:c>
    </x:row>
    <x:row r="1739" ht="30" customHeight="1">
      <x:c r="A1739" s="59" t="str">
        <x:v>ENTSOE_TP</x:v>
      </x:c>
      <x:c r="B1739" s="59" t="str">
        <x:v>gis_available</x:v>
      </x:c>
      <x:c r="C1739" s="59" t="str">
        <x:v>UNKNOWN</x:v>
      </x:c>
    </x:row>
    <x:row r="1740" ht="30" customHeight="1">
      <x:c r="A1740" s="59" t="str">
        <x:v>ENTSOE_TP</x:v>
      </x:c>
      <x:c r="B1740" s="59" t="str">
        <x:v>update_frequency</x:v>
      </x:c>
      <x:c r="C1740" s="59" t="str">
        <x:v>Zależna od produktu i korekt.</x:v>
      </x:c>
    </x:row>
    <x:row r="1741" ht="30" customHeight="1">
      <x:c r="A1741" s="59" t="str">
        <x:v>ENTSOE_TP</x:v>
      </x:c>
      <x:c r="B1741" s="59" t="str">
        <x:v>historical_data</x:v>
      </x:c>
      <x:c r="C1741" s="59" t="str">
        <x:v>YES; zależne od serii.</x:v>
      </x:c>
    </x:row>
    <x:row r="1742" ht="30" customHeight="1">
      <x:c r="A1742" s="59" t="str">
        <x:v>ENTSOE_TP</x:v>
      </x:c>
      <x:c r="B1742" s="59" t="str">
        <x:v>authentication</x:v>
      </x:c>
      <x:c r="C1742" s="59" t="str">
        <x:v>Konto i token; nie użyto tokenu.</x:v>
      </x:c>
    </x:row>
    <x:row r="1743" ht="30" customHeight="1">
      <x:c r="A1743" s="59" t="str">
        <x:v>ENTSOE_TP</x:v>
      </x:c>
      <x:c r="B1743" s="59" t="str">
        <x:v>license</x:v>
      </x:c>
      <x:c r="C1743" s="59" t="str">
        <x:v>Lista danych i wyjątków ponownego wykorzystania; nie cała platforma automatycznie na jednej licencji.</x:v>
      </x:c>
    </x:row>
    <x:row r="1744" ht="30" customHeight="1">
      <x:c r="A1744" s="59" t="str">
        <x:v>ENTSOE_TP</x:v>
      </x:c>
      <x:c r="B1744" s="59" t="str">
        <x:v>license_url</x:v>
      </x:c>
      <x:c r="C1744" s="59" t="str">
        <x:v>https://transparencyplatform.zendesk.com/hc/en-us/articles/40921911218961-Legal-Terms-and-Conditions</x:v>
      </x:c>
    </x:row>
    <x:row r="1745" ht="30" customHeight="1">
      <x:c r="A1745" s="59" t="str">
        <x:v>ENTSOE_TP</x:v>
      </x:c>
      <x:c r="B1745" s="59" t="str">
        <x:v>commercial_use</x:v>
      </x:c>
      <x:c r="C1745" s="59" t="str">
        <x:v>DATASET_SPECIFIC</x:v>
      </x:c>
    </x:row>
    <x:row r="1746" ht="30" customHeight="1">
      <x:c r="A1746" s="59" t="str">
        <x:v>ENTSOE_TP</x:v>
      </x:c>
      <x:c r="B1746" s="59" t="str">
        <x:v>machine_readable</x:v>
      </x:c>
      <x:c r="C1746" s="59" t="str">
        <x:v>UNKNOWN</x:v>
      </x:c>
    </x:row>
    <x:row r="1747" ht="30" customHeight="1">
      <x:c r="A1747" s="59" t="str">
        <x:v>ENTSOE_TP</x:v>
      </x:c>
      <x:c r="B1747" s="59" t="str">
        <x:v>scraping_required</x:v>
      </x:c>
      <x:c r="C1747" s="59" t="str">
        <x:v>UNKNOWN — przed scraperem preferować oficjalny plik lub API.</x:v>
      </x:c>
    </x:row>
    <x:row r="1748" ht="30" customHeight="1">
      <x:c r="A1748" s="59" t="str">
        <x:v>ENTSOE_TP</x:v>
      </x:c>
      <x:c r="B1748" s="59" t="str">
        <x:v>data_quality_score</x:v>
      </x:c>
      <x:c r="C1748" s="59" t="str">
        <x:v>UNKNOWN — nie ustalono</x:v>
      </x:c>
    </x:row>
    <x:row r="1749" ht="30" customHeight="1">
      <x:c r="A1749" s="59" t="str">
        <x:v>ENTSOE_TP</x:v>
      </x:c>
      <x:c r="B1749" s="59" t="str">
        <x:v>quality_score_status</x:v>
      </x:c>
      <x:c r="C1749" s="59" t="str">
        <x:v>NOT_CALIBRATED — autorytet źródła nie jest procentem kompletności lub trafności.</x:v>
      </x:c>
    </x:row>
    <x:row r="1750" ht="30" customHeight="1">
      <x:c r="A1750" s="59" t="str">
        <x:v>ENTSOE_TP</x:v>
      </x:c>
      <x:c r="B1750" s="59" t="str">
        <x:v>last_verified</x:v>
      </x:c>
      <x:c r="C1750" s="60" t="n">
        <x:v>46275</x:v>
      </x:c>
    </x:row>
    <x:row r="1751" ht="30" customHeight="1">
      <x:c r="A1751" s="59" t="str">
        <x:v>ENTSOE_TP</x:v>
      </x:c>
      <x:c r="B1751" s="59" t="str">
        <x:v>last_successful_verification</x:v>
      </x:c>
      <x:c r="C1751" s="60" t="n">
        <x:v>46275</x:v>
      </x:c>
    </x:row>
    <x:row r="1752" ht="30" customHeight="1">
      <x:c r="A1752" s="59" t="str">
        <x:v>ENTSOE_TP</x:v>
      </x:c>
      <x:c r="B1752" s="59" t="str">
        <x:v>source_date</x:v>
      </x:c>
      <x:c r="C1752" s="59" t="str">
        <x:v>UNKNOWN — nie ustalono</x:v>
      </x:c>
    </x:row>
    <x:row r="1753" ht="30" customHeight="1">
      <x:c r="A1753" s="59" t="str">
        <x:v>ENTSOE_TP</x:v>
      </x:c>
      <x:c r="B1753" s="59" t="str">
        <x:v>publication_date</x:v>
      </x:c>
      <x:c r="C1753" s="59" t="str">
        <x:v>UNKNOWN — nie ustalono</x:v>
      </x:c>
    </x:row>
    <x:row r="1754" ht="30" customHeight="1">
      <x:c r="A1754" s="59" t="str">
        <x:v>ENTSOE_TP</x:v>
      </x:c>
      <x:c r="B1754" s="59" t="str">
        <x:v>source_version</x:v>
      </x:c>
      <x:c r="C1754" s="59" t="str">
        <x:v>UNKNOWN — nie ustalono</x:v>
      </x:c>
    </x:row>
    <x:row r="1755" ht="30" customHeight="1">
      <x:c r="A1755" s="59" t="str">
        <x:v>ENTSOE_TP</x:v>
      </x:c>
      <x:c r="B1755" s="59" t="str">
        <x:v>source_page</x:v>
      </x:c>
      <x:c r="C1755" s="59" t="str">
        <x:v>UNKNOWN — nie ustalono</x:v>
      </x:c>
    </x:row>
    <x:row r="1756" ht="30" customHeight="1">
      <x:c r="A1756" s="59" t="str">
        <x:v>ENTSOE_TP</x:v>
      </x:c>
      <x:c r="B1756" s="59" t="str">
        <x:v>valid_from</x:v>
      </x:c>
      <x:c r="C1756" s="59" t="str">
        <x:v>UNKNOWN — nie ustalono</x:v>
      </x:c>
    </x:row>
    <x:row r="1757" ht="30" customHeight="1">
      <x:c r="A1757" s="59" t="str">
        <x:v>ENTSOE_TP</x:v>
      </x:c>
      <x:c r="B1757" s="59" t="str">
        <x:v>valid_to</x:v>
      </x:c>
      <x:c r="C1757" s="59" t="str">
        <x:v>UNKNOWN — nie ustalono</x:v>
      </x:c>
    </x:row>
    <x:row r="1758" ht="30" customHeight="1">
      <x:c r="A1758" s="59" t="str">
        <x:v>ENTSOE_TP</x:v>
      </x:c>
      <x:c r="B1758" s="59" t="str">
        <x:v>current_future_scope</x:v>
      </x:c>
      <x:c r="C1758" s="59" t="str">
        <x:v>SOURCE_DEPENDENT</x:v>
      </x:c>
    </x:row>
    <x:row r="1759" ht="30" customHeight="1">
      <x:c r="A1759" s="59" t="str">
        <x:v>ENTSOE_TP</x:v>
      </x:c>
      <x:c r="B1759" s="59" t="str">
        <x:v>value_classification_default</x:v>
      </x:c>
      <x:c r="C1759" s="59" t="str">
        <x:v>REPORTED</x:v>
      </x:c>
    </x:row>
    <x:row r="1760" ht="30" customHeight="1">
      <x:c r="A1760" s="59" t="str">
        <x:v>ENTSOE_TP</x:v>
      </x:c>
      <x:c r="B1760" s="59" t="str">
        <x:v>automation_notes</x:v>
      </x:c>
      <x:c r="C1760" s="59" t="str">
        <x:v>Dokumentacja 20.04.2026 opisuje 400 żądań/min na token; stosować cache, limity i stronicowanie.</x:v>
      </x:c>
    </x:row>
    <x:row r="1761" ht="30" customHeight="1">
      <x:c r="A1761" s="59" t="str">
        <x:v>ENTSOE_TP</x:v>
      </x:c>
      <x:c r="B1761" s="59" t="str">
        <x:v>probe_ids</x:v>
      </x:c>
      <x:c r="C1761" s="59" t="str">
        <x:v>[]</x:v>
      </x:c>
    </x:row>
    <x:row r="1762" ht="52" customHeight="1">
      <x:c r="A1762" s="59" t="str">
        <x:v>ENTSOE_TP</x:v>
      </x:c>
      <x:c r="B1762" s="59" t="str">
        <x:v>related_urls</x:v>
      </x:c>
      <x:c r="C1762" s="59" t="str">
        <x:v>[ "https://transparencyplatform.zendesk.com/hc/en-us/articles/12845911031188-How-to-get-security-token", "https://transparencyplatform.zendesk.com/hc/en-us/articles/12783148966036-API-Rate-Limit-Part-1", "https://transparencyplatform.zendesk.com/hc/en-us/articles/15692855254548-Sitemap-for-Restful-API-Integration" ]</x:v>
      </x:c>
    </x:row>
    <x:row r="1763" ht="30" customHeight="1">
      <x:c r="A1763" s="59" t="str">
        <x:v>ENTSOE_TP</x:v>
      </x:c>
      <x:c r="B1763" s="59" t="str">
        <x:v>source_id</x:v>
      </x:c>
      <x:c r="C1763" s="59" t="str">
        <x:v>ENTSOE_TP</x:v>
      </x:c>
    </x:row>
    <x:row r="1764" ht="30" customHeight="1">
      <x:c r="A1764" s="59" t="str">
        <x:v>ENTSOE_TP</x:v>
      </x:c>
      <x:c r="B1764" s="59" t="str">
        <x:v>operator</x:v>
      </x:c>
      <x:c r="C1764" s="59" t="str">
        <x:v>ENTSO-E</x:v>
      </x:c>
    </x:row>
    <x:row r="1765" ht="30" customHeight="1">
      <x:c r="A1765" s="59" t="str">
        <x:v>ENTSOE_TP</x:v>
      </x:c>
      <x:c r="B1765" s="59" t="str">
        <x:v>source_name</x:v>
      </x:c>
      <x:c r="C1765" s="59" t="str">
        <x:v>Transparency Platform</x:v>
      </x:c>
    </x:row>
    <x:row r="1766" ht="30" customHeight="1">
      <x:c r="A1766" s="59" t="str">
        <x:v>ENTSOE_TP</x:v>
      </x:c>
      <x:c r="B1766" s="59" t="str">
        <x:v>url</x:v>
      </x:c>
      <x:c r="C1766" s="59" t="str">
        <x:v>https://www.entsoe.eu/data/transparency-platform/</x:v>
      </x:c>
    </x:row>
    <x:row r="1767" ht="30" customHeight="1">
      <x:c r="A1767" s="59" t="str">
        <x:v>ENTSOE_TP</x:v>
      </x:c>
      <x:c r="B1767" s="59" t="str">
        <x:v>data_owner</x:v>
      </x:c>
      <x:c r="C1767" s="59" t="str">
        <x:v>ENTSO-E / dostawcy danych</x:v>
      </x:c>
    </x:row>
    <x:row r="1768" ht="30" customHeight="1">
      <x:c r="A1768" s="59" t="str">
        <x:v>ENTSOE_TP</x:v>
      </x:c>
      <x:c r="B1768" s="59" t="str">
        <x:v>data_category</x:v>
      </x:c>
      <x:c r="C1768" s="59" t="str">
        <x:v>system_timeseries</x:v>
      </x:c>
    </x:row>
    <x:row r="1769" ht="30" customHeight="1">
      <x:c r="A1769" s="59" t="str">
        <x:v>ENTSOE_TP</x:v>
      </x:c>
      <x:c r="B1769" s="59" t="str">
        <x:v>data_format</x:v>
      </x:c>
      <x:c r="C1769" s="59" t="str">
        <x:v>[ "REST", "XML", "web portal" ]</x:v>
      </x:c>
    </x:row>
    <x:row r="1770" ht="30" customHeight="1">
      <x:c r="A1770" s="59" t="str">
        <x:v>ENTSOE_TP</x:v>
      </x:c>
      <x:c r="B1770" s="59" t="str">
        <x:v>verification_status</x:v>
      </x:c>
      <x:c r="C1770" s="59" t="str">
        <x:v>DOCUMENTATION_REVIEWED</x:v>
      </x:c>
    </x:row>
    <x:row r="1771" ht="30" customHeight="1">
      <x:c r="A1771" s="59" t="str">
        <x:v>ENTSOE_TP</x:v>
      </x:c>
      <x:c r="B1771" s="59" t="str">
        <x:v>reliability</x:v>
      </x:c>
      <x:c r="C1771" s="59" t="str">
        <x:v>A</x:v>
      </x:c>
    </x:row>
    <x:row r="1772" ht="30" customHeight="1">
      <x:c r="A1772" s="59" t="str">
        <x:v>ENTSOE_TP</x:v>
      </x:c>
      <x:c r="B1772" s="59" t="str">
        <x:v>key_fields</x:v>
      </x:c>
      <x:c r="C1772" s="59" t="str">
        <x:v>[ "time", "area", "generation", "load", "cross_border_flows", "outages" ]</x:v>
      </x:c>
    </x:row>
    <x:row r="1773" ht="30" customHeight="1">
      <x:c r="A1773" s="59" t="str">
        <x:v>ENTSOE_TP</x:v>
      </x:c>
      <x:c r="B1773" s="59" t="str">
        <x:v>potential_application</x:v>
      </x:c>
      <x:c r="C1773" s="59" t="str">
        <x:v>Kontekst systemowy i weryfikacja szeregów.</x:v>
      </x:c>
    </x:row>
    <x:row r="1774" ht="30" customHeight="1">
      <x:c r="A1774" s="59" t="str">
        <x:v>ENTSOE_TP</x:v>
      </x:c>
      <x:c r="B1774" s="59" t="str">
        <x:v>known_limitations</x:v>
      </x:c>
      <x:c r="C1774" s="59" t="str">
        <x:v>[ "Nie dostarcza pełnej lokalnej telemetrii GPZ.", "Nie wykonano uwierzytelnionego zapytania." ]</x:v>
      </x:c>
    </x:row>
    <x:row r="1775" ht="30" customHeight="1">
      <x:c r="A1775" s="59" t="str">
        <x:v>ENTSOE_TP</x:v>
      </x:c>
      <x:c r="B1775" s="59" t="str">
        <x:v>priority</x:v>
      </x:c>
      <x:c r="C1775" s="59" t="str">
        <x:v>P2</x:v>
      </x:c>
    </x:row>
    <x:row r="1776" ht="30" customHeight="1">
      <x:c r="A1776" s="59" t="str">
        <x:v>ENTSOE_TP</x:v>
      </x:c>
      <x:c r="B1776" s="59" t="str">
        <x:v>evidence</x:v>
      </x:c>
      <x:c r="C1776" s="59" t="str">
        <x:v>[]</x:v>
      </x:c>
    </x:row>
    <x:row r="1777" ht="30" customHeight="1">
      <x:c r="A1777" s="59" t="str">
        <x:v>ENTSOE_TP</x:v>
      </x:c>
      <x:c r="B1777" s="59" t="str">
        <x:v>retrieval_date</x:v>
      </x:c>
      <x:c r="C1777" s="59" t="str">
        <x:v>[]</x:v>
      </x:c>
    </x:row>
    <x:row r="1778" ht="30" customHeight="1">
      <x:c r="A1778" s="59" t="str">
        <x:v>ENTSOE_MAP</x:v>
      </x:c>
      <x:c r="B1778" s="59" t="str">
        <x:v>country</x:v>
      </x:c>
      <x:c r="C1778" s="59" t="str">
        <x:v>EUROPE</x:v>
      </x:c>
    </x:row>
    <x:row r="1779" ht="30" customHeight="1">
      <x:c r="A1779" s="59" t="str">
        <x:v>ENTSOE_MAP</x:v>
      </x:c>
      <x:c r="B1779" s="59" t="str">
        <x:v>geographical_scope</x:v>
      </x:c>
      <x:c r="C1779" s="59" t="str">
        <x:v>Europa</x:v>
      </x:c>
    </x:row>
    <x:row r="1780" ht="30" customHeight="1">
      <x:c r="A1780" s="59" t="str">
        <x:v>ENTSOE_MAP</x:v>
      </x:c>
      <x:c r="B1780" s="59" t="str">
        <x:v>grid_voltage</x:v>
      </x:c>
      <x:c r="C1780" s="59" t="str">
        <x:v>[ "WN/NN według legendy mapy" ]</x:v>
      </x:c>
    </x:row>
    <x:row r="1781" ht="30" customHeight="1">
      <x:c r="A1781" s="59" t="str">
        <x:v>ENTSOE_MAP</x:v>
      </x:c>
      <x:c r="B1781" s="59" t="str">
        <x:v>api_available</x:v>
      </x:c>
      <x:c r="C1781" s="59" t="str">
        <x:v>UNKNOWN</x:v>
      </x:c>
    </x:row>
    <x:row r="1782" ht="30" customHeight="1">
      <x:c r="A1782" s="59" t="str">
        <x:v>ENTSOE_MAP</x:v>
      </x:c>
      <x:c r="B1782" s="59" t="str">
        <x:v>gis_available</x:v>
      </x:c>
      <x:c r="C1782" s="59" t="str">
        <x:v>UNKNOWN</x:v>
      </x:c>
    </x:row>
    <x:row r="1783" ht="30" customHeight="1">
      <x:c r="A1783" s="59" t="str">
        <x:v>ENTSOE_MAP</x:v>
      </x:c>
      <x:c r="B1783" s="59" t="str">
        <x:v>update_frequency</x:v>
      </x:c>
      <x:c r="C1783" s="59" t="str">
        <x:v>UNKNOWN — nie ustalono gwarantowanego cyklu publikacji.</x:v>
      </x:c>
    </x:row>
    <x:row r="1784" ht="30" customHeight="1">
      <x:c r="A1784" s="59" t="str">
        <x:v>ENTSOE_MAP</x:v>
      </x:c>
      <x:c r="B1784" s="59" t="str">
        <x:v>historical_data</x:v>
      </x:c>
      <x:c r="C1784" s="59" t="str">
        <x:v>UNKNOWN — własne snapshoty od 10.09.2026, jeśli zapisano próbkę.</x:v>
      </x:c>
    </x:row>
    <x:row r="1785" ht="30" customHeight="1">
      <x:c r="A1785" s="59" t="str">
        <x:v>ENTSOE_MAP</x:v>
      </x:c>
      <x:c r="B1785" s="59" t="str">
        <x:v>authentication</x:v>
      </x:c>
      <x:c r="C1785" s="59" t="str">
        <x:v>Odczyt publicznej strony bez konta; nie dowodzi dostępu do wszystkich danych.</x:v>
      </x:c>
    </x:row>
    <x:row r="1786" ht="30" customHeight="1">
      <x:c r="A1786" s="59" t="str">
        <x:v>ENTSOE_MAP</x:v>
      </x:c>
      <x:c r="B1786" s="59" t="str">
        <x:v>license</x:v>
      </x:c>
      <x:c r="C1786" s="59" t="str">
        <x:v>UNKNOWN — nie potwierdzono otwartej licencji wybranego zbioru.</x:v>
      </x:c>
    </x:row>
    <x:row r="1787" ht="30" customHeight="1">
      <x:c r="A1787" s="59" t="str">
        <x:v>ENTSOE_MAP</x:v>
      </x:c>
      <x:c r="B1787" s="59" t="str">
        <x:v>license_url</x:v>
      </x:c>
      <x:c r="C1787" s="59" t="str">
        <x:v>UNKNOWN — nie ustalono</x:v>
      </x:c>
    </x:row>
    <x:row r="1788" ht="30" customHeight="1">
      <x:c r="A1788" s="59" t="str">
        <x:v>ENTSOE_MAP</x:v>
      </x:c>
      <x:c r="B1788" s="59" t="str">
        <x:v>commercial_use</x:v>
      </x:c>
      <x:c r="C1788" s="59" t="str">
        <x:v>UNKNOWN</x:v>
      </x:c>
    </x:row>
    <x:row r="1789" ht="30" customHeight="1">
      <x:c r="A1789" s="59" t="str">
        <x:v>ENTSOE_MAP</x:v>
      </x:c>
      <x:c r="B1789" s="59" t="str">
        <x:v>machine_readable</x:v>
      </x:c>
      <x:c r="C1789" s="59" t="str">
        <x:v>UNKNOWN</x:v>
      </x:c>
    </x:row>
    <x:row r="1790" ht="30" customHeight="1">
      <x:c r="A1790" s="59" t="str">
        <x:v>ENTSOE_MAP</x:v>
      </x:c>
      <x:c r="B1790" s="59" t="str">
        <x:v>scraping_required</x:v>
      </x:c>
      <x:c r="C1790" s="59" t="str">
        <x:v>UNKNOWN — przed scraperem preferować oficjalny plik lub API.</x:v>
      </x:c>
    </x:row>
    <x:row r="1791" ht="30" customHeight="1">
      <x:c r="A1791" s="59" t="str">
        <x:v>ENTSOE_MAP</x:v>
      </x:c>
      <x:c r="B1791" s="59" t="str">
        <x:v>data_quality_score</x:v>
      </x:c>
      <x:c r="C1791" s="59" t="str">
        <x:v>UNKNOWN — nie ustalono</x:v>
      </x:c>
    </x:row>
    <x:row r="1792" ht="30" customHeight="1">
      <x:c r="A1792" s="59" t="str">
        <x:v>ENTSOE_MAP</x:v>
      </x:c>
      <x:c r="B1792" s="59" t="str">
        <x:v>quality_score_status</x:v>
      </x:c>
      <x:c r="C1792" s="59" t="str">
        <x:v>NOT_CALIBRATED — autorytet źródła nie jest procentem kompletności lub trafności.</x:v>
      </x:c>
    </x:row>
    <x:row r="1793" ht="30" customHeight="1">
      <x:c r="A1793" s="59" t="str">
        <x:v>ENTSOE_MAP</x:v>
      </x:c>
      <x:c r="B1793" s="59" t="str">
        <x:v>last_verified</x:v>
      </x:c>
      <x:c r="C1793" s="60" t="n">
        <x:v>46275</x:v>
      </x:c>
    </x:row>
    <x:row r="1794" ht="30" customHeight="1">
      <x:c r="A1794" s="59" t="str">
        <x:v>ENTSOE_MAP</x:v>
      </x:c>
      <x:c r="B1794" s="59" t="str">
        <x:v>last_successful_verification</x:v>
      </x:c>
      <x:c r="C1794" s="60" t="n">
        <x:v>46275</x:v>
      </x:c>
    </x:row>
    <x:row r="1795" ht="30" customHeight="1">
      <x:c r="A1795" s="59" t="str">
        <x:v>ENTSOE_MAP</x:v>
      </x:c>
      <x:c r="B1795" s="59" t="str">
        <x:v>source_date</x:v>
      </x:c>
      <x:c r="C1795" s="59" t="str">
        <x:v>UNKNOWN — nie ustalono</x:v>
      </x:c>
    </x:row>
    <x:row r="1796" ht="30" customHeight="1">
      <x:c r="A1796" s="59" t="str">
        <x:v>ENTSOE_MAP</x:v>
      </x:c>
      <x:c r="B1796" s="59" t="str">
        <x:v>publication_date</x:v>
      </x:c>
      <x:c r="C1796" s="59" t="str">
        <x:v>UNKNOWN — nie ustalono</x:v>
      </x:c>
    </x:row>
    <x:row r="1797" ht="30" customHeight="1">
      <x:c r="A1797" s="59" t="str">
        <x:v>ENTSOE_MAP</x:v>
      </x:c>
      <x:c r="B1797" s="59" t="str">
        <x:v>source_version</x:v>
      </x:c>
      <x:c r="C1797" s="59" t="str">
        <x:v>UNKNOWN — nie ustalono</x:v>
      </x:c>
    </x:row>
    <x:row r="1798" ht="30" customHeight="1">
      <x:c r="A1798" s="59" t="str">
        <x:v>ENTSOE_MAP</x:v>
      </x:c>
      <x:c r="B1798" s="59" t="str">
        <x:v>source_page</x:v>
      </x:c>
      <x:c r="C1798" s="59" t="str">
        <x:v>UNKNOWN — nie ustalono</x:v>
      </x:c>
    </x:row>
    <x:row r="1799" ht="30" customHeight="1">
      <x:c r="A1799" s="59" t="str">
        <x:v>ENTSOE_MAP</x:v>
      </x:c>
      <x:c r="B1799" s="59" t="str">
        <x:v>valid_from</x:v>
      </x:c>
      <x:c r="C1799" s="59" t="str">
        <x:v>UNKNOWN — nie ustalono</x:v>
      </x:c>
    </x:row>
    <x:row r="1800" ht="30" customHeight="1">
      <x:c r="A1800" s="59" t="str">
        <x:v>ENTSOE_MAP</x:v>
      </x:c>
      <x:c r="B1800" s="59" t="str">
        <x:v>valid_to</x:v>
      </x:c>
      <x:c r="C1800" s="59" t="str">
        <x:v>UNKNOWN — nie ustalono</x:v>
      </x:c>
    </x:row>
    <x:row r="1801" ht="30" customHeight="1">
      <x:c r="A1801" s="59" t="str">
        <x:v>ENTSOE_MAP</x:v>
      </x:c>
      <x:c r="B1801" s="59" t="str">
        <x:v>current_future_scope</x:v>
      </x:c>
      <x:c r="C1801" s="59" t="str">
        <x:v>SOURCE_DEPENDENT</x:v>
      </x:c>
    </x:row>
    <x:row r="1802" ht="30" customHeight="1">
      <x:c r="A1802" s="59" t="str">
        <x:v>ENTSOE_MAP</x:v>
      </x:c>
      <x:c r="B1802" s="59" t="str">
        <x:v>value_classification_default</x:v>
      </x:c>
      <x:c r="C1802" s="59" t="str">
        <x:v>REPORTED</x:v>
      </x:c>
    </x:row>
    <x:row r="1803" ht="38" customHeight="1">
      <x:c r="A1803" s="59" t="str">
        <x:v>ENTSOE_MAP</x:v>
      </x:c>
      <x:c r="B1803" s="59" t="str">
        <x:v>automation_notes</x:v>
      </x:c>
      <x:c r="C1803" s="59" t="str">
        <x:v>Jednorazowy przegląd; brak zgody na stały scraper wynikającej z samego dostępu. Sprawdzić warunki, robots.txt i limity przed wdrożeniem.</x:v>
      </x:c>
    </x:row>
    <x:row r="1804" ht="30" customHeight="1">
      <x:c r="A1804" s="59" t="str">
        <x:v>ENTSOE_MAP</x:v>
      </x:c>
      <x:c r="B1804" s="59" t="str">
        <x:v>probe_ids</x:v>
      </x:c>
      <x:c r="C1804" s="59" t="str">
        <x:v>[]</x:v>
      </x:c>
    </x:row>
    <x:row r="1805" ht="30" customHeight="1">
      <x:c r="A1805" s="59" t="str">
        <x:v>ENTSOE_MAP</x:v>
      </x:c>
      <x:c r="B1805" s="59" t="str">
        <x:v>related_urls</x:v>
      </x:c>
      <x:c r="C1805" s="59" t="str">
        <x:v>[]</x:v>
      </x:c>
    </x:row>
    <x:row r="1806" ht="30" customHeight="1">
      <x:c r="A1806" s="59" t="str">
        <x:v>ENTSOE_MAP</x:v>
      </x:c>
      <x:c r="B1806" s="59" t="str">
        <x:v>source_id</x:v>
      </x:c>
      <x:c r="C1806" s="59" t="str">
        <x:v>ENTSOE_MAP</x:v>
      </x:c>
    </x:row>
    <x:row r="1807" ht="30" customHeight="1">
      <x:c r="A1807" s="59" t="str">
        <x:v>ENTSOE_MAP</x:v>
      </x:c>
      <x:c r="B1807" s="59" t="str">
        <x:v>operator</x:v>
      </x:c>
      <x:c r="C1807" s="59" t="str">
        <x:v>ENTSO-E</x:v>
      </x:c>
    </x:row>
    <x:row r="1808" ht="30" customHeight="1">
      <x:c r="A1808" s="59" t="str">
        <x:v>ENTSOE_MAP</x:v>
      </x:c>
      <x:c r="B1808" s="59" t="str">
        <x:v>source_name</x:v>
      </x:c>
      <x:c r="C1808" s="59" t="str">
        <x:v>Grid Map — downloads</x:v>
      </x:c>
    </x:row>
    <x:row r="1809" ht="30" customHeight="1">
      <x:c r="A1809" s="59" t="str">
        <x:v>ENTSOE_MAP</x:v>
      </x:c>
      <x:c r="B1809" s="59" t="str">
        <x:v>url</x:v>
      </x:c>
      <x:c r="C1809" s="59" t="str">
        <x:v>https://www.entsoe.eu/data/map/downloads/</x:v>
      </x:c>
    </x:row>
    <x:row r="1810" ht="30" customHeight="1">
      <x:c r="A1810" s="59" t="str">
        <x:v>ENTSOE_MAP</x:v>
      </x:c>
      <x:c r="B1810" s="59" t="str">
        <x:v>data_owner</x:v>
      </x:c>
      <x:c r="C1810" s="59" t="str">
        <x:v>ENTSO-E</x:v>
      </x:c>
    </x:row>
    <x:row r="1811" ht="30" customHeight="1">
      <x:c r="A1811" s="59" t="str">
        <x:v>ENTSOE_MAP</x:v>
      </x:c>
      <x:c r="B1811" s="59" t="str">
        <x:v>data_category</x:v>
      </x:c>
      <x:c r="C1811" s="59" t="str">
        <x:v>transmission_overview_map</x:v>
      </x:c>
    </x:row>
    <x:row r="1812" ht="30" customHeight="1">
      <x:c r="A1812" s="59" t="str">
        <x:v>ENTSOE_MAP</x:v>
      </x:c>
      <x:c r="B1812" s="59" t="str">
        <x:v>data_format</x:v>
      </x:c>
      <x:c r="C1812" s="59" t="str">
        <x:v>[ "PDF" ]</x:v>
      </x:c>
    </x:row>
    <x:row r="1813" ht="30" customHeight="1">
      <x:c r="A1813" s="59" t="str">
        <x:v>ENTSOE_MAP</x:v>
      </x:c>
      <x:c r="B1813" s="59" t="str">
        <x:v>verification_status</x:v>
      </x:c>
      <x:c r="C1813" s="59" t="str">
        <x:v>CONTENT_REVIEWED</x:v>
      </x:c>
    </x:row>
    <x:row r="1814" ht="30" customHeight="1">
      <x:c r="A1814" s="59" t="str">
        <x:v>ENTSOE_MAP</x:v>
      </x:c>
      <x:c r="B1814" s="59" t="str">
        <x:v>reliability</x:v>
      </x:c>
      <x:c r="C1814" s="59" t="str">
        <x:v>B</x:v>
      </x:c>
    </x:row>
    <x:row r="1815" ht="30" customHeight="1">
      <x:c r="A1815" s="59" t="str">
        <x:v>ENTSOE_MAP</x:v>
      </x:c>
      <x:c r="B1815" s="59" t="str">
        <x:v>key_fields</x:v>
      </x:c>
      <x:c r="C1815" s="59" t="str">
        <x:v>[ "stacje", "linie", "legenda" ]</x:v>
      </x:c>
    </x:row>
    <x:row r="1816" ht="30" customHeight="1">
      <x:c r="A1816" s="59" t="str">
        <x:v>ENTSOE_MAP</x:v>
      </x:c>
      <x:c r="B1816" s="59" t="str">
        <x:v>potential_application</x:v>
      </x:c>
      <x:c r="C1816" s="59" t="str">
        <x:v>Weryfikacja orientacyjnego przebiegu sieci przesyłowej.</x:v>
      </x:c>
    </x:row>
    <x:row r="1817" ht="30" customHeight="1">
      <x:c r="A1817" s="59" t="str">
        <x:v>ENTSOE_MAP</x:v>
      </x:c>
      <x:c r="B1817" s="59" t="str">
        <x:v>known_limitations</x:v>
      </x:c>
      <x:c r="C1817" s="59" t="str">
        <x:v>[ "Wydanie opisane jako aktualizowane w 2024 r.; nie model operacyjny 2026.", "Licencji TP nie przenosić na mapę." ]</x:v>
      </x:c>
    </x:row>
    <x:row r="1818" ht="30" customHeight="1">
      <x:c r="A1818" s="59" t="str">
        <x:v>ENTSOE_MAP</x:v>
      </x:c>
      <x:c r="B1818" s="59" t="str">
        <x:v>priority</x:v>
      </x:c>
      <x:c r="C1818" s="59" t="str">
        <x:v>P2</x:v>
      </x:c>
    </x:row>
    <x:row r="1819" ht="30" customHeight="1">
      <x:c r="A1819" s="59" t="str">
        <x:v>ENTSOE_MAP</x:v>
      </x:c>
      <x:c r="B1819" s="59" t="str">
        <x:v>evidence</x:v>
      </x:c>
      <x:c r="C1819" s="59" t="str">
        <x:v>[]</x:v>
      </x:c>
    </x:row>
    <x:row r="1820" ht="30" customHeight="1">
      <x:c r="A1820" s="59" t="str">
        <x:v>ENTSOE_MAP</x:v>
      </x:c>
      <x:c r="B1820" s="59" t="str">
        <x:v>retrieval_date</x:v>
      </x:c>
      <x:c r="C1820" s="59" t="str">
        <x:v>[]</x:v>
      </x:c>
    </x:row>
    <x:row r="1821" ht="30" customHeight="1">
      <x:c r="A1821" s="59" t="str">
        <x:v>OSM_LICENSE</x:v>
      </x:c>
      <x:c r="B1821" s="59" t="str">
        <x:v>country</x:v>
      </x:c>
      <x:c r="C1821" s="59" t="str">
        <x:v>GLOBAL</x:v>
      </x:c>
    </x:row>
    <x:row r="1822" ht="30" customHeight="1">
      <x:c r="A1822" s="59" t="str">
        <x:v>OSM_LICENSE</x:v>
      </x:c>
      <x:c r="B1822" s="59" t="str">
        <x:v>geographical_scope</x:v>
      </x:c>
      <x:c r="C1822" s="59" t="str">
        <x:v>Globalna, zmienne pokrycie</x:v>
      </x:c>
    </x:row>
    <x:row r="1823" ht="30" customHeight="1">
      <x:c r="A1823" s="59" t="str">
        <x:v>OSM_LICENSE</x:v>
      </x:c>
      <x:c r="B1823" s="59" t="str">
        <x:v>grid_voltage</x:v>
      </x:c>
      <x:c r="C1823" s="59" t="str">
        <x:v>[ "UNKNOWN_OR_NOT_APPLICABLE" ]</x:v>
      </x:c>
    </x:row>
    <x:row r="1824" ht="30" customHeight="1">
      <x:c r="A1824" s="59" t="str">
        <x:v>OSM_LICENSE</x:v>
      </x:c>
      <x:c r="B1824" s="59" t="str">
        <x:v>api_available</x:v>
      </x:c>
      <x:c r="C1824" s="59" t="str">
        <x:v>UNKNOWN</x:v>
      </x:c>
    </x:row>
    <x:row r="1825" ht="30" customHeight="1">
      <x:c r="A1825" s="59" t="str">
        <x:v>OSM_LICENSE</x:v>
      </x:c>
      <x:c r="B1825" s="59" t="str">
        <x:v>gis_available</x:v>
      </x:c>
      <x:c r="C1825" s="59" t="str">
        <x:v>UNKNOWN</x:v>
      </x:c>
    </x:row>
    <x:row r="1826" ht="30" customHeight="1">
      <x:c r="A1826" s="59" t="str">
        <x:v>OSM_LICENSE</x:v>
      </x:c>
      <x:c r="B1826" s="59" t="str">
        <x:v>update_frequency</x:v>
      </x:c>
      <x:c r="C1826" s="59" t="str">
        <x:v>UNKNOWN — nie ustalono gwarantowanego cyklu publikacji.</x:v>
      </x:c>
    </x:row>
    <x:row r="1827" ht="30" customHeight="1">
      <x:c r="A1827" s="59" t="str">
        <x:v>OSM_LICENSE</x:v>
      </x:c>
      <x:c r="B1827" s="59" t="str">
        <x:v>historical_data</x:v>
      </x:c>
      <x:c r="C1827" s="59" t="str">
        <x:v>UNKNOWN — własne snapshoty od 10.09.2026, jeśli zapisano próbkę.</x:v>
      </x:c>
    </x:row>
    <x:row r="1828" ht="30" customHeight="1">
      <x:c r="A1828" s="59" t="str">
        <x:v>OSM_LICENSE</x:v>
      </x:c>
      <x:c r="B1828" s="59" t="str">
        <x:v>authentication</x:v>
      </x:c>
      <x:c r="C1828" s="59" t="str">
        <x:v>Odczyt publicznej strony bez konta; nie dowodzi dostępu do wszystkich danych.</x:v>
      </x:c>
    </x:row>
    <x:row r="1829" ht="30" customHeight="1">
      <x:c r="A1829" s="59" t="str">
        <x:v>OSM_LICENSE</x:v>
      </x:c>
      <x:c r="B1829" s="59" t="str">
        <x:v>license</x:v>
      </x:c>
      <x:c r="C1829" s="59" t="str">
        <x:v>ODbL; atrybucja i warunki dla baz pochodnych.</x:v>
      </x:c>
    </x:row>
    <x:row r="1830" ht="30" customHeight="1">
      <x:c r="A1830" s="59" t="str">
        <x:v>OSM_LICENSE</x:v>
      </x:c>
      <x:c r="B1830" s="59" t="str">
        <x:v>license_url</x:v>
      </x:c>
      <x:c r="C1830" s="59" t="str">
        <x:v>https://www.openstreetmap.org/copyright</x:v>
      </x:c>
    </x:row>
    <x:row r="1831" ht="30" customHeight="1">
      <x:c r="A1831" s="59" t="str">
        <x:v>OSM_LICENSE</x:v>
      </x:c>
      <x:c r="B1831" s="59" t="str">
        <x:v>commercial_use</x:v>
      </x:c>
      <x:c r="C1831" s="59" t="str">
        <x:v>CONDITIONAL</x:v>
      </x:c>
    </x:row>
    <x:row r="1832" ht="30" customHeight="1">
      <x:c r="A1832" s="59" t="str">
        <x:v>OSM_LICENSE</x:v>
      </x:c>
      <x:c r="B1832" s="59" t="str">
        <x:v>machine_readable</x:v>
      </x:c>
      <x:c r="C1832" s="59" t="str">
        <x:v>YES</x:v>
      </x:c>
    </x:row>
    <x:row r="1833" ht="30" customHeight="1">
      <x:c r="A1833" s="59" t="str">
        <x:v>OSM_LICENSE</x:v>
      </x:c>
      <x:c r="B1833" s="59" t="str">
        <x:v>scraping_required</x:v>
      </x:c>
      <x:c r="C1833" s="59" t="str">
        <x:v>UNKNOWN — przed scraperem preferować oficjalny plik lub API.</x:v>
      </x:c>
    </x:row>
    <x:row r="1834" ht="30" customHeight="1">
      <x:c r="A1834" s="59" t="str">
        <x:v>OSM_LICENSE</x:v>
      </x:c>
      <x:c r="B1834" s="59" t="str">
        <x:v>data_quality_score</x:v>
      </x:c>
      <x:c r="C1834" s="59" t="str">
        <x:v>UNKNOWN — nie ustalono</x:v>
      </x:c>
    </x:row>
    <x:row r="1835" ht="30" customHeight="1">
      <x:c r="A1835" s="59" t="str">
        <x:v>OSM_LICENSE</x:v>
      </x:c>
      <x:c r="B1835" s="59" t="str">
        <x:v>quality_score_status</x:v>
      </x:c>
      <x:c r="C1835" s="59" t="str">
        <x:v>NOT_CALIBRATED — autorytet źródła nie jest procentem kompletności lub trafności.</x:v>
      </x:c>
    </x:row>
    <x:row r="1836" ht="30" customHeight="1">
      <x:c r="A1836" s="59" t="str">
        <x:v>OSM_LICENSE</x:v>
      </x:c>
      <x:c r="B1836" s="59" t="str">
        <x:v>last_verified</x:v>
      </x:c>
      <x:c r="C1836" s="60" t="n">
        <x:v>46275</x:v>
      </x:c>
    </x:row>
    <x:row r="1837" ht="30" customHeight="1">
      <x:c r="A1837" s="59" t="str">
        <x:v>OSM_LICENSE</x:v>
      </x:c>
      <x:c r="B1837" s="59" t="str">
        <x:v>last_successful_verification</x:v>
      </x:c>
      <x:c r="C1837" s="60" t="n">
        <x:v>46275</x:v>
      </x:c>
    </x:row>
    <x:row r="1838" ht="30" customHeight="1">
      <x:c r="A1838" s="59" t="str">
        <x:v>OSM_LICENSE</x:v>
      </x:c>
      <x:c r="B1838" s="59" t="str">
        <x:v>source_date</x:v>
      </x:c>
      <x:c r="C1838" s="59" t="str">
        <x:v>UNKNOWN — nie ustalono</x:v>
      </x:c>
    </x:row>
    <x:row r="1839" ht="30" customHeight="1">
      <x:c r="A1839" s="59" t="str">
        <x:v>OSM_LICENSE</x:v>
      </x:c>
      <x:c r="B1839" s="59" t="str">
        <x:v>publication_date</x:v>
      </x:c>
      <x:c r="C1839" s="59" t="str">
        <x:v>UNKNOWN — nie ustalono</x:v>
      </x:c>
    </x:row>
    <x:row r="1840" ht="30" customHeight="1">
      <x:c r="A1840" s="59" t="str">
        <x:v>OSM_LICENSE</x:v>
      </x:c>
      <x:c r="B1840" s="59" t="str">
        <x:v>source_version</x:v>
      </x:c>
      <x:c r="C1840" s="59" t="str">
        <x:v>UNKNOWN — nie ustalono</x:v>
      </x:c>
    </x:row>
    <x:row r="1841" ht="30" customHeight="1">
      <x:c r="A1841" s="59" t="str">
        <x:v>OSM_LICENSE</x:v>
      </x:c>
      <x:c r="B1841" s="59" t="str">
        <x:v>source_page</x:v>
      </x:c>
      <x:c r="C1841" s="59" t="str">
        <x:v>UNKNOWN — nie ustalono</x:v>
      </x:c>
    </x:row>
    <x:row r="1842" ht="30" customHeight="1">
      <x:c r="A1842" s="59" t="str">
        <x:v>OSM_LICENSE</x:v>
      </x:c>
      <x:c r="B1842" s="59" t="str">
        <x:v>valid_from</x:v>
      </x:c>
      <x:c r="C1842" s="59" t="str">
        <x:v>UNKNOWN — nie ustalono</x:v>
      </x:c>
    </x:row>
    <x:row r="1843" ht="30" customHeight="1">
      <x:c r="A1843" s="59" t="str">
        <x:v>OSM_LICENSE</x:v>
      </x:c>
      <x:c r="B1843" s="59" t="str">
        <x:v>valid_to</x:v>
      </x:c>
      <x:c r="C1843" s="59" t="str">
        <x:v>UNKNOWN — nie ustalono</x:v>
      </x:c>
    </x:row>
    <x:row r="1844" ht="30" customHeight="1">
      <x:c r="A1844" s="59" t="str">
        <x:v>OSM_LICENSE</x:v>
      </x:c>
      <x:c r="B1844" s="59" t="str">
        <x:v>current_future_scope</x:v>
      </x:c>
      <x:c r="C1844" s="59" t="str">
        <x:v>SOURCE_DEPENDENT</x:v>
      </x:c>
    </x:row>
    <x:row r="1845" ht="30" customHeight="1">
      <x:c r="A1845" s="59" t="str">
        <x:v>OSM_LICENSE</x:v>
      </x:c>
      <x:c r="B1845" s="59" t="str">
        <x:v>value_classification_default</x:v>
      </x:c>
      <x:c r="C1845" s="59" t="str">
        <x:v>INFERRED</x:v>
      </x:c>
    </x:row>
    <x:row r="1846" ht="38" customHeight="1">
      <x:c r="A1846" s="59" t="str">
        <x:v>OSM_LICENSE</x:v>
      </x:c>
      <x:c r="B1846" s="59" t="str">
        <x:v>automation_notes</x:v>
      </x:c>
      <x:c r="C1846" s="59" t="str">
        <x:v>Jednorazowy przegląd; brak zgody na stały scraper wynikającej z samego dostępu. Sprawdzić warunki, robots.txt i limity przed wdrożeniem.</x:v>
      </x:c>
    </x:row>
    <x:row r="1847" ht="30" customHeight="1">
      <x:c r="A1847" s="59" t="str">
        <x:v>OSM_LICENSE</x:v>
      </x:c>
      <x:c r="B1847" s="59" t="str">
        <x:v>probe_ids</x:v>
      </x:c>
      <x:c r="C1847" s="59" t="str">
        <x:v>[]</x:v>
      </x:c>
    </x:row>
    <x:row r="1848" ht="30" customHeight="1">
      <x:c r="A1848" s="59" t="str">
        <x:v>OSM_LICENSE</x:v>
      </x:c>
      <x:c r="B1848" s="59" t="str">
        <x:v>related_urls</x:v>
      </x:c>
      <x:c r="C1848" s="59" t="str">
        <x:v>[]</x:v>
      </x:c>
    </x:row>
    <x:row r="1849" ht="30" customHeight="1">
      <x:c r="A1849" s="59" t="str">
        <x:v>OSM_LICENSE</x:v>
      </x:c>
      <x:c r="B1849" s="59" t="str">
        <x:v>source_id</x:v>
      </x:c>
      <x:c r="C1849" s="59" t="str">
        <x:v>OSM_LICENSE</x:v>
      </x:c>
    </x:row>
    <x:row r="1850" ht="30" customHeight="1">
      <x:c r="A1850" s="59" t="str">
        <x:v>OSM_LICENSE</x:v>
      </x:c>
      <x:c r="B1850" s="59" t="str">
        <x:v>operator</x:v>
      </x:c>
      <x:c r="C1850" s="59" t="str">
        <x:v>UNKNOWN — nie ustalono</x:v>
      </x:c>
    </x:row>
    <x:row r="1851" ht="30" customHeight="1">
      <x:c r="A1851" s="59" t="str">
        <x:v>OSM_LICENSE</x:v>
      </x:c>
      <x:c r="B1851" s="59" t="str">
        <x:v>source_name</x:v>
      </x:c>
      <x:c r="C1851" s="59" t="str">
        <x:v>OpenStreetMap — dane i warunki ODbL</x:v>
      </x:c>
    </x:row>
    <x:row r="1852" ht="30" customHeight="1">
      <x:c r="A1852" s="59" t="str">
        <x:v>OSM_LICENSE</x:v>
      </x:c>
      <x:c r="B1852" s="59" t="str">
        <x:v>url</x:v>
      </x:c>
      <x:c r="C1852" s="59" t="str">
        <x:v>https://www.openstreetmap.org/copyright</x:v>
      </x:c>
    </x:row>
    <x:row r="1853" ht="30" customHeight="1">
      <x:c r="A1853" s="59" t="str">
        <x:v>OSM_LICENSE</x:v>
      </x:c>
      <x:c r="B1853" s="59" t="str">
        <x:v>data_owner</x:v>
      </x:c>
      <x:c r="C1853" s="59" t="str">
        <x:v>OpenStreetMap contributors</x:v>
      </x:c>
    </x:row>
    <x:row r="1854" ht="30" customHeight="1">
      <x:c r="A1854" s="59" t="str">
        <x:v>OSM_LICENSE</x:v>
      </x:c>
      <x:c r="B1854" s="59" t="str">
        <x:v>data_category</x:v>
      </x:c>
      <x:c r="C1854" s="59" t="str">
        <x:v>community_grid_geometry</x:v>
      </x:c>
    </x:row>
    <x:row r="1855" ht="30" customHeight="1">
      <x:c r="A1855" s="59" t="str">
        <x:v>OSM_LICENSE</x:v>
      </x:c>
      <x:c r="B1855" s="59" t="str">
        <x:v>data_format</x:v>
      </x:c>
      <x:c r="C1855" s="59" t="str">
        <x:v>[ "OSM PBF", "XML", "community tags" ]</x:v>
      </x:c>
    </x:row>
    <x:row r="1856" ht="30" customHeight="1">
      <x:c r="A1856" s="59" t="str">
        <x:v>OSM_LICENSE</x:v>
      </x:c>
      <x:c r="B1856" s="59" t="str">
        <x:v>verification_status</x:v>
      </x:c>
      <x:c r="C1856" s="59" t="str">
        <x:v>DOCUMENTATION_REVIEWED</x:v>
      </x:c>
    </x:row>
    <x:row r="1857" ht="30" customHeight="1">
      <x:c r="A1857" s="59" t="str">
        <x:v>OSM_LICENSE</x:v>
      </x:c>
      <x:c r="B1857" s="59" t="str">
        <x:v>reliability</x:v>
      </x:c>
      <x:c r="C1857" s="59" t="str">
        <x:v>G</x:v>
      </x:c>
    </x:row>
    <x:row r="1858" ht="30" customHeight="1">
      <x:c r="A1858" s="59" t="str">
        <x:v>OSM_LICENSE</x:v>
      </x:c>
      <x:c r="B1858" s="59" t="str">
        <x:v>key_fields</x:v>
      </x:c>
      <x:c r="C1858" s="59" t="str">
        <x:v>[ "osm_id", "geometry", "power tags", "voltage", "name", "operator" ]</x:v>
      </x:c>
    </x:row>
    <x:row r="1859" ht="30" customHeight="1">
      <x:c r="A1859" s="59" t="str">
        <x:v>OSM_LICENSE</x:v>
      </x:c>
      <x:c r="B1859" s="59" t="str">
        <x:v>potential_application</x:v>
      </x:c>
      <x:c r="C1859" s="59" t="str">
        <x:v>Geometria pomocnicza i hipotezy relacji.</x:v>
      </x:c>
    </x:row>
    <x:row r="1860" ht="30" customHeight="1">
      <x:c r="A1860" s="59" t="str">
        <x:v>OSM_LICENSE</x:v>
      </x:c>
      <x:c r="B1860" s="59" t="str">
        <x:v>known_limitations</x:v>
      </x:c>
      <x:c r="C1860" s="59" t="str">
        <x:v>[ "Brak gwarancji kompletności i aktualności; nie są to potwierdzone dane operatora." ]</x:v>
      </x:c>
    </x:row>
    <x:row r="1861" ht="30" customHeight="1">
      <x:c r="A1861" s="59" t="str">
        <x:v>OSM_LICENSE</x:v>
      </x:c>
      <x:c r="B1861" s="59" t="str">
        <x:v>priority</x:v>
      </x:c>
      <x:c r="C1861" s="59" t="str">
        <x:v>P2</x:v>
      </x:c>
    </x:row>
    <x:row r="1862" ht="30" customHeight="1">
      <x:c r="A1862" s="59" t="str">
        <x:v>OSM_LICENSE</x:v>
      </x:c>
      <x:c r="B1862" s="59" t="str">
        <x:v>evidence</x:v>
      </x:c>
      <x:c r="C1862" s="59" t="str">
        <x:v>[]</x:v>
      </x:c>
    </x:row>
    <x:row r="1863" ht="30" customHeight="1">
      <x:c r="A1863" s="59" t="str">
        <x:v>OSM_LICENSE</x:v>
      </x:c>
      <x:c r="B1863" s="59" t="str">
        <x:v>retrieval_date</x:v>
      </x:c>
      <x:c r="C1863" s="59" t="str">
        <x:v>[]</x:v>
      </x:c>
    </x:row>
    <x:row r="1864" ht="30" customHeight="1">
      <x:c r="A1864" s="59" t="str">
        <x:v>GEOFABRIK_PL</x:v>
      </x:c>
      <x:c r="B1864" s="59" t="str">
        <x:v>country</x:v>
      </x:c>
      <x:c r="C1864" s="59" t="str">
        <x:v>PL</x:v>
      </x:c>
    </x:row>
    <x:row r="1865" ht="30" customHeight="1">
      <x:c r="A1865" s="59" t="str">
        <x:v>GEOFABRIK_PL</x:v>
      </x:c>
      <x:c r="B1865" s="59" t="str">
        <x:v>geographical_scope</x:v>
      </x:c>
      <x:c r="C1865" s="59" t="str">
        <x:v>Zakres publikacji danego operatora/instytucji; nie założono pełnego pokrycia kraju.</x:v>
      </x:c>
    </x:row>
    <x:row r="1866" ht="30" customHeight="1">
      <x:c r="A1866" s="59" t="str">
        <x:v>GEOFABRIK_PL</x:v>
      </x:c>
      <x:c r="B1866" s="59" t="str">
        <x:v>grid_voltage</x:v>
      </x:c>
      <x:c r="C1866" s="59" t="str">
        <x:v>[ "UNKNOWN_OR_NOT_APPLICABLE" ]</x:v>
      </x:c>
    </x:row>
    <x:row r="1867" ht="30" customHeight="1">
      <x:c r="A1867" s="59" t="str">
        <x:v>GEOFABRIK_PL</x:v>
      </x:c>
      <x:c r="B1867" s="59" t="str">
        <x:v>api_available</x:v>
      </x:c>
      <x:c r="C1867" s="59" t="str">
        <x:v>UNKNOWN</x:v>
      </x:c>
    </x:row>
    <x:row r="1868" ht="30" customHeight="1">
      <x:c r="A1868" s="59" t="str">
        <x:v>GEOFABRIK_PL</x:v>
      </x:c>
      <x:c r="B1868" s="59" t="str">
        <x:v>gis_available</x:v>
      </x:c>
      <x:c r="C1868" s="59" t="str">
        <x:v>UNKNOWN</x:v>
      </x:c>
    </x:row>
    <x:row r="1869" ht="30" customHeight="1">
      <x:c r="A1869" s="59" t="str">
        <x:v>GEOFABRIK_PL</x:v>
      </x:c>
      <x:c r="B1869" s="59" t="str">
        <x:v>update_frequency</x:v>
      </x:c>
      <x:c r="C1869" s="59" t="str">
        <x:v>Regularne, zwykle codzienne ekstrakty; odczytać datę konkretnego pliku.</x:v>
      </x:c>
    </x:row>
    <x:row r="1870" ht="30" customHeight="1">
      <x:c r="A1870" s="59" t="str">
        <x:v>GEOFABRIK_PL</x:v>
      </x:c>
      <x:c r="B1870" s="59" t="str">
        <x:v>historical_data</x:v>
      </x:c>
      <x:c r="C1870" s="59" t="str">
        <x:v>UNKNOWN — własne snapshoty od 10.09.2026, jeśli zapisano próbkę.</x:v>
      </x:c>
    </x:row>
    <x:row r="1871" ht="30" customHeight="1">
      <x:c r="A1871" s="59" t="str">
        <x:v>GEOFABRIK_PL</x:v>
      </x:c>
      <x:c r="B1871" s="59" t="str">
        <x:v>authentication</x:v>
      </x:c>
      <x:c r="C1871" s="59" t="str">
        <x:v>Odczyt publicznej strony bez konta; nie dowodzi dostępu do wszystkich danych.</x:v>
      </x:c>
    </x:row>
    <x:row r="1872" ht="30" customHeight="1">
      <x:c r="A1872" s="59" t="str">
        <x:v>GEOFABRIK_PL</x:v>
      </x:c>
      <x:c r="B1872" s="59" t="str">
        <x:v>license</x:v>
      </x:c>
      <x:c r="C1872" s="59" t="str">
        <x:v>ODbL dla danych OSM.</x:v>
      </x:c>
    </x:row>
    <x:row r="1873" ht="30" customHeight="1">
      <x:c r="A1873" s="59" t="str">
        <x:v>GEOFABRIK_PL</x:v>
      </x:c>
      <x:c r="B1873" s="59" t="str">
        <x:v>license_url</x:v>
      </x:c>
      <x:c r="C1873" s="59" t="str">
        <x:v>https://www.openstreetmap.org/copyright</x:v>
      </x:c>
    </x:row>
    <x:row r="1874" ht="30" customHeight="1">
      <x:c r="A1874" s="59" t="str">
        <x:v>GEOFABRIK_PL</x:v>
      </x:c>
      <x:c r="B1874" s="59" t="str">
        <x:v>commercial_use</x:v>
      </x:c>
      <x:c r="C1874" s="59" t="str">
        <x:v>CONDITIONAL</x:v>
      </x:c>
    </x:row>
    <x:row r="1875" ht="30" customHeight="1">
      <x:c r="A1875" s="59" t="str">
        <x:v>GEOFABRIK_PL</x:v>
      </x:c>
      <x:c r="B1875" s="59" t="str">
        <x:v>machine_readable</x:v>
      </x:c>
      <x:c r="C1875" s="59" t="str">
        <x:v>YES</x:v>
      </x:c>
    </x:row>
    <x:row r="1876" ht="30" customHeight="1">
      <x:c r="A1876" s="59" t="str">
        <x:v>GEOFABRIK_PL</x:v>
      </x:c>
      <x:c r="B1876" s="59" t="str">
        <x:v>scraping_required</x:v>
      </x:c>
      <x:c r="C1876" s="59" t="str">
        <x:v>UNKNOWN — przed scraperem preferować oficjalny plik lub API.</x:v>
      </x:c>
    </x:row>
    <x:row r="1877" ht="30" customHeight="1">
      <x:c r="A1877" s="59" t="str">
        <x:v>GEOFABRIK_PL</x:v>
      </x:c>
      <x:c r="B1877" s="59" t="str">
        <x:v>data_quality_score</x:v>
      </x:c>
      <x:c r="C1877" s="59" t="str">
        <x:v>UNKNOWN — nie ustalono</x:v>
      </x:c>
    </x:row>
    <x:row r="1878" ht="30" customHeight="1">
      <x:c r="A1878" s="59" t="str">
        <x:v>GEOFABRIK_PL</x:v>
      </x:c>
      <x:c r="B1878" s="59" t="str">
        <x:v>quality_score_status</x:v>
      </x:c>
      <x:c r="C1878" s="59" t="str">
        <x:v>NOT_CALIBRATED — autorytet źródła nie jest procentem kompletności lub trafności.</x:v>
      </x:c>
    </x:row>
    <x:row r="1879" ht="30" customHeight="1">
      <x:c r="A1879" s="59" t="str">
        <x:v>GEOFABRIK_PL</x:v>
      </x:c>
      <x:c r="B1879" s="59" t="str">
        <x:v>last_verified</x:v>
      </x:c>
      <x:c r="C1879" s="60" t="n">
        <x:v>46275</x:v>
      </x:c>
    </x:row>
    <x:row r="1880" ht="30" customHeight="1">
      <x:c r="A1880" s="59" t="str">
        <x:v>GEOFABRIK_PL</x:v>
      </x:c>
      <x:c r="B1880" s="59" t="str">
        <x:v>last_successful_verification</x:v>
      </x:c>
      <x:c r="C1880" s="60" t="n">
        <x:v>46275</x:v>
      </x:c>
    </x:row>
    <x:row r="1881" ht="30" customHeight="1">
      <x:c r="A1881" s="59" t="str">
        <x:v>GEOFABRIK_PL</x:v>
      </x:c>
      <x:c r="B1881" s="59" t="str">
        <x:v>source_date</x:v>
      </x:c>
      <x:c r="C1881" s="59" t="str">
        <x:v>UNKNOWN — nie ustalono</x:v>
      </x:c>
    </x:row>
    <x:row r="1882" ht="30" customHeight="1">
      <x:c r="A1882" s="59" t="str">
        <x:v>GEOFABRIK_PL</x:v>
      </x:c>
      <x:c r="B1882" s="59" t="str">
        <x:v>publication_date</x:v>
      </x:c>
      <x:c r="C1882" s="59" t="str">
        <x:v>UNKNOWN — nie ustalono</x:v>
      </x:c>
    </x:row>
    <x:row r="1883" ht="30" customHeight="1">
      <x:c r="A1883" s="59" t="str">
        <x:v>GEOFABRIK_PL</x:v>
      </x:c>
      <x:c r="B1883" s="59" t="str">
        <x:v>source_version</x:v>
      </x:c>
      <x:c r="C1883" s="59" t="str">
        <x:v>UNKNOWN — nie ustalono</x:v>
      </x:c>
    </x:row>
    <x:row r="1884" ht="30" customHeight="1">
      <x:c r="A1884" s="59" t="str">
        <x:v>GEOFABRIK_PL</x:v>
      </x:c>
      <x:c r="B1884" s="59" t="str">
        <x:v>source_page</x:v>
      </x:c>
      <x:c r="C1884" s="59" t="str">
        <x:v>UNKNOWN — nie ustalono</x:v>
      </x:c>
    </x:row>
    <x:row r="1885" ht="30" customHeight="1">
      <x:c r="A1885" s="59" t="str">
        <x:v>GEOFABRIK_PL</x:v>
      </x:c>
      <x:c r="B1885" s="59" t="str">
        <x:v>valid_from</x:v>
      </x:c>
      <x:c r="C1885" s="59" t="str">
        <x:v>UNKNOWN — nie ustalono</x:v>
      </x:c>
    </x:row>
    <x:row r="1886" ht="30" customHeight="1">
      <x:c r="A1886" s="59" t="str">
        <x:v>GEOFABRIK_PL</x:v>
      </x:c>
      <x:c r="B1886" s="59" t="str">
        <x:v>valid_to</x:v>
      </x:c>
      <x:c r="C1886" s="59" t="str">
        <x:v>UNKNOWN — nie ustalono</x:v>
      </x:c>
    </x:row>
    <x:row r="1887" ht="30" customHeight="1">
      <x:c r="A1887" s="59" t="str">
        <x:v>GEOFABRIK_PL</x:v>
      </x:c>
      <x:c r="B1887" s="59" t="str">
        <x:v>current_future_scope</x:v>
      </x:c>
      <x:c r="C1887" s="59" t="str">
        <x:v>SOURCE_DEPENDENT</x:v>
      </x:c>
    </x:row>
    <x:row r="1888" ht="30" customHeight="1">
      <x:c r="A1888" s="59" t="str">
        <x:v>GEOFABRIK_PL</x:v>
      </x:c>
      <x:c r="B1888" s="59" t="str">
        <x:v>value_classification_default</x:v>
      </x:c>
      <x:c r="C1888" s="59" t="str">
        <x:v>INFERRED</x:v>
      </x:c>
    </x:row>
    <x:row r="1889" ht="38" customHeight="1">
      <x:c r="A1889" s="59" t="str">
        <x:v>GEOFABRIK_PL</x:v>
      </x:c>
      <x:c r="B1889" s="59" t="str">
        <x:v>automation_notes</x:v>
      </x:c>
      <x:c r="C1889" s="59" t="str">
        <x:v>Jednorazowy przegląd; brak zgody na stały scraper wynikającej z samego dostępu. Sprawdzić warunki, robots.txt i limity przed wdrożeniem.</x:v>
      </x:c>
    </x:row>
    <x:row r="1890" ht="30" customHeight="1">
      <x:c r="A1890" s="59" t="str">
        <x:v>GEOFABRIK_PL</x:v>
      </x:c>
      <x:c r="B1890" s="59" t="str">
        <x:v>probe_ids</x:v>
      </x:c>
      <x:c r="C1890" s="59" t="str">
        <x:v>[]</x:v>
      </x:c>
    </x:row>
    <x:row r="1891" ht="30" customHeight="1">
      <x:c r="A1891" s="59" t="str">
        <x:v>GEOFABRIK_PL</x:v>
      </x:c>
      <x:c r="B1891" s="59" t="str">
        <x:v>related_urls</x:v>
      </x:c>
      <x:c r="C1891" s="59" t="str">
        <x:v>[]</x:v>
      </x:c>
    </x:row>
    <x:row r="1892" ht="30" customHeight="1">
      <x:c r="A1892" s="59" t="str">
        <x:v>GEOFABRIK_PL</x:v>
      </x:c>
      <x:c r="B1892" s="59" t="str">
        <x:v>source_id</x:v>
      </x:c>
      <x:c r="C1892" s="59" t="str">
        <x:v>GEOFABRIK_PL</x:v>
      </x:c>
    </x:row>
    <x:row r="1893" ht="30" customHeight="1">
      <x:c r="A1893" s="59" t="str">
        <x:v>GEOFABRIK_PL</x:v>
      </x:c>
      <x:c r="B1893" s="59" t="str">
        <x:v>operator</x:v>
      </x:c>
      <x:c r="C1893" s="59" t="str">
        <x:v>UNKNOWN — nie ustalono</x:v>
      </x:c>
    </x:row>
    <x:row r="1894" ht="30" customHeight="1">
      <x:c r="A1894" s="59" t="str">
        <x:v>GEOFABRIK_PL</x:v>
      </x:c>
      <x:c r="B1894" s="59" t="str">
        <x:v>source_name</x:v>
      </x:c>
      <x:c r="C1894" s="59" t="str">
        <x:v>Geofabrik — Poland OSM extract</x:v>
      </x:c>
    </x:row>
    <x:row r="1895" ht="30" customHeight="1">
      <x:c r="A1895" s="59" t="str">
        <x:v>GEOFABRIK_PL</x:v>
      </x:c>
      <x:c r="B1895" s="59" t="str">
        <x:v>url</x:v>
      </x:c>
      <x:c r="C1895" s="59" t="str">
        <x:v>https://download.geofabrik.de/europe/poland.html</x:v>
      </x:c>
    </x:row>
    <x:row r="1896" ht="30" customHeight="1">
      <x:c r="A1896" s="59" t="str">
        <x:v>GEOFABRIK_PL</x:v>
      </x:c>
      <x:c r="B1896" s="59" t="str">
        <x:v>data_owner</x:v>
      </x:c>
      <x:c r="C1896" s="59" t="str">
        <x:v>OpenStreetMap contributors; extract Geofabrik</x:v>
      </x:c>
    </x:row>
    <x:row r="1897" ht="30" customHeight="1">
      <x:c r="A1897" s="59" t="str">
        <x:v>GEOFABRIK_PL</x:v>
      </x:c>
      <x:c r="B1897" s="59" t="str">
        <x:v>data_category</x:v>
      </x:c>
      <x:c r="C1897" s="59" t="str">
        <x:v>community_geometry_download</x:v>
      </x:c>
    </x:row>
    <x:row r="1898" ht="30" customHeight="1">
      <x:c r="A1898" s="59" t="str">
        <x:v>GEOFABRIK_PL</x:v>
      </x:c>
      <x:c r="B1898" s="59" t="str">
        <x:v>data_format</x:v>
      </x:c>
      <x:c r="C1898" s="59" t="str">
        <x:v>[ "OSM PBF", "downloads" ]</x:v>
      </x:c>
    </x:row>
    <x:row r="1899" ht="30" customHeight="1">
      <x:c r="A1899" s="59" t="str">
        <x:v>GEOFABRIK_PL</x:v>
      </x:c>
      <x:c r="B1899" s="59" t="str">
        <x:v>verification_status</x:v>
      </x:c>
      <x:c r="C1899" s="59" t="str">
        <x:v>CONTENT_REVIEWED</x:v>
      </x:c>
    </x:row>
    <x:row r="1900" ht="30" customHeight="1">
      <x:c r="A1900" s="59" t="str">
        <x:v>GEOFABRIK_PL</x:v>
      </x:c>
      <x:c r="B1900" s="59" t="str">
        <x:v>reliability</x:v>
      </x:c>
      <x:c r="C1900" s="59" t="str">
        <x:v>G</x:v>
      </x:c>
    </x:row>
    <x:row r="1901" ht="30" customHeight="1">
      <x:c r="A1901" s="59" t="str">
        <x:v>GEOFABRIK_PL</x:v>
      </x:c>
      <x:c r="B1901" s="59" t="str">
        <x:v>key_fields</x:v>
      </x:c>
      <x:c r="C1901" s="59" t="str">
        <x:v>[ "OSM objects", "tags", "version" ]</x:v>
      </x:c>
    </x:row>
    <x:row r="1902" ht="30" customHeight="1">
      <x:c r="A1902" s="59" t="str">
        <x:v>GEOFABRIK_PL</x:v>
      </x:c>
      <x:c r="B1902" s="59" t="str">
        <x:v>potential_application</x:v>
      </x:c>
      <x:c r="C1902" s="59" t="str">
        <x:v>Regionalne pobieranie geometrii bez masowych zapytań Overpass.</x:v>
      </x:c>
    </x:row>
    <x:row r="1903" ht="30" customHeight="1">
      <x:c r="A1903" s="59" t="str">
        <x:v>GEOFABRIK_PL</x:v>
      </x:c>
      <x:c r="B1903" s="59" t="str">
        <x:v>known_limitations</x:v>
      </x:c>
      <x:c r="C1903" s="59" t="str">
        <x:v>[ "Nie pobrano całego kraju w tym etapie; dziedziczy ograniczenia OSM." ]</x:v>
      </x:c>
    </x:row>
    <x:row r="1904" ht="30" customHeight="1">
      <x:c r="A1904" s="59" t="str">
        <x:v>GEOFABRIK_PL</x:v>
      </x:c>
      <x:c r="B1904" s="59" t="str">
        <x:v>priority</x:v>
      </x:c>
      <x:c r="C1904" s="59" t="str">
        <x:v>P2</x:v>
      </x:c>
    </x:row>
    <x:row r="1905" ht="30" customHeight="1">
      <x:c r="A1905" s="59" t="str">
        <x:v>GEOFABRIK_PL</x:v>
      </x:c>
      <x:c r="B1905" s="59" t="str">
        <x:v>evidence</x:v>
      </x:c>
      <x:c r="C1905" s="59" t="str">
        <x:v>[]</x:v>
      </x:c>
    </x:row>
    <x:row r="1906" ht="30" customHeight="1">
      <x:c r="A1906" s="59" t="str">
        <x:v>GEOFABRIK_PL</x:v>
      </x:c>
      <x:c r="B1906" s="59" t="str">
        <x:v>retrieval_date</x:v>
      </x:c>
      <x:c r="C1906" s="59" t="str">
        <x:v>[]</x:v>
      </x:c>
    </x:row>
    <x:row r="1907" ht="30" customHeight="1">
      <x:c r="A1907" s="59" t="str">
        <x:v>OPENINFRAMAP</x:v>
      </x:c>
      <x:c r="B1907" s="59" t="str">
        <x:v>country</x:v>
      </x:c>
      <x:c r="C1907" s="59" t="str">
        <x:v>GLOBAL</x:v>
      </x:c>
    </x:row>
    <x:row r="1908" ht="30" customHeight="1">
      <x:c r="A1908" s="59" t="str">
        <x:v>OPENINFRAMAP</x:v>
      </x:c>
      <x:c r="B1908" s="59" t="str">
        <x:v>geographical_scope</x:v>
      </x:c>
      <x:c r="C1908" s="59" t="str">
        <x:v>Globalna</x:v>
      </x:c>
    </x:row>
    <x:row r="1909" ht="30" customHeight="1">
      <x:c r="A1909" s="59" t="str">
        <x:v>OPENINFRAMAP</x:v>
      </x:c>
      <x:c r="B1909" s="59" t="str">
        <x:v>grid_voltage</x:v>
      </x:c>
      <x:c r="C1909" s="59" t="str">
        <x:v>[ "UNKNOWN_OR_NOT_APPLICABLE" ]</x:v>
      </x:c>
    </x:row>
    <x:row r="1910" ht="30" customHeight="1">
      <x:c r="A1910" s="59" t="str">
        <x:v>OPENINFRAMAP</x:v>
      </x:c>
      <x:c r="B1910" s="59" t="str">
        <x:v>api_available</x:v>
      </x:c>
      <x:c r="C1910" s="59" t="str">
        <x:v>UNKNOWN</x:v>
      </x:c>
    </x:row>
    <x:row r="1911" ht="30" customHeight="1">
      <x:c r="A1911" s="59" t="str">
        <x:v>OPENINFRAMAP</x:v>
      </x:c>
      <x:c r="B1911" s="59" t="str">
        <x:v>gis_available</x:v>
      </x:c>
      <x:c r="C1911" s="59" t="str">
        <x:v>VIEWER_ONLY</x:v>
      </x:c>
    </x:row>
    <x:row r="1912" ht="30" customHeight="1">
      <x:c r="A1912" s="59" t="str">
        <x:v>OPENINFRAMAP</x:v>
      </x:c>
      <x:c r="B1912" s="59" t="str">
        <x:v>update_frequency</x:v>
      </x:c>
      <x:c r="C1912" s="59" t="str">
        <x:v>UNKNOWN — nie ustalono gwarantowanego cyklu publikacji.</x:v>
      </x:c>
    </x:row>
    <x:row r="1913" ht="30" customHeight="1">
      <x:c r="A1913" s="59" t="str">
        <x:v>OPENINFRAMAP</x:v>
      </x:c>
      <x:c r="B1913" s="59" t="str">
        <x:v>historical_data</x:v>
      </x:c>
      <x:c r="C1913" s="59" t="str">
        <x:v>UNKNOWN — własne snapshoty od 10.09.2026, jeśli zapisano próbkę.</x:v>
      </x:c>
    </x:row>
    <x:row r="1914" ht="30" customHeight="1">
      <x:c r="A1914" s="59" t="str">
        <x:v>OPENINFRAMAP</x:v>
      </x:c>
      <x:c r="B1914" s="59" t="str">
        <x:v>authentication</x:v>
      </x:c>
      <x:c r="C1914" s="59" t="str">
        <x:v>Odczyt publicznej strony bez konta; nie dowodzi dostępu do wszystkich danych.</x:v>
      </x:c>
    </x:row>
    <x:row r="1915" ht="30" customHeight="1">
      <x:c r="A1915" s="59" t="str">
        <x:v>OPENINFRAMAP</x:v>
      </x:c>
      <x:c r="B1915" s="59" t="str">
        <x:v>license</x:v>
      </x:c>
      <x:c r="C1915" s="59" t="str">
        <x:v>Dane OSM: ODbL; interfejs to osobny produkt.</x:v>
      </x:c>
    </x:row>
    <x:row r="1916" ht="30" customHeight="1">
      <x:c r="A1916" s="59" t="str">
        <x:v>OPENINFRAMAP</x:v>
      </x:c>
      <x:c r="B1916" s="59" t="str">
        <x:v>license_url</x:v>
      </x:c>
      <x:c r="C1916" s="59" t="str">
        <x:v>UNKNOWN — nie ustalono</x:v>
      </x:c>
    </x:row>
    <x:row r="1917" ht="30" customHeight="1">
      <x:c r="A1917" s="59" t="str">
        <x:v>OPENINFRAMAP</x:v>
      </x:c>
      <x:c r="B1917" s="59" t="str">
        <x:v>commercial_use</x:v>
      </x:c>
      <x:c r="C1917" s="59" t="str">
        <x:v>CONDITIONAL</x:v>
      </x:c>
    </x:row>
    <x:row r="1918" ht="30" customHeight="1">
      <x:c r="A1918" s="59" t="str">
        <x:v>OPENINFRAMAP</x:v>
      </x:c>
      <x:c r="B1918" s="59" t="str">
        <x:v>machine_readable</x:v>
      </x:c>
      <x:c r="C1918" s="59" t="str">
        <x:v>UNKNOWN</x:v>
      </x:c>
    </x:row>
    <x:row r="1919" ht="30" customHeight="1">
      <x:c r="A1919" s="59" t="str">
        <x:v>OPENINFRAMAP</x:v>
      </x:c>
      <x:c r="B1919" s="59" t="str">
        <x:v>scraping_required</x:v>
      </x:c>
      <x:c r="C1919" s="59" t="str">
        <x:v>UNKNOWN — przed scraperem preferować oficjalny plik lub API.</x:v>
      </x:c>
    </x:row>
    <x:row r="1920" ht="30" customHeight="1">
      <x:c r="A1920" s="59" t="str">
        <x:v>OPENINFRAMAP</x:v>
      </x:c>
      <x:c r="B1920" s="59" t="str">
        <x:v>data_quality_score</x:v>
      </x:c>
      <x:c r="C1920" s="59" t="str">
        <x:v>UNKNOWN — nie ustalono</x:v>
      </x:c>
    </x:row>
    <x:row r="1921" ht="30" customHeight="1">
      <x:c r="A1921" s="59" t="str">
        <x:v>OPENINFRAMAP</x:v>
      </x:c>
      <x:c r="B1921" s="59" t="str">
        <x:v>quality_score_status</x:v>
      </x:c>
      <x:c r="C1921" s="59" t="str">
        <x:v>NOT_CALIBRATED — autorytet źródła nie jest procentem kompletności lub trafności.</x:v>
      </x:c>
    </x:row>
    <x:row r="1922" ht="30" customHeight="1">
      <x:c r="A1922" s="59" t="str">
        <x:v>OPENINFRAMAP</x:v>
      </x:c>
      <x:c r="B1922" s="59" t="str">
        <x:v>last_verified</x:v>
      </x:c>
      <x:c r="C1922" s="60" t="n">
        <x:v>46275</x:v>
      </x:c>
    </x:row>
    <x:row r="1923" ht="30" customHeight="1">
      <x:c r="A1923" s="59" t="str">
        <x:v>OPENINFRAMAP</x:v>
      </x:c>
      <x:c r="B1923" s="59" t="str">
        <x:v>last_successful_verification</x:v>
      </x:c>
      <x:c r="C1923" s="60" t="n">
        <x:v>46275</x:v>
      </x:c>
    </x:row>
    <x:row r="1924" ht="30" customHeight="1">
      <x:c r="A1924" s="59" t="str">
        <x:v>OPENINFRAMAP</x:v>
      </x:c>
      <x:c r="B1924" s="59" t="str">
        <x:v>source_date</x:v>
      </x:c>
      <x:c r="C1924" s="59" t="str">
        <x:v>UNKNOWN — nie ustalono</x:v>
      </x:c>
    </x:row>
    <x:row r="1925" ht="30" customHeight="1">
      <x:c r="A1925" s="59" t="str">
        <x:v>OPENINFRAMAP</x:v>
      </x:c>
      <x:c r="B1925" s="59" t="str">
        <x:v>publication_date</x:v>
      </x:c>
      <x:c r="C1925" s="59" t="str">
        <x:v>UNKNOWN — nie ustalono</x:v>
      </x:c>
    </x:row>
    <x:row r="1926" ht="30" customHeight="1">
      <x:c r="A1926" s="59" t="str">
        <x:v>OPENINFRAMAP</x:v>
      </x:c>
      <x:c r="B1926" s="59" t="str">
        <x:v>source_version</x:v>
      </x:c>
      <x:c r="C1926" s="59" t="str">
        <x:v>UNKNOWN — nie ustalono</x:v>
      </x:c>
    </x:row>
    <x:row r="1927" ht="30" customHeight="1">
      <x:c r="A1927" s="59" t="str">
        <x:v>OPENINFRAMAP</x:v>
      </x:c>
      <x:c r="B1927" s="59" t="str">
        <x:v>source_page</x:v>
      </x:c>
      <x:c r="C1927" s="59" t="str">
        <x:v>UNKNOWN — nie ustalono</x:v>
      </x:c>
    </x:row>
    <x:row r="1928" ht="30" customHeight="1">
      <x:c r="A1928" s="59" t="str">
        <x:v>OPENINFRAMAP</x:v>
      </x:c>
      <x:c r="B1928" s="59" t="str">
        <x:v>valid_from</x:v>
      </x:c>
      <x:c r="C1928" s="59" t="str">
        <x:v>UNKNOWN — nie ustalono</x:v>
      </x:c>
    </x:row>
    <x:row r="1929" ht="30" customHeight="1">
      <x:c r="A1929" s="59" t="str">
        <x:v>OPENINFRAMAP</x:v>
      </x:c>
      <x:c r="B1929" s="59" t="str">
        <x:v>valid_to</x:v>
      </x:c>
      <x:c r="C1929" s="59" t="str">
        <x:v>UNKNOWN — nie ustalono</x:v>
      </x:c>
    </x:row>
    <x:row r="1930" ht="30" customHeight="1">
      <x:c r="A1930" s="59" t="str">
        <x:v>OPENINFRAMAP</x:v>
      </x:c>
      <x:c r="B1930" s="59" t="str">
        <x:v>current_future_scope</x:v>
      </x:c>
      <x:c r="C1930" s="59" t="str">
        <x:v>SOURCE_DEPENDENT</x:v>
      </x:c>
    </x:row>
    <x:row r="1931" ht="30" customHeight="1">
      <x:c r="A1931" s="59" t="str">
        <x:v>OPENINFRAMAP</x:v>
      </x:c>
      <x:c r="B1931" s="59" t="str">
        <x:v>value_classification_default</x:v>
      </x:c>
      <x:c r="C1931" s="59" t="str">
        <x:v>INFERRED</x:v>
      </x:c>
    </x:row>
    <x:row r="1932" ht="38" customHeight="1">
      <x:c r="A1932" s="59" t="str">
        <x:v>OPENINFRAMAP</x:v>
      </x:c>
      <x:c r="B1932" s="59" t="str">
        <x:v>automation_notes</x:v>
      </x:c>
      <x:c r="C1932" s="59" t="str">
        <x:v>Jednorazowy przegląd; brak zgody na stały scraper wynikającej z samego dostępu. Sprawdzić warunki, robots.txt i limity przed wdrożeniem.</x:v>
      </x:c>
    </x:row>
    <x:row r="1933" ht="30" customHeight="1">
      <x:c r="A1933" s="59" t="str">
        <x:v>OPENINFRAMAP</x:v>
      </x:c>
      <x:c r="B1933" s="59" t="str">
        <x:v>probe_ids</x:v>
      </x:c>
      <x:c r="C1933" s="59" t="str">
        <x:v>[]</x:v>
      </x:c>
    </x:row>
    <x:row r="1934" ht="30" customHeight="1">
      <x:c r="A1934" s="59" t="str">
        <x:v>OPENINFRAMAP</x:v>
      </x:c>
      <x:c r="B1934" s="59" t="str">
        <x:v>related_urls</x:v>
      </x:c>
      <x:c r="C1934" s="59" t="str">
        <x:v>[]</x:v>
      </x:c>
    </x:row>
    <x:row r="1935" ht="30" customHeight="1">
      <x:c r="A1935" s="59" t="str">
        <x:v>OPENINFRAMAP</x:v>
      </x:c>
      <x:c r="B1935" s="59" t="str">
        <x:v>source_id</x:v>
      </x:c>
      <x:c r="C1935" s="59" t="str">
        <x:v>OPENINFRAMAP</x:v>
      </x:c>
    </x:row>
    <x:row r="1936" ht="30" customHeight="1">
      <x:c r="A1936" s="59" t="str">
        <x:v>OPENINFRAMAP</x:v>
      </x:c>
      <x:c r="B1936" s="59" t="str">
        <x:v>operator</x:v>
      </x:c>
      <x:c r="C1936" s="59" t="str">
        <x:v>UNKNOWN — nie ustalono</x:v>
      </x:c>
    </x:row>
    <x:row r="1937" ht="30" customHeight="1">
      <x:c r="A1937" s="59" t="str">
        <x:v>OPENINFRAMAP</x:v>
      </x:c>
      <x:c r="B1937" s="59" t="str">
        <x:v>source_name</x:v>
      </x:c>
      <x:c r="C1937" s="59" t="str">
        <x:v>OpenInfraMap — opis źródła</x:v>
      </x:c>
    </x:row>
    <x:row r="1938" ht="30" customHeight="1">
      <x:c r="A1938" s="59" t="str">
        <x:v>OPENINFRAMAP</x:v>
      </x:c>
      <x:c r="B1938" s="59" t="str">
        <x:v>url</x:v>
      </x:c>
      <x:c r="C1938" s="59" t="str">
        <x:v>https://openinframap.org/about</x:v>
      </x:c>
    </x:row>
    <x:row r="1939" ht="30" customHeight="1">
      <x:c r="A1939" s="59" t="str">
        <x:v>OPENINFRAMAP</x:v>
      </x:c>
      <x:c r="B1939" s="59" t="str">
        <x:v>data_owner</x:v>
      </x:c>
      <x:c r="C1939" s="59" t="str">
        <x:v>Autorzy OpenInfraMap / OpenStreetMap contributors</x:v>
      </x:c>
    </x:row>
    <x:row r="1940" ht="30" customHeight="1">
      <x:c r="A1940" s="59" t="str">
        <x:v>OPENINFRAMAP</x:v>
      </x:c>
      <x:c r="B1940" s="59" t="str">
        <x:v>data_category</x:v>
      </x:c>
      <x:c r="C1940" s="59" t="str">
        <x:v>infrastructure_visualization</x:v>
      </x:c>
    </x:row>
    <x:row r="1941" ht="30" customHeight="1">
      <x:c r="A1941" s="59" t="str">
        <x:v>OPENINFRAMAP</x:v>
      </x:c>
      <x:c r="B1941" s="59" t="str">
        <x:v>data_format</x:v>
      </x:c>
      <x:c r="C1941" s="59" t="str">
        <x:v>[ "web map" ]</x:v>
      </x:c>
    </x:row>
    <x:row r="1942" ht="30" customHeight="1">
      <x:c r="A1942" s="59" t="str">
        <x:v>OPENINFRAMAP</x:v>
      </x:c>
      <x:c r="B1942" s="59" t="str">
        <x:v>verification_status</x:v>
      </x:c>
      <x:c r="C1942" s="59" t="str">
        <x:v>CONTENT_REVIEWED</x:v>
      </x:c>
    </x:row>
    <x:row r="1943" ht="30" customHeight="1">
      <x:c r="A1943" s="59" t="str">
        <x:v>OPENINFRAMAP</x:v>
      </x:c>
      <x:c r="B1943" s="59" t="str">
        <x:v>reliability</x:v>
      </x:c>
      <x:c r="C1943" s="59" t="str">
        <x:v>G</x:v>
      </x:c>
    </x:row>
    <x:row r="1944" ht="30" customHeight="1">
      <x:c r="A1944" s="59" t="str">
        <x:v>OPENINFRAMAP</x:v>
      </x:c>
      <x:c r="B1944" s="59" t="str">
        <x:v>key_fields</x:v>
      </x:c>
      <x:c r="C1944" s="59" t="str">
        <x:v>[ "infrastruktura z OSM" ]</x:v>
      </x:c>
    </x:row>
    <x:row r="1945" ht="30" customHeight="1">
      <x:c r="A1945" s="59" t="str">
        <x:v>OPENINFRAMAP</x:v>
      </x:c>
      <x:c r="B1945" s="59" t="str">
        <x:v>potential_application</x:v>
      </x:c>
      <x:c r="C1945" s="59" t="str">
        <x:v>Wizualna inspekcja danych OSM.</x:v>
      </x:c>
    </x:row>
    <x:row r="1946" ht="30" customHeight="1">
      <x:c r="A1946" s="59" t="str">
        <x:v>OPENINFRAMAP</x:v>
      </x:c>
      <x:c r="B1946" s="59" t="str">
        <x:v>known_limitations</x:v>
      </x:c>
      <x:c r="C1946" s="59" t="str">
        <x:v>[ "Nie jest niezależnym źródłem potwierdzającym OSM ani operatorem." ]</x:v>
      </x:c>
    </x:row>
    <x:row r="1947" ht="30" customHeight="1">
      <x:c r="A1947" s="59" t="str">
        <x:v>OPENINFRAMAP</x:v>
      </x:c>
      <x:c r="B1947" s="59" t="str">
        <x:v>priority</x:v>
      </x:c>
      <x:c r="C1947" s="59" t="str">
        <x:v>P2</x:v>
      </x:c>
    </x:row>
    <x:row r="1948" ht="30" customHeight="1">
      <x:c r="A1948" s="59" t="str">
        <x:v>OPENINFRAMAP</x:v>
      </x:c>
      <x:c r="B1948" s="59" t="str">
        <x:v>evidence</x:v>
      </x:c>
      <x:c r="C1948" s="59" t="str">
        <x:v>[]</x:v>
      </x:c>
    </x:row>
    <x:row r="1949" ht="30" customHeight="1">
      <x:c r="A1949" s="59" t="str">
        <x:v>OPENINFRAMAP</x:v>
      </x:c>
      <x:c r="B1949" s="59" t="str">
        <x:v>retrieval_date</x:v>
      </x:c>
      <x:c r="C1949" s="59" t="str">
        <x:v>[]</x:v>
      </x:c>
    </x:row>
    <x:row r="1950" ht="30" customHeight="1">
      <x:c r="A1950" s="59" t="str">
        <x:v>PYPSA_EUR</x:v>
      </x:c>
      <x:c r="B1950" s="59" t="str">
        <x:v>country</x:v>
      </x:c>
      <x:c r="C1950" s="59" t="str">
        <x:v>EUROPE</x:v>
      </x:c>
    </x:row>
    <x:row r="1951" ht="30" customHeight="1">
      <x:c r="A1951" s="59" t="str">
        <x:v>PYPSA_EUR</x:v>
      </x:c>
      <x:c r="B1951" s="59" t="str">
        <x:v>geographical_scope</x:v>
      </x:c>
      <x:c r="C1951" s="59" t="str">
        <x:v>Europa, konfiguracja modelu</x:v>
      </x:c>
    </x:row>
    <x:row r="1952" ht="30" customHeight="1">
      <x:c r="A1952" s="59" t="str">
        <x:v>PYPSA_EUR</x:v>
      </x:c>
      <x:c r="B1952" s="59" t="str">
        <x:v>grid_voltage</x:v>
      </x:c>
      <x:c r="C1952" s="59" t="str">
        <x:v>[ "UNKNOWN_OR_NOT_APPLICABLE" ]</x:v>
      </x:c>
    </x:row>
    <x:row r="1953" ht="30" customHeight="1">
      <x:c r="A1953" s="59" t="str">
        <x:v>PYPSA_EUR</x:v>
      </x:c>
      <x:c r="B1953" s="59" t="str">
        <x:v>api_available</x:v>
      </x:c>
      <x:c r="C1953" s="59" t="str">
        <x:v>UNKNOWN</x:v>
      </x:c>
    </x:row>
    <x:row r="1954" ht="30" customHeight="1">
      <x:c r="A1954" s="59" t="str">
        <x:v>PYPSA_EUR</x:v>
      </x:c>
      <x:c r="B1954" s="59" t="str">
        <x:v>gis_available</x:v>
      </x:c>
      <x:c r="C1954" s="59" t="str">
        <x:v>UNKNOWN</x:v>
      </x:c>
    </x:row>
    <x:row r="1955" ht="30" customHeight="1">
      <x:c r="A1955" s="59" t="str">
        <x:v>PYPSA_EUR</x:v>
      </x:c>
      <x:c r="B1955" s="59" t="str">
        <x:v>update_frequency</x:v>
      </x:c>
      <x:c r="C1955" s="59" t="str">
        <x:v>UNKNOWN — nie ustalono gwarantowanego cyklu publikacji.</x:v>
      </x:c>
    </x:row>
    <x:row r="1956" ht="30" customHeight="1">
      <x:c r="A1956" s="59" t="str">
        <x:v>PYPSA_EUR</x:v>
      </x:c>
      <x:c r="B1956" s="59" t="str">
        <x:v>historical_data</x:v>
      </x:c>
      <x:c r="C1956" s="59" t="str">
        <x:v>UNKNOWN — własne snapshoty od 10.09.2026, jeśli zapisano próbkę.</x:v>
      </x:c>
    </x:row>
    <x:row r="1957" ht="30" customHeight="1">
      <x:c r="A1957" s="59" t="str">
        <x:v>PYPSA_EUR</x:v>
      </x:c>
      <x:c r="B1957" s="59" t="str">
        <x:v>authentication</x:v>
      </x:c>
      <x:c r="C1957" s="59" t="str">
        <x:v>Odczyt publicznej strony bez konta; nie dowodzi dostępu do wszystkich danych.</x:v>
      </x:c>
    </x:row>
    <x:row r="1958" ht="30" customHeight="1">
      <x:c r="A1958" s="59" t="str">
        <x:v>PYPSA_EUR</x:v>
      </x:c>
      <x:c r="B1958" s="59" t="str">
        <x:v>license</x:v>
      </x:c>
      <x:c r="C1958" s="59" t="str">
        <x:v>Repozytorium kodu MIT; prawa wejściowych danych sprawdzać oddzielnie.</x:v>
      </x:c>
    </x:row>
    <x:row r="1959" ht="30" customHeight="1">
      <x:c r="A1959" s="59" t="str">
        <x:v>PYPSA_EUR</x:v>
      </x:c>
      <x:c r="B1959" s="59" t="str">
        <x:v>license_url</x:v>
      </x:c>
      <x:c r="C1959" s="59" t="str">
        <x:v>UNKNOWN — nie ustalono</x:v>
      </x:c>
    </x:row>
    <x:row r="1960" ht="30" customHeight="1">
      <x:c r="A1960" s="59" t="str">
        <x:v>PYPSA_EUR</x:v>
      </x:c>
      <x:c r="B1960" s="59" t="str">
        <x:v>commercial_use</x:v>
      </x:c>
      <x:c r="C1960" s="59" t="str">
        <x:v>CONDITIONAL</x:v>
      </x:c>
    </x:row>
    <x:row r="1961" ht="30" customHeight="1">
      <x:c r="A1961" s="59" t="str">
        <x:v>PYPSA_EUR</x:v>
      </x:c>
      <x:c r="B1961" s="59" t="str">
        <x:v>machine_readable</x:v>
      </x:c>
      <x:c r="C1961" s="59" t="str">
        <x:v>YES</x:v>
      </x:c>
    </x:row>
    <x:row r="1962" ht="30" customHeight="1">
      <x:c r="A1962" s="59" t="str">
        <x:v>PYPSA_EUR</x:v>
      </x:c>
      <x:c r="B1962" s="59" t="str">
        <x:v>scraping_required</x:v>
      </x:c>
      <x:c r="C1962" s="59" t="str">
        <x:v>UNKNOWN — przed scraperem preferować oficjalny plik lub API.</x:v>
      </x:c>
    </x:row>
    <x:row r="1963" ht="30" customHeight="1">
      <x:c r="A1963" s="59" t="str">
        <x:v>PYPSA_EUR</x:v>
      </x:c>
      <x:c r="B1963" s="59" t="str">
        <x:v>data_quality_score</x:v>
      </x:c>
      <x:c r="C1963" s="59" t="str">
        <x:v>UNKNOWN — nie ustalono</x:v>
      </x:c>
    </x:row>
    <x:row r="1964" ht="30" customHeight="1">
      <x:c r="A1964" s="59" t="str">
        <x:v>PYPSA_EUR</x:v>
      </x:c>
      <x:c r="B1964" s="59" t="str">
        <x:v>quality_score_status</x:v>
      </x:c>
      <x:c r="C1964" s="59" t="str">
        <x:v>NOT_CALIBRATED — autorytet źródła nie jest procentem kompletności lub trafności.</x:v>
      </x:c>
    </x:row>
    <x:row r="1965" ht="30" customHeight="1">
      <x:c r="A1965" s="59" t="str">
        <x:v>PYPSA_EUR</x:v>
      </x:c>
      <x:c r="B1965" s="59" t="str">
        <x:v>last_verified</x:v>
      </x:c>
      <x:c r="C1965" s="60" t="n">
        <x:v>46275</x:v>
      </x:c>
    </x:row>
    <x:row r="1966" ht="30" customHeight="1">
      <x:c r="A1966" s="59" t="str">
        <x:v>PYPSA_EUR</x:v>
      </x:c>
      <x:c r="B1966" s="59" t="str">
        <x:v>last_successful_verification</x:v>
      </x:c>
      <x:c r="C1966" s="60" t="n">
        <x:v>46275</x:v>
      </x:c>
    </x:row>
    <x:row r="1967" ht="30" customHeight="1">
      <x:c r="A1967" s="59" t="str">
        <x:v>PYPSA_EUR</x:v>
      </x:c>
      <x:c r="B1967" s="59" t="str">
        <x:v>source_date</x:v>
      </x:c>
      <x:c r="C1967" s="59" t="str">
        <x:v>UNKNOWN — nie ustalono</x:v>
      </x:c>
    </x:row>
    <x:row r="1968" ht="30" customHeight="1">
      <x:c r="A1968" s="59" t="str">
        <x:v>PYPSA_EUR</x:v>
      </x:c>
      <x:c r="B1968" s="59" t="str">
        <x:v>publication_date</x:v>
      </x:c>
      <x:c r="C1968" s="59" t="str">
        <x:v>UNKNOWN — nie ustalono</x:v>
      </x:c>
    </x:row>
    <x:row r="1969" ht="30" customHeight="1">
      <x:c r="A1969" s="59" t="str">
        <x:v>PYPSA_EUR</x:v>
      </x:c>
      <x:c r="B1969" s="59" t="str">
        <x:v>source_version</x:v>
      </x:c>
      <x:c r="C1969" s="59" t="str">
        <x:v>UNKNOWN — nie ustalono</x:v>
      </x:c>
    </x:row>
    <x:row r="1970" ht="30" customHeight="1">
      <x:c r="A1970" s="59" t="str">
        <x:v>PYPSA_EUR</x:v>
      </x:c>
      <x:c r="B1970" s="59" t="str">
        <x:v>source_page</x:v>
      </x:c>
      <x:c r="C1970" s="59" t="str">
        <x:v>UNKNOWN — nie ustalono</x:v>
      </x:c>
    </x:row>
    <x:row r="1971" ht="30" customHeight="1">
      <x:c r="A1971" s="59" t="str">
        <x:v>PYPSA_EUR</x:v>
      </x:c>
      <x:c r="B1971" s="59" t="str">
        <x:v>valid_from</x:v>
      </x:c>
      <x:c r="C1971" s="59" t="str">
        <x:v>UNKNOWN — nie ustalono</x:v>
      </x:c>
    </x:row>
    <x:row r="1972" ht="30" customHeight="1">
      <x:c r="A1972" s="59" t="str">
        <x:v>PYPSA_EUR</x:v>
      </x:c>
      <x:c r="B1972" s="59" t="str">
        <x:v>valid_to</x:v>
      </x:c>
      <x:c r="C1972" s="59" t="str">
        <x:v>UNKNOWN — nie ustalono</x:v>
      </x:c>
    </x:row>
    <x:row r="1973" ht="30" customHeight="1">
      <x:c r="A1973" s="59" t="str">
        <x:v>PYPSA_EUR</x:v>
      </x:c>
      <x:c r="B1973" s="59" t="str">
        <x:v>current_future_scope</x:v>
      </x:c>
      <x:c r="C1973" s="59" t="str">
        <x:v>SOURCE_DEPENDENT</x:v>
      </x:c>
    </x:row>
    <x:row r="1974" ht="30" customHeight="1">
      <x:c r="A1974" s="59" t="str">
        <x:v>PYPSA_EUR</x:v>
      </x:c>
      <x:c r="B1974" s="59" t="str">
        <x:v>value_classification_default</x:v>
      </x:c>
      <x:c r="C1974" s="59" t="str">
        <x:v>ESTIMATED</x:v>
      </x:c>
    </x:row>
    <x:row r="1975" ht="38" customHeight="1">
      <x:c r="A1975" s="59" t="str">
        <x:v>PYPSA_EUR</x:v>
      </x:c>
      <x:c r="B1975" s="59" t="str">
        <x:v>automation_notes</x:v>
      </x:c>
      <x:c r="C1975" s="59" t="str">
        <x:v>Jednorazowy przegląd; brak zgody na stały scraper wynikającej z samego dostępu. Sprawdzić warunki, robots.txt i limity przed wdrożeniem.</x:v>
      </x:c>
    </x:row>
    <x:row r="1976" ht="30" customHeight="1">
      <x:c r="A1976" s="59" t="str">
        <x:v>PYPSA_EUR</x:v>
      </x:c>
      <x:c r="B1976" s="59" t="str">
        <x:v>probe_ids</x:v>
      </x:c>
      <x:c r="C1976" s="59" t="str">
        <x:v>[]</x:v>
      </x:c>
    </x:row>
    <x:row r="1977" ht="30" customHeight="1">
      <x:c r="A1977" s="59" t="str">
        <x:v>PYPSA_EUR</x:v>
      </x:c>
      <x:c r="B1977" s="59" t="str">
        <x:v>related_urls</x:v>
      </x:c>
      <x:c r="C1977" s="59" t="str">
        <x:v>[ "https://arxiv.org/abs/2408.17178" ]</x:v>
      </x:c>
    </x:row>
    <x:row r="1978" ht="30" customHeight="1">
      <x:c r="A1978" s="59" t="str">
        <x:v>PYPSA_EUR</x:v>
      </x:c>
      <x:c r="B1978" s="59" t="str">
        <x:v>source_id</x:v>
      </x:c>
      <x:c r="C1978" s="59" t="str">
        <x:v>PYPSA_EUR</x:v>
      </x:c>
    </x:row>
    <x:row r="1979" ht="30" customHeight="1">
      <x:c r="A1979" s="59" t="str">
        <x:v>PYPSA_EUR</x:v>
      </x:c>
      <x:c r="B1979" s="59" t="str">
        <x:v>operator</x:v>
      </x:c>
      <x:c r="C1979" s="59" t="str">
        <x:v>UNKNOWN — nie ustalono</x:v>
      </x:c>
    </x:row>
    <x:row r="1980" ht="30" customHeight="1">
      <x:c r="A1980" s="59" t="str">
        <x:v>PYPSA_EUR</x:v>
      </x:c>
      <x:c r="B1980" s="59" t="str">
        <x:v>source_name</x:v>
      </x:c>
      <x:c r="C1980" s="59" t="str">
        <x:v>PyPSA-Eur</x:v>
      </x:c>
    </x:row>
    <x:row r="1981" ht="30" customHeight="1">
      <x:c r="A1981" s="59" t="str">
        <x:v>PYPSA_EUR</x:v>
      </x:c>
      <x:c r="B1981" s="59" t="str">
        <x:v>url</x:v>
      </x:c>
      <x:c r="C1981" s="59" t="str">
        <x:v>https://github.com/PyPSA/pypsa-eur</x:v>
      </x:c>
    </x:row>
    <x:row r="1982" ht="30" customHeight="1">
      <x:c r="A1982" s="59" t="str">
        <x:v>PYPSA_EUR</x:v>
      </x:c>
      <x:c r="B1982" s="59" t="str">
        <x:v>data_owner</x:v>
      </x:c>
      <x:c r="C1982" s="59" t="str">
        <x:v>Autorzy PyPSA-Eur i właściciele danych wejściowych</x:v>
      </x:c>
    </x:row>
    <x:row r="1983" ht="30" customHeight="1">
      <x:c r="A1983" s="59" t="str">
        <x:v>PYPSA_EUR</x:v>
      </x:c>
      <x:c r="B1983" s="59" t="str">
        <x:v>data_category</x:v>
      </x:c>
      <x:c r="C1983" s="59" t="str">
        <x:v>open_grid_model_workflow</x:v>
      </x:c>
    </x:row>
    <x:row r="1984" ht="30" customHeight="1">
      <x:c r="A1984" s="59" t="str">
        <x:v>PYPSA_EUR</x:v>
      </x:c>
      <x:c r="B1984" s="59" t="str">
        <x:v>data_format</x:v>
      </x:c>
      <x:c r="C1984" s="59" t="str">
        <x:v>[ "Python", "workflow", "model datasets" ]</x:v>
      </x:c>
    </x:row>
    <x:row r="1985" ht="30" customHeight="1">
      <x:c r="A1985" s="59" t="str">
        <x:v>PYPSA_EUR</x:v>
      </x:c>
      <x:c r="B1985" s="59" t="str">
        <x:v>verification_status</x:v>
      </x:c>
      <x:c r="C1985" s="59" t="str">
        <x:v>CONTENT_REVIEWED</x:v>
      </x:c>
    </x:row>
    <x:row r="1986" ht="30" customHeight="1">
      <x:c r="A1986" s="59" t="str">
        <x:v>PYPSA_EUR</x:v>
      </x:c>
      <x:c r="B1986" s="59" t="str">
        <x:v>reliability</x:v>
      </x:c>
      <x:c r="C1986" s="59" t="str">
        <x:v>H</x:v>
      </x:c>
    </x:row>
    <x:row r="1987" ht="30" customHeight="1">
      <x:c r="A1987" s="59" t="str">
        <x:v>PYPSA_EUR</x:v>
      </x:c>
      <x:c r="B1987" s="59" t="str">
        <x:v>key_fields</x:v>
      </x:c>
      <x:c r="C1987" s="59" t="str">
        <x:v>[ "buses", "lines", "transformers", "generation", "load", "assumptions" ]</x:v>
      </x:c>
    </x:row>
    <x:row r="1988" ht="30" customHeight="1">
      <x:c r="A1988" s="59" t="str">
        <x:v>PYPSA_EUR</x:v>
      </x:c>
      <x:c r="B1988" s="59" t="str">
        <x:v>potential_application</x:v>
      </x:c>
      <x:c r="C1988" s="59" t="str">
        <x:v>Wzorzec budowy modelu referencyjnego i scenariuszy.</x:v>
      </x:c>
    </x:row>
    <x:row r="1989" ht="38" customHeight="1">
      <x:c r="A1989" s="59" t="str">
        <x:v>PYPSA_EUR</x:v>
      </x:c>
      <x:c r="B1989" s="59" t="str">
        <x:v>known_limitations</x:v>
      </x:c>
      <x:c r="C1989" s="59" t="str">
        <x:v>[ "Modelowe i inferowane parametry nie są aktualnymi danymi operatora.", "Licencje wejść odrębne od kodu; nie uruchomiono modelu." ]</x:v>
      </x:c>
    </x:row>
    <x:row r="1990" ht="30" customHeight="1">
      <x:c r="A1990" s="59" t="str">
        <x:v>PYPSA_EUR</x:v>
      </x:c>
      <x:c r="B1990" s="59" t="str">
        <x:v>priority</x:v>
      </x:c>
      <x:c r="C1990" s="59" t="str">
        <x:v>P2</x:v>
      </x:c>
    </x:row>
    <x:row r="1991" ht="30" customHeight="1">
      <x:c r="A1991" s="59" t="str">
        <x:v>PYPSA_EUR</x:v>
      </x:c>
      <x:c r="B1991" s="59" t="str">
        <x:v>evidence</x:v>
      </x:c>
      <x:c r="C1991" s="59" t="str">
        <x:v>[]</x:v>
      </x:c>
    </x:row>
    <x:row r="1992" ht="30" customHeight="1">
      <x:c r="A1992" s="59" t="str">
        <x:v>PYPSA_EUR</x:v>
      </x:c>
      <x:c r="B1992" s="59" t="str">
        <x:v>retrieval_date</x:v>
      </x:c>
      <x:c r="C1992" s="59" t="str">
        <x:v>[]</x:v>
      </x:c>
    </x:row>
    <x:row r="1993" ht="30" customHeight="1">
      <x:c r="A1993" s="59" t="str">
        <x:v>MATPOWER_POLAND</x:v>
      </x:c>
      <x:c r="B1993" s="59" t="str">
        <x:v>country</x:v>
      </x:c>
      <x:c r="C1993" s="59" t="str">
        <x:v>PL</x:v>
      </x:c>
    </x:row>
    <x:row r="1994" ht="30" customHeight="1">
      <x:c r="A1994" s="59" t="str">
        <x:v>MATPOWER_POLAND</x:v>
      </x:c>
      <x:c r="B1994" s="59" t="str">
        <x:v>geographical_scope</x:v>
      </x:c>
      <x:c r="C1994" s="59" t="str">
        <x:v>Zakres publikacji danego operatora/instytucji; nie założono pełnego pokrycia kraju.</x:v>
      </x:c>
    </x:row>
    <x:row r="1995" ht="30" customHeight="1">
      <x:c r="A1995" s="59" t="str">
        <x:v>MATPOWER_POLAND</x:v>
      </x:c>
      <x:c r="B1995" s="59" t="str">
        <x:v>grid_voltage</x:v>
      </x:c>
      <x:c r="C1995" s="59" t="str">
        <x:v>[ "110 kV", "220 kV", "400 kV" ]</x:v>
      </x:c>
    </x:row>
    <x:row r="1996" ht="30" customHeight="1">
      <x:c r="A1996" s="59" t="str">
        <x:v>MATPOWER_POLAND</x:v>
      </x:c>
      <x:c r="B1996" s="59" t="str">
        <x:v>api_available</x:v>
      </x:c>
      <x:c r="C1996" s="59" t="str">
        <x:v>UNKNOWN</x:v>
      </x:c>
    </x:row>
    <x:row r="1997" ht="30" customHeight="1">
      <x:c r="A1997" s="59" t="str">
        <x:v>MATPOWER_POLAND</x:v>
      </x:c>
      <x:c r="B1997" s="59" t="str">
        <x:v>gis_available</x:v>
      </x:c>
      <x:c r="C1997" s="59" t="str">
        <x:v>UNKNOWN</x:v>
      </x:c>
    </x:row>
    <x:row r="1998" ht="30" customHeight="1">
      <x:c r="A1998" s="59" t="str">
        <x:v>MATPOWER_POLAND</x:v>
      </x:c>
      <x:c r="B1998" s="59" t="str">
        <x:v>update_frequency</x:v>
      </x:c>
      <x:c r="C1998" s="59" t="str">
        <x:v>UNKNOWN — nie ustalono gwarantowanego cyklu publikacji.</x:v>
      </x:c>
    </x:row>
    <x:row r="1999" ht="30" customHeight="1">
      <x:c r="A1999" s="59" t="str">
        <x:v>MATPOWER_POLAND</x:v>
      </x:c>
      <x:c r="B1999" s="59" t="str">
        <x:v>historical_data</x:v>
      </x:c>
      <x:c r="C1999" s="59" t="str">
        <x:v>UNKNOWN — własne snapshoty od 10.09.2026, jeśli zapisano próbkę.</x:v>
      </x:c>
    </x:row>
    <x:row r="2000" ht="30" customHeight="1">
      <x:c r="A2000" s="59" t="str">
        <x:v>MATPOWER_POLAND</x:v>
      </x:c>
      <x:c r="B2000" s="59" t="str">
        <x:v>authentication</x:v>
      </x:c>
      <x:c r="C2000" s="59" t="str">
        <x:v>Odczyt publicznej strony bez konta; nie dowodzi dostępu do wszystkich danych.</x:v>
      </x:c>
    </x:row>
    <x:row r="2001" ht="30" customHeight="1">
      <x:c r="A2001" s="59" t="str">
        <x:v>MATPOWER_POLAND</x:v>
      </x:c>
      <x:c r="B2001" s="59" t="str">
        <x:v>license</x:v>
      </x:c>
      <x:c r="C2001" s="59" t="str">
        <x:v>Sprawdzić warunki konkretnego przypadku i wersji niezależnie od biblioteki.</x:v>
      </x:c>
    </x:row>
    <x:row r="2002" ht="30" customHeight="1">
      <x:c r="A2002" s="59" t="str">
        <x:v>MATPOWER_POLAND</x:v>
      </x:c>
      <x:c r="B2002" s="59" t="str">
        <x:v>license_url</x:v>
      </x:c>
      <x:c r="C2002" s="59" t="str">
        <x:v>UNKNOWN — nie ustalono</x:v>
      </x:c>
    </x:row>
    <x:row r="2003" ht="30" customHeight="1">
      <x:c r="A2003" s="59" t="str">
        <x:v>MATPOWER_POLAND</x:v>
      </x:c>
      <x:c r="B2003" s="59" t="str">
        <x:v>commercial_use</x:v>
      </x:c>
      <x:c r="C2003" s="59" t="str">
        <x:v>UNKNOWN</x:v>
      </x:c>
    </x:row>
    <x:row r="2004" ht="30" customHeight="1">
      <x:c r="A2004" s="59" t="str">
        <x:v>MATPOWER_POLAND</x:v>
      </x:c>
      <x:c r="B2004" s="59" t="str">
        <x:v>machine_readable</x:v>
      </x:c>
      <x:c r="C2004" s="59" t="str">
        <x:v>YES</x:v>
      </x:c>
    </x:row>
    <x:row r="2005" ht="30" customHeight="1">
      <x:c r="A2005" s="59" t="str">
        <x:v>MATPOWER_POLAND</x:v>
      </x:c>
      <x:c r="B2005" s="59" t="str">
        <x:v>scraping_required</x:v>
      </x:c>
      <x:c r="C2005" s="59" t="str">
        <x:v>UNKNOWN — przed scraperem preferować oficjalny plik lub API.</x:v>
      </x:c>
    </x:row>
    <x:row r="2006" ht="30" customHeight="1">
      <x:c r="A2006" s="59" t="str">
        <x:v>MATPOWER_POLAND</x:v>
      </x:c>
      <x:c r="B2006" s="59" t="str">
        <x:v>data_quality_score</x:v>
      </x:c>
      <x:c r="C2006" s="59" t="str">
        <x:v>UNKNOWN — nie ustalono</x:v>
      </x:c>
    </x:row>
    <x:row r="2007" ht="30" customHeight="1">
      <x:c r="A2007" s="59" t="str">
        <x:v>MATPOWER_POLAND</x:v>
      </x:c>
      <x:c r="B2007" s="59" t="str">
        <x:v>quality_score_status</x:v>
      </x:c>
      <x:c r="C2007" s="59" t="str">
        <x:v>NOT_CALIBRATED — autorytet źródła nie jest procentem kompletności lub trafności.</x:v>
      </x:c>
    </x:row>
    <x:row r="2008" ht="30" customHeight="1">
      <x:c r="A2008" s="59" t="str">
        <x:v>MATPOWER_POLAND</x:v>
      </x:c>
      <x:c r="B2008" s="59" t="str">
        <x:v>last_verified</x:v>
      </x:c>
      <x:c r="C2008" s="60" t="n">
        <x:v>46275</x:v>
      </x:c>
    </x:row>
    <x:row r="2009" ht="30" customHeight="1">
      <x:c r="A2009" s="59" t="str">
        <x:v>MATPOWER_POLAND</x:v>
      </x:c>
      <x:c r="B2009" s="59" t="str">
        <x:v>last_successful_verification</x:v>
      </x:c>
      <x:c r="C2009" s="60" t="n">
        <x:v>46275</x:v>
      </x:c>
    </x:row>
    <x:row r="2010" ht="30" customHeight="1">
      <x:c r="A2010" s="59" t="str">
        <x:v>MATPOWER_POLAND</x:v>
      </x:c>
      <x:c r="B2010" s="59" t="str">
        <x:v>source_date</x:v>
      </x:c>
      <x:c r="C2010" s="59" t="str">
        <x:v>UNKNOWN — nie ustalono</x:v>
      </x:c>
    </x:row>
    <x:row r="2011" ht="30" customHeight="1">
      <x:c r="A2011" s="59" t="str">
        <x:v>MATPOWER_POLAND</x:v>
      </x:c>
      <x:c r="B2011" s="59" t="str">
        <x:v>publication_date</x:v>
      </x:c>
      <x:c r="C2011" s="59" t="str">
        <x:v>UNKNOWN — nie ustalono</x:v>
      </x:c>
    </x:row>
    <x:row r="2012" ht="30" customHeight="1">
      <x:c r="A2012" s="59" t="str">
        <x:v>MATPOWER_POLAND</x:v>
      </x:c>
      <x:c r="B2012" s="59" t="str">
        <x:v>source_version</x:v>
      </x:c>
      <x:c r="C2012" s="59" t="str">
        <x:v>Zima 1999/2000 według opisu pliku</x:v>
      </x:c>
    </x:row>
    <x:row r="2013" ht="30" customHeight="1">
      <x:c r="A2013" s="59" t="str">
        <x:v>MATPOWER_POLAND</x:v>
      </x:c>
      <x:c r="B2013" s="59" t="str">
        <x:v>source_page</x:v>
      </x:c>
      <x:c r="C2013" s="59" t="str">
        <x:v>UNKNOWN — nie ustalono</x:v>
      </x:c>
    </x:row>
    <x:row r="2014" ht="30" customHeight="1">
      <x:c r="A2014" s="59" t="str">
        <x:v>MATPOWER_POLAND</x:v>
      </x:c>
      <x:c r="B2014" s="59" t="str">
        <x:v>valid_from</x:v>
      </x:c>
      <x:c r="C2014" s="59" t="str">
        <x:v>UNKNOWN — nie ustalono</x:v>
      </x:c>
    </x:row>
    <x:row r="2015" ht="30" customHeight="1">
      <x:c r="A2015" s="59" t="str">
        <x:v>MATPOWER_POLAND</x:v>
      </x:c>
      <x:c r="B2015" s="59" t="str">
        <x:v>valid_to</x:v>
      </x:c>
      <x:c r="C2015" s="59" t="str">
        <x:v>UNKNOWN — nie ustalono</x:v>
      </x:c>
    </x:row>
    <x:row r="2016" ht="30" customHeight="1">
      <x:c r="A2016" s="59" t="str">
        <x:v>MATPOWER_POLAND</x:v>
      </x:c>
      <x:c r="B2016" s="59" t="str">
        <x:v>current_future_scope</x:v>
      </x:c>
      <x:c r="C2016" s="59" t="str">
        <x:v>SOURCE_DEPENDENT</x:v>
      </x:c>
    </x:row>
    <x:row r="2017" ht="30" customHeight="1">
      <x:c r="A2017" s="59" t="str">
        <x:v>MATPOWER_POLAND</x:v>
      </x:c>
      <x:c r="B2017" s="59" t="str">
        <x:v>value_classification_default</x:v>
      </x:c>
      <x:c r="C2017" s="59" t="str">
        <x:v>ESTIMATED</x:v>
      </x:c>
    </x:row>
    <x:row r="2018" ht="38" customHeight="1">
      <x:c r="A2018" s="59" t="str">
        <x:v>MATPOWER_POLAND</x:v>
      </x:c>
      <x:c r="B2018" s="59" t="str">
        <x:v>automation_notes</x:v>
      </x:c>
      <x:c r="C2018" s="59" t="str">
        <x:v>Jednorazowy przegląd; brak zgody na stały scraper wynikającej z samego dostępu. Sprawdzić warunki, robots.txt i limity przed wdrożeniem.</x:v>
      </x:c>
    </x:row>
    <x:row r="2019" ht="30" customHeight="1">
      <x:c r="A2019" s="59" t="str">
        <x:v>MATPOWER_POLAND</x:v>
      </x:c>
      <x:c r="B2019" s="59" t="str">
        <x:v>probe_ids</x:v>
      </x:c>
      <x:c r="C2019" s="59" t="str">
        <x:v>[]</x:v>
      </x:c>
    </x:row>
    <x:row r="2020" ht="30" customHeight="1">
      <x:c r="A2020" s="59" t="str">
        <x:v>MATPOWER_POLAND</x:v>
      </x:c>
      <x:c r="B2020" s="59" t="str">
        <x:v>related_urls</x:v>
      </x:c>
      <x:c r="C2020" s="59" t="str">
        <x:v>[]</x:v>
      </x:c>
    </x:row>
    <x:row r="2021" ht="30" customHeight="1">
      <x:c r="A2021" s="59" t="str">
        <x:v>MATPOWER_POLAND</x:v>
      </x:c>
      <x:c r="B2021" s="59" t="str">
        <x:v>source_id</x:v>
      </x:c>
      <x:c r="C2021" s="59" t="str">
        <x:v>MATPOWER_POLAND</x:v>
      </x:c>
    </x:row>
    <x:row r="2022" ht="30" customHeight="1">
      <x:c r="A2022" s="59" t="str">
        <x:v>MATPOWER_POLAND</x:v>
      </x:c>
      <x:c r="B2022" s="59" t="str">
        <x:v>operator</x:v>
      </x:c>
      <x:c r="C2022" s="59" t="str">
        <x:v>UNKNOWN — nie ustalono</x:v>
      </x:c>
    </x:row>
    <x:row r="2023" ht="30" customHeight="1">
      <x:c r="A2023" s="59" t="str">
        <x:v>MATPOWER_POLAND</x:v>
      </x:c>
      <x:c r="B2023" s="59" t="str">
        <x:v>source_name</x:v>
      </x:c>
      <x:c r="C2023" s="59" t="str">
        <x:v>MATPOWER case2383wp — historyczny przypadek Polski</x:v>
      </x:c>
    </x:row>
    <x:row r="2024" ht="30" customHeight="1">
      <x:c r="A2024" s="59" t="str">
        <x:v>MATPOWER_POLAND</x:v>
      </x:c>
      <x:c r="B2024" s="59" t="str">
        <x:v>url</x:v>
      </x:c>
      <x:c r="C2024" s="59" t="str">
        <x:v>https://github.com/MATPOWER/matpower/blob/master/data/case2383wp.m</x:v>
      </x:c>
    </x:row>
    <x:row r="2025" ht="30" customHeight="1">
      <x:c r="A2025" s="59" t="str">
        <x:v>MATPOWER_POLAND</x:v>
      </x:c>
      <x:c r="B2025" s="59" t="str">
        <x:v>data_owner</x:v>
      </x:c>
      <x:c r="C2025" s="59" t="str">
        <x:v>Autor przypadku / autorzy MATPOWER</x:v>
      </x:c>
    </x:row>
    <x:row r="2026" ht="30" customHeight="1">
      <x:c r="A2026" s="59" t="str">
        <x:v>MATPOWER_POLAND</x:v>
      </x:c>
      <x:c r="B2026" s="59" t="str">
        <x:v>data_category</x:v>
      </x:c>
      <x:c r="C2026" s="59" t="str">
        <x:v>historical_grid_benchmark</x:v>
      </x:c>
    </x:row>
    <x:row r="2027" ht="30" customHeight="1">
      <x:c r="A2027" s="59" t="str">
        <x:v>MATPOWER_POLAND</x:v>
      </x:c>
      <x:c r="B2027" s="59" t="str">
        <x:v>data_format</x:v>
      </x:c>
      <x:c r="C2027" s="59" t="str">
        <x:v>[ "MATPOWER .m" ]</x:v>
      </x:c>
    </x:row>
    <x:row r="2028" ht="30" customHeight="1">
      <x:c r="A2028" s="59" t="str">
        <x:v>MATPOWER_POLAND</x:v>
      </x:c>
      <x:c r="B2028" s="59" t="str">
        <x:v>verification_status</x:v>
      </x:c>
      <x:c r="C2028" s="59" t="str">
        <x:v>CONTENT_REVIEWED</x:v>
      </x:c>
    </x:row>
    <x:row r="2029" ht="30" customHeight="1">
      <x:c r="A2029" s="59" t="str">
        <x:v>MATPOWER_POLAND</x:v>
      </x:c>
      <x:c r="B2029" s="59" t="str">
        <x:v>reliability</x:v>
      </x:c>
      <x:c r="C2029" s="59" t="str">
        <x:v>H</x:v>
      </x:c>
    </x:row>
    <x:row r="2030" ht="30" customHeight="1">
      <x:c r="A2030" s="59" t="str">
        <x:v>MATPOWER_POLAND</x:v>
      </x:c>
      <x:c r="B2030" s="59" t="str">
        <x:v>key_fields</x:v>
      </x:c>
      <x:c r="C2030" s="59" t="str">
        <x:v>[ "bus", "branch", "gen" ]</x:v>
      </x:c>
    </x:row>
    <x:row r="2031" ht="30" customHeight="1">
      <x:c r="A2031" s="59" t="str">
        <x:v>MATPOWER_POLAND</x:v>
      </x:c>
      <x:c r="B2031" s="59" t="str">
        <x:v>potential_application</x:v>
      </x:c>
      <x:c r="C2031" s="59" t="str">
        <x:v>Test algorytmu i importu formatów.</x:v>
      </x:c>
    </x:row>
    <x:row r="2032" ht="30" customHeight="1">
      <x:c r="A2032" s="59" t="str">
        <x:v>MATPOWER_POLAND</x:v>
      </x:c>
      <x:c r="B2032" s="59" t="str">
        <x:v>known_limitations</x:v>
      </x:c>
      <x:c r="C2032" s="59" t="str">
        <x:v>[ "Historyczny przypadek z uproszczeniami; nie aktualna sieć Polski ani geograficzna baza projektów." ]</x:v>
      </x:c>
    </x:row>
    <x:row r="2033" ht="30" customHeight="1">
      <x:c r="A2033" s="59" t="str">
        <x:v>MATPOWER_POLAND</x:v>
      </x:c>
      <x:c r="B2033" s="59" t="str">
        <x:v>priority</x:v>
      </x:c>
      <x:c r="C2033" s="59" t="str">
        <x:v>P3</x:v>
      </x:c>
    </x:row>
    <x:row r="2034" ht="30" customHeight="1">
      <x:c r="A2034" s="59" t="str">
        <x:v>MATPOWER_POLAND</x:v>
      </x:c>
      <x:c r="B2034" s="59" t="str">
        <x:v>evidence</x:v>
      </x:c>
      <x:c r="C2034" s="59" t="str">
        <x:v>[]</x:v>
      </x:c>
    </x:row>
    <x:row r="2035" ht="30" customHeight="1">
      <x:c r="A2035" s="59" t="str">
        <x:v>MATPOWER_POLAND</x:v>
      </x:c>
      <x:c r="B2035" s="59" t="str">
        <x:v>retrieval_date</x:v>
      </x:c>
      <x:c r="C2035" s="59" t="str">
        <x:v>[]</x:v>
      </x:c>
    </x:row>
    <x:row r="2036" ht="30" customHeight="1">
      <x:c r="A2036" s="59" t="str">
        <x:v>PANDAPOWER</x:v>
      </x:c>
      <x:c r="B2036" s="59" t="str">
        <x:v>country</x:v>
      </x:c>
      <x:c r="C2036" s="59" t="str">
        <x:v>GLOBAL</x:v>
      </x:c>
    </x:row>
    <x:row r="2037" ht="30" customHeight="1">
      <x:c r="A2037" s="59" t="str">
        <x:v>PANDAPOWER</x:v>
      </x:c>
      <x:c r="B2037" s="59" t="str">
        <x:v>geographical_scope</x:v>
      </x:c>
      <x:c r="C2037" s="59" t="str">
        <x:v>Narzędzie niezależne od kraju</x:v>
      </x:c>
    </x:row>
    <x:row r="2038" ht="30" customHeight="1">
      <x:c r="A2038" s="59" t="str">
        <x:v>PANDAPOWER</x:v>
      </x:c>
      <x:c r="B2038" s="59" t="str">
        <x:v>grid_voltage</x:v>
      </x:c>
      <x:c r="C2038" s="59" t="str">
        <x:v>[ "UNKNOWN_OR_NOT_APPLICABLE" ]</x:v>
      </x:c>
    </x:row>
    <x:row r="2039" ht="30" customHeight="1">
      <x:c r="A2039" s="59" t="str">
        <x:v>PANDAPOWER</x:v>
      </x:c>
      <x:c r="B2039" s="59" t="str">
        <x:v>api_available</x:v>
      </x:c>
      <x:c r="C2039" s="59" t="str">
        <x:v>UNKNOWN</x:v>
      </x:c>
    </x:row>
    <x:row r="2040" ht="30" customHeight="1">
      <x:c r="A2040" s="59" t="str">
        <x:v>PANDAPOWER</x:v>
      </x:c>
      <x:c r="B2040" s="59" t="str">
        <x:v>gis_available</x:v>
      </x:c>
      <x:c r="C2040" s="59" t="str">
        <x:v>UNKNOWN</x:v>
      </x:c>
    </x:row>
    <x:row r="2041" ht="30" customHeight="1">
      <x:c r="A2041" s="59" t="str">
        <x:v>PANDAPOWER</x:v>
      </x:c>
      <x:c r="B2041" s="59" t="str">
        <x:v>update_frequency</x:v>
      </x:c>
      <x:c r="C2041" s="59" t="str">
        <x:v>UNKNOWN — nie ustalono gwarantowanego cyklu publikacji.</x:v>
      </x:c>
    </x:row>
    <x:row r="2042" ht="30" customHeight="1">
      <x:c r="A2042" s="59" t="str">
        <x:v>PANDAPOWER</x:v>
      </x:c>
      <x:c r="B2042" s="59" t="str">
        <x:v>historical_data</x:v>
      </x:c>
      <x:c r="C2042" s="59" t="str">
        <x:v>UNKNOWN — własne snapshoty od 10.09.2026, jeśli zapisano próbkę.</x:v>
      </x:c>
    </x:row>
    <x:row r="2043" ht="30" customHeight="1">
      <x:c r="A2043" s="59" t="str">
        <x:v>PANDAPOWER</x:v>
      </x:c>
      <x:c r="B2043" s="59" t="str">
        <x:v>authentication</x:v>
      </x:c>
      <x:c r="C2043" s="59" t="str">
        <x:v>Odczyt publicznej strony bez konta; nie dowodzi dostępu do wszystkich danych.</x:v>
      </x:c>
    </x:row>
    <x:row r="2044" ht="30" customHeight="1">
      <x:c r="A2044" s="59" t="str">
        <x:v>PANDAPOWER</x:v>
      </x:c>
      <x:c r="B2044" s="59" t="str">
        <x:v>license</x:v>
      </x:c>
      <x:c r="C2044" s="59" t="str">
        <x:v>Wymagana kontrola pliku LICENSE przypiętej wersji przed wdrożeniem.</x:v>
      </x:c>
    </x:row>
    <x:row r="2045" ht="30" customHeight="1">
      <x:c r="A2045" s="59" t="str">
        <x:v>PANDAPOWER</x:v>
      </x:c>
      <x:c r="B2045" s="59" t="str">
        <x:v>license_url</x:v>
      </x:c>
      <x:c r="C2045" s="59" t="str">
        <x:v>UNKNOWN — nie ustalono</x:v>
      </x:c>
    </x:row>
    <x:row r="2046" ht="30" customHeight="1">
      <x:c r="A2046" s="59" t="str">
        <x:v>PANDAPOWER</x:v>
      </x:c>
      <x:c r="B2046" s="59" t="str">
        <x:v>commercial_use</x:v>
      </x:c>
      <x:c r="C2046" s="59" t="str">
        <x:v>UNKNOWN</x:v>
      </x:c>
    </x:row>
    <x:row r="2047" ht="30" customHeight="1">
      <x:c r="A2047" s="59" t="str">
        <x:v>PANDAPOWER</x:v>
      </x:c>
      <x:c r="B2047" s="59" t="str">
        <x:v>machine_readable</x:v>
      </x:c>
      <x:c r="C2047" s="59" t="str">
        <x:v>UNKNOWN</x:v>
      </x:c>
    </x:row>
    <x:row r="2048" ht="30" customHeight="1">
      <x:c r="A2048" s="59" t="str">
        <x:v>PANDAPOWER</x:v>
      </x:c>
      <x:c r="B2048" s="59" t="str">
        <x:v>scraping_required</x:v>
      </x:c>
      <x:c r="C2048" s="59" t="str">
        <x:v>UNKNOWN — przed scraperem preferować oficjalny plik lub API.</x:v>
      </x:c>
    </x:row>
    <x:row r="2049" ht="30" customHeight="1">
      <x:c r="A2049" s="59" t="str">
        <x:v>PANDAPOWER</x:v>
      </x:c>
      <x:c r="B2049" s="59" t="str">
        <x:v>data_quality_score</x:v>
      </x:c>
      <x:c r="C2049" s="59" t="str">
        <x:v>UNKNOWN — nie ustalono</x:v>
      </x:c>
    </x:row>
    <x:row r="2050" ht="30" customHeight="1">
      <x:c r="A2050" s="59" t="str">
        <x:v>PANDAPOWER</x:v>
      </x:c>
      <x:c r="B2050" s="59" t="str">
        <x:v>quality_score_status</x:v>
      </x:c>
      <x:c r="C2050" s="59" t="str">
        <x:v>NOT_CALIBRATED — autorytet źródła nie jest procentem kompletności lub trafności.</x:v>
      </x:c>
    </x:row>
    <x:row r="2051" ht="30" customHeight="1">
      <x:c r="A2051" s="59" t="str">
        <x:v>PANDAPOWER</x:v>
      </x:c>
      <x:c r="B2051" s="59" t="str">
        <x:v>last_verified</x:v>
      </x:c>
      <x:c r="C2051" s="60" t="n">
        <x:v>46275</x:v>
      </x:c>
    </x:row>
    <x:row r="2052" ht="30" customHeight="1">
      <x:c r="A2052" s="59" t="str">
        <x:v>PANDAPOWER</x:v>
      </x:c>
      <x:c r="B2052" s="59" t="str">
        <x:v>last_successful_verification</x:v>
      </x:c>
      <x:c r="C2052" s="60" t="n">
        <x:v>46275</x:v>
      </x:c>
    </x:row>
    <x:row r="2053" ht="30" customHeight="1">
      <x:c r="A2053" s="59" t="str">
        <x:v>PANDAPOWER</x:v>
      </x:c>
      <x:c r="B2053" s="59" t="str">
        <x:v>source_date</x:v>
      </x:c>
      <x:c r="C2053" s="59" t="str">
        <x:v>UNKNOWN — nie ustalono</x:v>
      </x:c>
    </x:row>
    <x:row r="2054" ht="30" customHeight="1">
      <x:c r="A2054" s="59" t="str">
        <x:v>PANDAPOWER</x:v>
      </x:c>
      <x:c r="B2054" s="59" t="str">
        <x:v>publication_date</x:v>
      </x:c>
      <x:c r="C2054" s="59" t="str">
        <x:v>UNKNOWN — nie ustalono</x:v>
      </x:c>
    </x:row>
    <x:row r="2055" ht="30" customHeight="1">
      <x:c r="A2055" s="59" t="str">
        <x:v>PANDAPOWER</x:v>
      </x:c>
      <x:c r="B2055" s="59" t="str">
        <x:v>source_version</x:v>
      </x:c>
      <x:c r="C2055" s="59" t="str">
        <x:v>UNKNOWN — nie ustalono</x:v>
      </x:c>
    </x:row>
    <x:row r="2056" ht="30" customHeight="1">
      <x:c r="A2056" s="59" t="str">
        <x:v>PANDAPOWER</x:v>
      </x:c>
      <x:c r="B2056" s="59" t="str">
        <x:v>source_page</x:v>
      </x:c>
      <x:c r="C2056" s="59" t="str">
        <x:v>UNKNOWN — nie ustalono</x:v>
      </x:c>
    </x:row>
    <x:row r="2057" ht="30" customHeight="1">
      <x:c r="A2057" s="59" t="str">
        <x:v>PANDAPOWER</x:v>
      </x:c>
      <x:c r="B2057" s="59" t="str">
        <x:v>valid_from</x:v>
      </x:c>
      <x:c r="C2057" s="59" t="str">
        <x:v>UNKNOWN — nie ustalono</x:v>
      </x:c>
    </x:row>
    <x:row r="2058" ht="30" customHeight="1">
      <x:c r="A2058" s="59" t="str">
        <x:v>PANDAPOWER</x:v>
      </x:c>
      <x:c r="B2058" s="59" t="str">
        <x:v>valid_to</x:v>
      </x:c>
      <x:c r="C2058" s="59" t="str">
        <x:v>UNKNOWN — nie ustalono</x:v>
      </x:c>
    </x:row>
    <x:row r="2059" ht="30" customHeight="1">
      <x:c r="A2059" s="59" t="str">
        <x:v>PANDAPOWER</x:v>
      </x:c>
      <x:c r="B2059" s="59" t="str">
        <x:v>current_future_scope</x:v>
      </x:c>
      <x:c r="C2059" s="59" t="str">
        <x:v>SOURCE_DEPENDENT</x:v>
      </x:c>
    </x:row>
    <x:row r="2060" ht="30" customHeight="1">
      <x:c r="A2060" s="59" t="str">
        <x:v>PANDAPOWER</x:v>
      </x:c>
      <x:c r="B2060" s="59" t="str">
        <x:v>value_classification_default</x:v>
      </x:c>
      <x:c r="C2060" s="59" t="str">
        <x:v>CALCULATED</x:v>
      </x:c>
    </x:row>
    <x:row r="2061" ht="38" customHeight="1">
      <x:c r="A2061" s="59" t="str">
        <x:v>PANDAPOWER</x:v>
      </x:c>
      <x:c r="B2061" s="59" t="str">
        <x:v>automation_notes</x:v>
      </x:c>
      <x:c r="C2061" s="59" t="str">
        <x:v>Jednorazowy przegląd; brak zgody na stały scraper wynikającej z samego dostępu. Sprawdzić warunki, robots.txt i limity przed wdrożeniem.</x:v>
      </x:c>
    </x:row>
    <x:row r="2062" ht="30" customHeight="1">
      <x:c r="A2062" s="59" t="str">
        <x:v>PANDAPOWER</x:v>
      </x:c>
      <x:c r="B2062" s="59" t="str">
        <x:v>probe_ids</x:v>
      </x:c>
      <x:c r="C2062" s="59" t="str">
        <x:v>[]</x:v>
      </x:c>
    </x:row>
    <x:row r="2063" ht="30" customHeight="1">
      <x:c r="A2063" s="59" t="str">
        <x:v>PANDAPOWER</x:v>
      </x:c>
      <x:c r="B2063" s="59" t="str">
        <x:v>related_urls</x:v>
      </x:c>
      <x:c r="C2063" s="59" t="str">
        <x:v>[]</x:v>
      </x:c>
    </x:row>
    <x:row r="2064" ht="30" customHeight="1">
      <x:c r="A2064" s="59" t="str">
        <x:v>PANDAPOWER</x:v>
      </x:c>
      <x:c r="B2064" s="59" t="str">
        <x:v>source_id</x:v>
      </x:c>
      <x:c r="C2064" s="59" t="str">
        <x:v>PANDAPOWER</x:v>
      </x:c>
    </x:row>
    <x:row r="2065" ht="30" customHeight="1">
      <x:c r="A2065" s="59" t="str">
        <x:v>PANDAPOWER</x:v>
      </x:c>
      <x:c r="B2065" s="59" t="str">
        <x:v>operator</x:v>
      </x:c>
      <x:c r="C2065" s="59" t="str">
        <x:v>UNKNOWN — nie ustalono</x:v>
      </x:c>
    </x:row>
    <x:row r="2066" ht="30" customHeight="1">
      <x:c r="A2066" s="59" t="str">
        <x:v>PANDAPOWER</x:v>
      </x:c>
      <x:c r="B2066" s="59" t="str">
        <x:v>source_name</x:v>
      </x:c>
      <x:c r="C2066" s="59" t="str">
        <x:v>pandapower</x:v>
      </x:c>
    </x:row>
    <x:row r="2067" ht="30" customHeight="1">
      <x:c r="A2067" s="59" t="str">
        <x:v>PANDAPOWER</x:v>
      </x:c>
      <x:c r="B2067" s="59" t="str">
        <x:v>url</x:v>
      </x:c>
      <x:c r="C2067" s="59" t="str">
        <x:v>https://github.com/e2nIEE/pandapower</x:v>
      </x:c>
    </x:row>
    <x:row r="2068" ht="30" customHeight="1">
      <x:c r="A2068" s="59" t="str">
        <x:v>PANDAPOWER</x:v>
      </x:c>
      <x:c r="B2068" s="59" t="str">
        <x:v>data_owner</x:v>
      </x:c>
      <x:c r="C2068" s="59" t="str">
        <x:v>Autorzy pandapower</x:v>
      </x:c>
    </x:row>
    <x:row r="2069" ht="30" customHeight="1">
      <x:c r="A2069" s="59" t="str">
        <x:v>PANDAPOWER</x:v>
      </x:c>
      <x:c r="B2069" s="59" t="str">
        <x:v>data_category</x:v>
      </x:c>
      <x:c r="C2069" s="59" t="str">
        <x:v>powerflow_library</x:v>
      </x:c>
    </x:row>
    <x:row r="2070" ht="30" customHeight="1">
      <x:c r="A2070" s="59" t="str">
        <x:v>PANDAPOWER</x:v>
      </x:c>
      <x:c r="B2070" s="59" t="str">
        <x:v>data_format</x:v>
      </x:c>
      <x:c r="C2070" s="59" t="str">
        <x:v>[ "Python" ]</x:v>
      </x:c>
    </x:row>
    <x:row r="2071" ht="30" customHeight="1">
      <x:c r="A2071" s="59" t="str">
        <x:v>PANDAPOWER</x:v>
      </x:c>
      <x:c r="B2071" s="59" t="str">
        <x:v>verification_status</x:v>
      </x:c>
      <x:c r="C2071" s="59" t="str">
        <x:v>CONTENT_REVIEWED</x:v>
      </x:c>
    </x:row>
    <x:row r="2072" ht="30" customHeight="1">
      <x:c r="A2072" s="59" t="str">
        <x:v>PANDAPOWER</x:v>
      </x:c>
      <x:c r="B2072" s="59" t="str">
        <x:v>reliability</x:v>
      </x:c>
      <x:c r="C2072" s="59" t="str">
        <x:v>H</x:v>
      </x:c>
    </x:row>
    <x:row r="2073" ht="30" customHeight="1">
      <x:c r="A2073" s="59" t="str">
        <x:v>PANDAPOWER</x:v>
      </x:c>
      <x:c r="B2073" s="59" t="str">
        <x:v>key_fields</x:v>
      </x:c>
      <x:c r="C2073" s="59" t="str">
        <x:v>[ "model buses/lines/transformers", "powerflow results" ]</x:v>
      </x:c>
    </x:row>
    <x:row r="2074" ht="30" customHeight="1">
      <x:c r="A2074" s="59" t="str">
        <x:v>PANDAPOWER</x:v>
      </x:c>
      <x:c r="B2074" s="59" t="str">
        <x:v>potential_application</x:v>
      </x:c>
      <x:c r="C2074" s="59" t="str">
        <x:v>Przyszłe obliczenia przy kompletnych wejściach.</x:v>
      </x:c>
    </x:row>
    <x:row r="2075" ht="30" customHeight="1">
      <x:c r="A2075" s="59" t="str">
        <x:v>PANDAPOWER</x:v>
      </x:c>
      <x:c r="B2075" s="59" t="str">
        <x:v>known_limitations</x:v>
      </x:c>
      <x:c r="C2075" s="59" t="str">
        <x:v>[ "Biblioteka nie dostarcza rzeczywistych brakujących danych KSE; nie zainstalowano i nie porównano solverów." ]</x:v>
      </x:c>
    </x:row>
    <x:row r="2076" ht="30" customHeight="1">
      <x:c r="A2076" s="59" t="str">
        <x:v>PANDAPOWER</x:v>
      </x:c>
      <x:c r="B2076" s="59" t="str">
        <x:v>priority</x:v>
      </x:c>
      <x:c r="C2076" s="59" t="str">
        <x:v>P3</x:v>
      </x:c>
    </x:row>
    <x:row r="2077" ht="30" customHeight="1">
      <x:c r="A2077" s="59" t="str">
        <x:v>PANDAPOWER</x:v>
      </x:c>
      <x:c r="B2077" s="59" t="str">
        <x:v>evidence</x:v>
      </x:c>
      <x:c r="C2077" s="59" t="str">
        <x:v>[]</x:v>
      </x:c>
    </x:row>
    <x:row r="2078" ht="30" customHeight="1">
      <x:c r="A2078" s="59" t="str">
        <x:v>PANDAPOWER</x:v>
      </x:c>
      <x:c r="B2078" s="59" t="str">
        <x:v>retrieval_date</x:v>
      </x:c>
      <x:c r="C2078" s="59" t="str">
        <x:v>[]</x:v>
      </x:c>
    </x:row>
    <x:row r="2079" ht="30" customHeight="1">
      <x:c r="A2079" s="59" t="str">
        <x:v>VERAGRID</x:v>
      </x:c>
      <x:c r="B2079" s="59" t="str">
        <x:v>country</x:v>
      </x:c>
      <x:c r="C2079" s="59" t="str">
        <x:v>GLOBAL</x:v>
      </x:c>
    </x:row>
    <x:row r="2080" ht="30" customHeight="1">
      <x:c r="A2080" s="59" t="str">
        <x:v>VERAGRID</x:v>
      </x:c>
      <x:c r="B2080" s="59" t="str">
        <x:v>geographical_scope</x:v>
      </x:c>
      <x:c r="C2080" s="59" t="str">
        <x:v>Narzędzie niezależne od kraju</x:v>
      </x:c>
    </x:row>
    <x:row r="2081" ht="30" customHeight="1">
      <x:c r="A2081" s="59" t="str">
        <x:v>VERAGRID</x:v>
      </x:c>
      <x:c r="B2081" s="59" t="str">
        <x:v>grid_voltage</x:v>
      </x:c>
      <x:c r="C2081" s="59" t="str">
        <x:v>[ "UNKNOWN_OR_NOT_APPLICABLE" ]</x:v>
      </x:c>
    </x:row>
    <x:row r="2082" ht="30" customHeight="1">
      <x:c r="A2082" s="59" t="str">
        <x:v>VERAGRID</x:v>
      </x:c>
      <x:c r="B2082" s="59" t="str">
        <x:v>api_available</x:v>
      </x:c>
      <x:c r="C2082" s="59" t="str">
        <x:v>UNKNOWN</x:v>
      </x:c>
    </x:row>
    <x:row r="2083" ht="30" customHeight="1">
      <x:c r="A2083" s="59" t="str">
        <x:v>VERAGRID</x:v>
      </x:c>
      <x:c r="B2083" s="59" t="str">
        <x:v>gis_available</x:v>
      </x:c>
      <x:c r="C2083" s="59" t="str">
        <x:v>UNKNOWN</x:v>
      </x:c>
    </x:row>
    <x:row r="2084" ht="30" customHeight="1">
      <x:c r="A2084" s="59" t="str">
        <x:v>VERAGRID</x:v>
      </x:c>
      <x:c r="B2084" s="59" t="str">
        <x:v>update_frequency</x:v>
      </x:c>
      <x:c r="C2084" s="59" t="str">
        <x:v>UNKNOWN — nie ustalono gwarantowanego cyklu publikacji.</x:v>
      </x:c>
    </x:row>
    <x:row r="2085" ht="30" customHeight="1">
      <x:c r="A2085" s="59" t="str">
        <x:v>VERAGRID</x:v>
      </x:c>
      <x:c r="B2085" s="59" t="str">
        <x:v>historical_data</x:v>
      </x:c>
      <x:c r="C2085" s="59" t="str">
        <x:v>UNKNOWN — własne snapshoty od 10.09.2026, jeśli zapisano próbkę.</x:v>
      </x:c>
    </x:row>
    <x:row r="2086" ht="30" customHeight="1">
      <x:c r="A2086" s="59" t="str">
        <x:v>VERAGRID</x:v>
      </x:c>
      <x:c r="B2086" s="59" t="str">
        <x:v>authentication</x:v>
      </x:c>
      <x:c r="C2086" s="59" t="str">
        <x:v>Odczyt publicznej strony bez konta; nie dowodzi dostępu do wszystkich danych.</x:v>
      </x:c>
    </x:row>
    <x:row r="2087" ht="30" customHeight="1">
      <x:c r="A2087" s="59" t="str">
        <x:v>VERAGRID</x:v>
      </x:c>
      <x:c r="B2087" s="59" t="str">
        <x:v>license</x:v>
      </x:c>
      <x:c r="C2087" s="59" t="str">
        <x:v>MPL-2.0 według bieżącego repozytorium; przed wdrożeniem przypiąć wersję.</x:v>
      </x:c>
    </x:row>
    <x:row r="2088" ht="30" customHeight="1">
      <x:c r="A2088" s="59" t="str">
        <x:v>VERAGRID</x:v>
      </x:c>
      <x:c r="B2088" s="59" t="str">
        <x:v>license_url</x:v>
      </x:c>
      <x:c r="C2088" s="59" t="str">
        <x:v>UNKNOWN — nie ustalono</x:v>
      </x:c>
    </x:row>
    <x:row r="2089" ht="30" customHeight="1">
      <x:c r="A2089" s="59" t="str">
        <x:v>VERAGRID</x:v>
      </x:c>
      <x:c r="B2089" s="59" t="str">
        <x:v>commercial_use</x:v>
      </x:c>
      <x:c r="C2089" s="59" t="str">
        <x:v>CONDITIONAL</x:v>
      </x:c>
    </x:row>
    <x:row r="2090" ht="30" customHeight="1">
      <x:c r="A2090" s="59" t="str">
        <x:v>VERAGRID</x:v>
      </x:c>
      <x:c r="B2090" s="59" t="str">
        <x:v>machine_readable</x:v>
      </x:c>
      <x:c r="C2090" s="59" t="str">
        <x:v>UNKNOWN</x:v>
      </x:c>
    </x:row>
    <x:row r="2091" ht="30" customHeight="1">
      <x:c r="A2091" s="59" t="str">
        <x:v>VERAGRID</x:v>
      </x:c>
      <x:c r="B2091" s="59" t="str">
        <x:v>scraping_required</x:v>
      </x:c>
      <x:c r="C2091" s="59" t="str">
        <x:v>UNKNOWN — przed scraperem preferować oficjalny plik lub API.</x:v>
      </x:c>
    </x:row>
    <x:row r="2092" ht="30" customHeight="1">
      <x:c r="A2092" s="59" t="str">
        <x:v>VERAGRID</x:v>
      </x:c>
      <x:c r="B2092" s="59" t="str">
        <x:v>data_quality_score</x:v>
      </x:c>
      <x:c r="C2092" s="59" t="str">
        <x:v>UNKNOWN — nie ustalono</x:v>
      </x:c>
    </x:row>
    <x:row r="2093" ht="30" customHeight="1">
      <x:c r="A2093" s="59" t="str">
        <x:v>VERAGRID</x:v>
      </x:c>
      <x:c r="B2093" s="59" t="str">
        <x:v>quality_score_status</x:v>
      </x:c>
      <x:c r="C2093" s="59" t="str">
        <x:v>NOT_CALIBRATED — autorytet źródła nie jest procentem kompletności lub trafności.</x:v>
      </x:c>
    </x:row>
    <x:row r="2094" ht="30" customHeight="1">
      <x:c r="A2094" s="59" t="str">
        <x:v>VERAGRID</x:v>
      </x:c>
      <x:c r="B2094" s="59" t="str">
        <x:v>last_verified</x:v>
      </x:c>
      <x:c r="C2094" s="60" t="n">
        <x:v>46275</x:v>
      </x:c>
    </x:row>
    <x:row r="2095" ht="30" customHeight="1">
      <x:c r="A2095" s="59" t="str">
        <x:v>VERAGRID</x:v>
      </x:c>
      <x:c r="B2095" s="59" t="str">
        <x:v>last_successful_verification</x:v>
      </x:c>
      <x:c r="C2095" s="60" t="n">
        <x:v>46275</x:v>
      </x:c>
    </x:row>
    <x:row r="2096" ht="30" customHeight="1">
      <x:c r="A2096" s="59" t="str">
        <x:v>VERAGRID</x:v>
      </x:c>
      <x:c r="B2096" s="59" t="str">
        <x:v>source_date</x:v>
      </x:c>
      <x:c r="C2096" s="59" t="str">
        <x:v>UNKNOWN — nie ustalono</x:v>
      </x:c>
    </x:row>
    <x:row r="2097" ht="30" customHeight="1">
      <x:c r="A2097" s="59" t="str">
        <x:v>VERAGRID</x:v>
      </x:c>
      <x:c r="B2097" s="59" t="str">
        <x:v>publication_date</x:v>
      </x:c>
      <x:c r="C2097" s="59" t="str">
        <x:v>UNKNOWN — nie ustalono</x:v>
      </x:c>
    </x:row>
    <x:row r="2098" ht="30" customHeight="1">
      <x:c r="A2098" s="59" t="str">
        <x:v>VERAGRID</x:v>
      </x:c>
      <x:c r="B2098" s="59" t="str">
        <x:v>source_version</x:v>
      </x:c>
      <x:c r="C2098" s="59" t="str">
        <x:v>UNKNOWN — nie ustalono</x:v>
      </x:c>
    </x:row>
    <x:row r="2099" ht="30" customHeight="1">
      <x:c r="A2099" s="59" t="str">
        <x:v>VERAGRID</x:v>
      </x:c>
      <x:c r="B2099" s="59" t="str">
        <x:v>source_page</x:v>
      </x:c>
      <x:c r="C2099" s="59" t="str">
        <x:v>UNKNOWN — nie ustalono</x:v>
      </x:c>
    </x:row>
    <x:row r="2100" ht="30" customHeight="1">
      <x:c r="A2100" s="59" t="str">
        <x:v>VERAGRID</x:v>
      </x:c>
      <x:c r="B2100" s="59" t="str">
        <x:v>valid_from</x:v>
      </x:c>
      <x:c r="C2100" s="59" t="str">
        <x:v>UNKNOWN — nie ustalono</x:v>
      </x:c>
    </x:row>
    <x:row r="2101" ht="30" customHeight="1">
      <x:c r="A2101" s="59" t="str">
        <x:v>VERAGRID</x:v>
      </x:c>
      <x:c r="B2101" s="59" t="str">
        <x:v>valid_to</x:v>
      </x:c>
      <x:c r="C2101" s="59" t="str">
        <x:v>UNKNOWN — nie ustalono</x:v>
      </x:c>
    </x:row>
    <x:row r="2102" ht="30" customHeight="1">
      <x:c r="A2102" s="59" t="str">
        <x:v>VERAGRID</x:v>
      </x:c>
      <x:c r="B2102" s="59" t="str">
        <x:v>current_future_scope</x:v>
      </x:c>
      <x:c r="C2102" s="59" t="str">
        <x:v>SOURCE_DEPENDENT</x:v>
      </x:c>
    </x:row>
    <x:row r="2103" ht="30" customHeight="1">
      <x:c r="A2103" s="59" t="str">
        <x:v>VERAGRID</x:v>
      </x:c>
      <x:c r="B2103" s="59" t="str">
        <x:v>value_classification_default</x:v>
      </x:c>
      <x:c r="C2103" s="59" t="str">
        <x:v>CALCULATED</x:v>
      </x:c>
    </x:row>
    <x:row r="2104" ht="38" customHeight="1">
      <x:c r="A2104" s="59" t="str">
        <x:v>VERAGRID</x:v>
      </x:c>
      <x:c r="B2104" s="59" t="str">
        <x:v>automation_notes</x:v>
      </x:c>
      <x:c r="C2104" s="59" t="str">
        <x:v>Jednorazowy przegląd; brak zgody na stały scraper wynikającej z samego dostępu. Sprawdzić warunki, robots.txt i limity przed wdrożeniem.</x:v>
      </x:c>
    </x:row>
    <x:row r="2105" ht="30" customHeight="1">
      <x:c r="A2105" s="59" t="str">
        <x:v>VERAGRID</x:v>
      </x:c>
      <x:c r="B2105" s="59" t="str">
        <x:v>probe_ids</x:v>
      </x:c>
      <x:c r="C2105" s="59" t="str">
        <x:v>[]</x:v>
      </x:c>
    </x:row>
    <x:row r="2106" ht="30" customHeight="1">
      <x:c r="A2106" s="59" t="str">
        <x:v>VERAGRID</x:v>
      </x:c>
      <x:c r="B2106" s="59" t="str">
        <x:v>related_urls</x:v>
      </x:c>
      <x:c r="C2106" s="59" t="str">
        <x:v>[]</x:v>
      </x:c>
    </x:row>
    <x:row r="2107" ht="30" customHeight="1">
      <x:c r="A2107" s="59" t="str">
        <x:v>VERAGRID</x:v>
      </x:c>
      <x:c r="B2107" s="59" t="str">
        <x:v>source_id</x:v>
      </x:c>
      <x:c r="C2107" s="59" t="str">
        <x:v>VERAGRID</x:v>
      </x:c>
    </x:row>
    <x:row r="2108" ht="30" customHeight="1">
      <x:c r="A2108" s="59" t="str">
        <x:v>VERAGRID</x:v>
      </x:c>
      <x:c r="B2108" s="59" t="str">
        <x:v>operator</x:v>
      </x:c>
      <x:c r="C2108" s="59" t="str">
        <x:v>UNKNOWN — nie ustalono</x:v>
      </x:c>
    </x:row>
    <x:row r="2109" ht="30" customHeight="1">
      <x:c r="A2109" s="59" t="str">
        <x:v>VERAGRID</x:v>
      </x:c>
      <x:c r="B2109" s="59" t="str">
        <x:v>source_name</x:v>
      </x:c>
      <x:c r="C2109" s="59" t="str">
        <x:v>GridCal / VeraGrid</x:v>
      </x:c>
    </x:row>
    <x:row r="2110" ht="30" customHeight="1">
      <x:c r="A2110" s="59" t="str">
        <x:v>VERAGRID</x:v>
      </x:c>
      <x:c r="B2110" s="59" t="str">
        <x:v>url</x:v>
      </x:c>
      <x:c r="C2110" s="59" t="str">
        <x:v>https://github.com/SanPen/VeraGrid</x:v>
      </x:c>
    </x:row>
    <x:row r="2111" ht="30" customHeight="1">
      <x:c r="A2111" s="59" t="str">
        <x:v>VERAGRID</x:v>
      </x:c>
      <x:c r="B2111" s="59" t="str">
        <x:v>data_owner</x:v>
      </x:c>
      <x:c r="C2111" s="59" t="str">
        <x:v>Autorzy VeraGrid</x:v>
      </x:c>
    </x:row>
    <x:row r="2112" ht="30" customHeight="1">
      <x:c r="A2112" s="59" t="str">
        <x:v>VERAGRID</x:v>
      </x:c>
      <x:c r="B2112" s="59" t="str">
        <x:v>data_category</x:v>
      </x:c>
      <x:c r="C2112" s="59" t="str">
        <x:v>powerflow_library</x:v>
      </x:c>
    </x:row>
    <x:row r="2113" ht="30" customHeight="1">
      <x:c r="A2113" s="59" t="str">
        <x:v>VERAGRID</x:v>
      </x:c>
      <x:c r="B2113" s="59" t="str">
        <x:v>data_format</x:v>
      </x:c>
      <x:c r="C2113" s="59" t="str">
        <x:v>[ "Python" ]</x:v>
      </x:c>
    </x:row>
    <x:row r="2114" ht="30" customHeight="1">
      <x:c r="A2114" s="59" t="str">
        <x:v>VERAGRID</x:v>
      </x:c>
      <x:c r="B2114" s="59" t="str">
        <x:v>verification_status</x:v>
      </x:c>
      <x:c r="C2114" s="59" t="str">
        <x:v>CONTENT_REVIEWED</x:v>
      </x:c>
    </x:row>
    <x:row r="2115" ht="30" customHeight="1">
      <x:c r="A2115" s="59" t="str">
        <x:v>VERAGRID</x:v>
      </x:c>
      <x:c r="B2115" s="59" t="str">
        <x:v>reliability</x:v>
      </x:c>
      <x:c r="C2115" s="59" t="str">
        <x:v>H</x:v>
      </x:c>
    </x:row>
    <x:row r="2116" ht="30" customHeight="1">
      <x:c r="A2116" s="59" t="str">
        <x:v>VERAGRID</x:v>
      </x:c>
      <x:c r="B2116" s="59" t="str">
        <x:v>key_fields</x:v>
      </x:c>
      <x:c r="C2116" s="59" t="str">
        <x:v>[ "network model", "simulation results" ]</x:v>
      </x:c>
    </x:row>
    <x:row r="2117" ht="30" customHeight="1">
      <x:c r="A2117" s="59" t="str">
        <x:v>VERAGRID</x:v>
      </x:c>
      <x:c r="B2117" s="59" t="str">
        <x:v>potential_application</x:v>
      </x:c>
      <x:c r="C2117" s="59" t="str">
        <x:v>Alternatywny solver do późniejszego porównania.</x:v>
      </x:c>
    </x:row>
    <x:row r="2118" ht="30" customHeight="1">
      <x:c r="A2118" s="59" t="str">
        <x:v>VERAGRID</x:v>
      </x:c>
      <x:c r="B2118" s="59" t="str">
        <x:v>known_limitations</x:v>
      </x:c>
      <x:c r="C2118" s="59" t="str">
        <x:v>[ "Nie źródło współczesnej sieci Polski; zmiana nazwy repozytorium wymaga uwzględnienia w dokumentacji." ]</x:v>
      </x:c>
    </x:row>
    <x:row r="2119" ht="30" customHeight="1">
      <x:c r="A2119" s="59" t="str">
        <x:v>VERAGRID</x:v>
      </x:c>
      <x:c r="B2119" s="59" t="str">
        <x:v>priority</x:v>
      </x:c>
      <x:c r="C2119" s="59" t="str">
        <x:v>P3</x:v>
      </x:c>
    </x:row>
    <x:row r="2120" ht="30" customHeight="1">
      <x:c r="A2120" s="59" t="str">
        <x:v>VERAGRID</x:v>
      </x:c>
      <x:c r="B2120" s="59" t="str">
        <x:v>evidence</x:v>
      </x:c>
      <x:c r="C2120" s="59" t="str">
        <x:v>[]</x:v>
      </x:c>
    </x:row>
    <x:row r="2121" ht="30" customHeight="1">
      <x:c r="A2121" s="59" t="str">
        <x:v>VERAGRID</x:v>
      </x:c>
      <x:c r="B2121" s="59" t="str">
        <x:v>retrieval_date</x:v>
      </x:c>
      <x:c r="C2121" s="59" t="str">
        <x:v>[]</x:v>
      </x:c>
    </x:row>
    <x:row r="2122" ht="30" customHeight="1">
      <x:c r="A2122" s="59" t="str">
        <x:v>MATPOWER_LIBRARY</x:v>
      </x:c>
      <x:c r="B2122" s="59" t="str">
        <x:v>country</x:v>
      </x:c>
      <x:c r="C2122" s="59" t="str">
        <x:v>GLOBAL</x:v>
      </x:c>
    </x:row>
    <x:row r="2123" ht="30" customHeight="1">
      <x:c r="A2123" s="59" t="str">
        <x:v>MATPOWER_LIBRARY</x:v>
      </x:c>
      <x:c r="B2123" s="59" t="str">
        <x:v>geographical_scope</x:v>
      </x:c>
      <x:c r="C2123" s="59" t="str">
        <x:v>Narzędzie niezależne od kraju</x:v>
      </x:c>
    </x:row>
    <x:row r="2124" ht="30" customHeight="1">
      <x:c r="A2124" s="59" t="str">
        <x:v>MATPOWER_LIBRARY</x:v>
      </x:c>
      <x:c r="B2124" s="59" t="str">
        <x:v>grid_voltage</x:v>
      </x:c>
      <x:c r="C2124" s="59" t="str">
        <x:v>[ "UNKNOWN_OR_NOT_APPLICABLE" ]</x:v>
      </x:c>
    </x:row>
    <x:row r="2125" ht="30" customHeight="1">
      <x:c r="A2125" s="59" t="str">
        <x:v>MATPOWER_LIBRARY</x:v>
      </x:c>
      <x:c r="B2125" s="59" t="str">
        <x:v>api_available</x:v>
      </x:c>
      <x:c r="C2125" s="59" t="str">
        <x:v>UNKNOWN</x:v>
      </x:c>
    </x:row>
    <x:row r="2126" ht="30" customHeight="1">
      <x:c r="A2126" s="59" t="str">
        <x:v>MATPOWER_LIBRARY</x:v>
      </x:c>
      <x:c r="B2126" s="59" t="str">
        <x:v>gis_available</x:v>
      </x:c>
      <x:c r="C2126" s="59" t="str">
        <x:v>UNKNOWN</x:v>
      </x:c>
    </x:row>
    <x:row r="2127" ht="30" customHeight="1">
      <x:c r="A2127" s="59" t="str">
        <x:v>MATPOWER_LIBRARY</x:v>
      </x:c>
      <x:c r="B2127" s="59" t="str">
        <x:v>update_frequency</x:v>
      </x:c>
      <x:c r="C2127" s="59" t="str">
        <x:v>UNKNOWN — nie ustalono gwarantowanego cyklu publikacji.</x:v>
      </x:c>
    </x:row>
    <x:row r="2128" ht="30" customHeight="1">
      <x:c r="A2128" s="59" t="str">
        <x:v>MATPOWER_LIBRARY</x:v>
      </x:c>
      <x:c r="B2128" s="59" t="str">
        <x:v>historical_data</x:v>
      </x:c>
      <x:c r="C2128" s="59" t="str">
        <x:v>UNKNOWN — własne snapshoty od 10.09.2026, jeśli zapisano próbkę.</x:v>
      </x:c>
    </x:row>
    <x:row r="2129" ht="30" customHeight="1">
      <x:c r="A2129" s="59" t="str">
        <x:v>MATPOWER_LIBRARY</x:v>
      </x:c>
      <x:c r="B2129" s="59" t="str">
        <x:v>authentication</x:v>
      </x:c>
      <x:c r="C2129" s="59" t="str">
        <x:v>Odczyt publicznej strony bez konta; nie dowodzi dostępu do wszystkich danych.</x:v>
      </x:c>
    </x:row>
    <x:row r="2130" ht="30" customHeight="1">
      <x:c r="A2130" s="59" t="str">
        <x:v>MATPOWER_LIBRARY</x:v>
      </x:c>
      <x:c r="B2130" s="59" t="str">
        <x:v>license</x:v>
      </x:c>
      <x:c r="C2130" s="59" t="str">
        <x:v>Kontrola licencji konkretnej wersji i danych wymagana przed użyciem.</x:v>
      </x:c>
    </x:row>
    <x:row r="2131" ht="30" customHeight="1">
      <x:c r="A2131" s="59" t="str">
        <x:v>MATPOWER_LIBRARY</x:v>
      </x:c>
      <x:c r="B2131" s="59" t="str">
        <x:v>license_url</x:v>
      </x:c>
      <x:c r="C2131" s="59" t="str">
        <x:v>UNKNOWN — nie ustalono</x:v>
      </x:c>
    </x:row>
    <x:row r="2132" ht="30" customHeight="1">
      <x:c r="A2132" s="59" t="str">
        <x:v>MATPOWER_LIBRARY</x:v>
      </x:c>
      <x:c r="B2132" s="59" t="str">
        <x:v>commercial_use</x:v>
      </x:c>
      <x:c r="C2132" s="59" t="str">
        <x:v>UNKNOWN</x:v>
      </x:c>
    </x:row>
    <x:row r="2133" ht="30" customHeight="1">
      <x:c r="A2133" s="59" t="str">
        <x:v>MATPOWER_LIBRARY</x:v>
      </x:c>
      <x:c r="B2133" s="59" t="str">
        <x:v>machine_readable</x:v>
      </x:c>
      <x:c r="C2133" s="59" t="str">
        <x:v>UNKNOWN</x:v>
      </x:c>
    </x:row>
    <x:row r="2134" ht="30" customHeight="1">
      <x:c r="A2134" s="59" t="str">
        <x:v>MATPOWER_LIBRARY</x:v>
      </x:c>
      <x:c r="B2134" s="59" t="str">
        <x:v>scraping_required</x:v>
      </x:c>
      <x:c r="C2134" s="59" t="str">
        <x:v>UNKNOWN — przed scraperem preferować oficjalny plik lub API.</x:v>
      </x:c>
    </x:row>
    <x:row r="2135" ht="30" customHeight="1">
      <x:c r="A2135" s="59" t="str">
        <x:v>MATPOWER_LIBRARY</x:v>
      </x:c>
      <x:c r="B2135" s="59" t="str">
        <x:v>data_quality_score</x:v>
      </x:c>
      <x:c r="C2135" s="59" t="str">
        <x:v>UNKNOWN — nie ustalono</x:v>
      </x:c>
    </x:row>
    <x:row r="2136" ht="30" customHeight="1">
      <x:c r="A2136" s="59" t="str">
        <x:v>MATPOWER_LIBRARY</x:v>
      </x:c>
      <x:c r="B2136" s="59" t="str">
        <x:v>quality_score_status</x:v>
      </x:c>
      <x:c r="C2136" s="59" t="str">
        <x:v>NOT_CALIBRATED — autorytet źródła nie jest procentem kompletności lub trafności.</x:v>
      </x:c>
    </x:row>
    <x:row r="2137" ht="30" customHeight="1">
      <x:c r="A2137" s="59" t="str">
        <x:v>MATPOWER_LIBRARY</x:v>
      </x:c>
      <x:c r="B2137" s="59" t="str">
        <x:v>last_verified</x:v>
      </x:c>
      <x:c r="C2137" s="60" t="n">
        <x:v>46275</x:v>
      </x:c>
    </x:row>
    <x:row r="2138" ht="30" customHeight="1">
      <x:c r="A2138" s="59" t="str">
        <x:v>MATPOWER_LIBRARY</x:v>
      </x:c>
      <x:c r="B2138" s="59" t="str">
        <x:v>last_successful_verification</x:v>
      </x:c>
      <x:c r="C2138" s="60" t="n">
        <x:v>46275</x:v>
      </x:c>
    </x:row>
    <x:row r="2139" ht="30" customHeight="1">
      <x:c r="A2139" s="59" t="str">
        <x:v>MATPOWER_LIBRARY</x:v>
      </x:c>
      <x:c r="B2139" s="59" t="str">
        <x:v>source_date</x:v>
      </x:c>
      <x:c r="C2139" s="59" t="str">
        <x:v>UNKNOWN — nie ustalono</x:v>
      </x:c>
    </x:row>
    <x:row r="2140" ht="30" customHeight="1">
      <x:c r="A2140" s="59" t="str">
        <x:v>MATPOWER_LIBRARY</x:v>
      </x:c>
      <x:c r="B2140" s="59" t="str">
        <x:v>publication_date</x:v>
      </x:c>
      <x:c r="C2140" s="59" t="str">
        <x:v>UNKNOWN — nie ustalono</x:v>
      </x:c>
    </x:row>
    <x:row r="2141" ht="30" customHeight="1">
      <x:c r="A2141" s="59" t="str">
        <x:v>MATPOWER_LIBRARY</x:v>
      </x:c>
      <x:c r="B2141" s="59" t="str">
        <x:v>source_version</x:v>
      </x:c>
      <x:c r="C2141" s="59" t="str">
        <x:v>UNKNOWN — nie ustalono</x:v>
      </x:c>
    </x:row>
    <x:row r="2142" ht="30" customHeight="1">
      <x:c r="A2142" s="59" t="str">
        <x:v>MATPOWER_LIBRARY</x:v>
      </x:c>
      <x:c r="B2142" s="59" t="str">
        <x:v>source_page</x:v>
      </x:c>
      <x:c r="C2142" s="59" t="str">
        <x:v>UNKNOWN — nie ustalono</x:v>
      </x:c>
    </x:row>
    <x:row r="2143" ht="30" customHeight="1">
      <x:c r="A2143" s="59" t="str">
        <x:v>MATPOWER_LIBRARY</x:v>
      </x:c>
      <x:c r="B2143" s="59" t="str">
        <x:v>valid_from</x:v>
      </x:c>
      <x:c r="C2143" s="59" t="str">
        <x:v>UNKNOWN — nie ustalono</x:v>
      </x:c>
    </x:row>
    <x:row r="2144" ht="30" customHeight="1">
      <x:c r="A2144" s="59" t="str">
        <x:v>MATPOWER_LIBRARY</x:v>
      </x:c>
      <x:c r="B2144" s="59" t="str">
        <x:v>valid_to</x:v>
      </x:c>
      <x:c r="C2144" s="59" t="str">
        <x:v>UNKNOWN — nie ustalono</x:v>
      </x:c>
    </x:row>
    <x:row r="2145" ht="30" customHeight="1">
      <x:c r="A2145" s="59" t="str">
        <x:v>MATPOWER_LIBRARY</x:v>
      </x:c>
      <x:c r="B2145" s="59" t="str">
        <x:v>current_future_scope</x:v>
      </x:c>
      <x:c r="C2145" s="59" t="str">
        <x:v>SOURCE_DEPENDENT</x:v>
      </x:c>
    </x:row>
    <x:row r="2146" ht="30" customHeight="1">
      <x:c r="A2146" s="59" t="str">
        <x:v>MATPOWER_LIBRARY</x:v>
      </x:c>
      <x:c r="B2146" s="59" t="str">
        <x:v>value_classification_default</x:v>
      </x:c>
      <x:c r="C2146" s="59" t="str">
        <x:v>CALCULATED</x:v>
      </x:c>
    </x:row>
    <x:row r="2147" ht="38" customHeight="1">
      <x:c r="A2147" s="59" t="str">
        <x:v>MATPOWER_LIBRARY</x:v>
      </x:c>
      <x:c r="B2147" s="59" t="str">
        <x:v>automation_notes</x:v>
      </x:c>
      <x:c r="C2147" s="59" t="str">
        <x:v>Jednorazowy przegląd; brak zgody na stały scraper wynikającej z samego dostępu. Sprawdzić warunki, robots.txt i limity przed wdrożeniem.</x:v>
      </x:c>
    </x:row>
    <x:row r="2148" ht="30" customHeight="1">
      <x:c r="A2148" s="59" t="str">
        <x:v>MATPOWER_LIBRARY</x:v>
      </x:c>
      <x:c r="B2148" s="59" t="str">
        <x:v>probe_ids</x:v>
      </x:c>
      <x:c r="C2148" s="59" t="str">
        <x:v>[]</x:v>
      </x:c>
    </x:row>
    <x:row r="2149" ht="30" customHeight="1">
      <x:c r="A2149" s="59" t="str">
        <x:v>MATPOWER_LIBRARY</x:v>
      </x:c>
      <x:c r="B2149" s="59" t="str">
        <x:v>related_urls</x:v>
      </x:c>
      <x:c r="C2149" s="59" t="str">
        <x:v>[]</x:v>
      </x:c>
    </x:row>
    <x:row r="2150" ht="30" customHeight="1">
      <x:c r="A2150" s="59" t="str">
        <x:v>MATPOWER_LIBRARY</x:v>
      </x:c>
      <x:c r="B2150" s="59" t="str">
        <x:v>source_id</x:v>
      </x:c>
      <x:c r="C2150" s="59" t="str">
        <x:v>MATPOWER_LIBRARY</x:v>
      </x:c>
    </x:row>
    <x:row r="2151" ht="30" customHeight="1">
      <x:c r="A2151" s="59" t="str">
        <x:v>MATPOWER_LIBRARY</x:v>
      </x:c>
      <x:c r="B2151" s="59" t="str">
        <x:v>operator</x:v>
      </x:c>
      <x:c r="C2151" s="59" t="str">
        <x:v>UNKNOWN — nie ustalono</x:v>
      </x:c>
    </x:row>
    <x:row r="2152" ht="30" customHeight="1">
      <x:c r="A2152" s="59" t="str">
        <x:v>MATPOWER_LIBRARY</x:v>
      </x:c>
      <x:c r="B2152" s="59" t="str">
        <x:v>source_name</x:v>
      </x:c>
      <x:c r="C2152" s="59" t="str">
        <x:v>MATPOWER</x:v>
      </x:c>
    </x:row>
    <x:row r="2153" ht="30" customHeight="1">
      <x:c r="A2153" s="59" t="str">
        <x:v>MATPOWER_LIBRARY</x:v>
      </x:c>
      <x:c r="B2153" s="59" t="str">
        <x:v>url</x:v>
      </x:c>
      <x:c r="C2153" s="59" t="str">
        <x:v>https://github.com/MATPOWER/matpower</x:v>
      </x:c>
    </x:row>
    <x:row r="2154" ht="30" customHeight="1">
      <x:c r="A2154" s="59" t="str">
        <x:v>MATPOWER_LIBRARY</x:v>
      </x:c>
      <x:c r="B2154" s="59" t="str">
        <x:v>data_owner</x:v>
      </x:c>
      <x:c r="C2154" s="59" t="str">
        <x:v>Autorzy MATPOWER</x:v>
      </x:c>
    </x:row>
    <x:row r="2155" ht="30" customHeight="1">
      <x:c r="A2155" s="59" t="str">
        <x:v>MATPOWER_LIBRARY</x:v>
      </x:c>
      <x:c r="B2155" s="59" t="str">
        <x:v>data_category</x:v>
      </x:c>
      <x:c r="C2155" s="59" t="str">
        <x:v>powerflow_library</x:v>
      </x:c>
    </x:row>
    <x:row r="2156" ht="30" customHeight="1">
      <x:c r="A2156" s="59" t="str">
        <x:v>MATPOWER_LIBRARY</x:v>
      </x:c>
      <x:c r="B2156" s="59" t="str">
        <x:v>data_format</x:v>
      </x:c>
      <x:c r="C2156" s="59" t="str">
        <x:v>[ "MATLAB", "Octave" ]</x:v>
      </x:c>
    </x:row>
    <x:row r="2157" ht="30" customHeight="1">
      <x:c r="A2157" s="59" t="str">
        <x:v>MATPOWER_LIBRARY</x:v>
      </x:c>
      <x:c r="B2157" s="59" t="str">
        <x:v>verification_status</x:v>
      </x:c>
      <x:c r="C2157" s="59" t="str">
        <x:v>CONTENT_REVIEWED</x:v>
      </x:c>
    </x:row>
    <x:row r="2158" ht="30" customHeight="1">
      <x:c r="A2158" s="59" t="str">
        <x:v>MATPOWER_LIBRARY</x:v>
      </x:c>
      <x:c r="B2158" s="59" t="str">
        <x:v>reliability</x:v>
      </x:c>
      <x:c r="C2158" s="59" t="str">
        <x:v>H</x:v>
      </x:c>
    </x:row>
    <x:row r="2159" ht="30" customHeight="1">
      <x:c r="A2159" s="59" t="str">
        <x:v>MATPOWER_LIBRARY</x:v>
      </x:c>
      <x:c r="B2159" s="59" t="str">
        <x:v>key_fields</x:v>
      </x:c>
      <x:c r="C2159" s="59" t="str">
        <x:v>[ "bus", "branch", "gen", "results" ]</x:v>
      </x:c>
    </x:row>
    <x:row r="2160" ht="30" customHeight="1">
      <x:c r="A2160" s="59" t="str">
        <x:v>MATPOWER_LIBRARY</x:v>
      </x:c>
      <x:c r="B2160" s="59" t="str">
        <x:v>potential_application</x:v>
      </x:c>
      <x:c r="C2160" s="59" t="str">
        <x:v>Referencyjne obliczenia i testy.</x:v>
      </x:c>
    </x:row>
    <x:row r="2161" ht="30" customHeight="1">
      <x:c r="A2161" s="59" t="str">
        <x:v>MATPOWER_LIBRARY</x:v>
      </x:c>
      <x:c r="B2161" s="59" t="str">
        <x:v>known_limitations</x:v>
      </x:c>
      <x:c r="C2161" s="59" t="str">
        <x:v>[ "Nie utożsamiać licencji kodu z prawami wszystkich przypadków testowych." ]</x:v>
      </x:c>
    </x:row>
    <x:row r="2162" ht="30" customHeight="1">
      <x:c r="A2162" s="59" t="str">
        <x:v>MATPOWER_LIBRARY</x:v>
      </x:c>
      <x:c r="B2162" s="59" t="str">
        <x:v>priority</x:v>
      </x:c>
      <x:c r="C2162" s="59" t="str">
        <x:v>P3</x:v>
      </x:c>
    </x:row>
    <x:row r="2163" ht="30" customHeight="1">
      <x:c r="A2163" s="59" t="str">
        <x:v>MATPOWER_LIBRARY</x:v>
      </x:c>
      <x:c r="B2163" s="59" t="str">
        <x:v>evidence</x:v>
      </x:c>
      <x:c r="C2163" s="59" t="str">
        <x:v>[]</x:v>
      </x:c>
    </x:row>
    <x:row r="2164" ht="30" customHeight="1">
      <x:c r="A2164" s="59" t="str">
        <x:v>MATPOWER_LIBRARY</x:v>
      </x:c>
      <x:c r="B2164" s="59" t="str">
        <x:v>retrieval_date</x:v>
      </x:c>
      <x:c r="C2164" s="59" t="str">
        <x:v>[]</x:v>
      </x:c>
    </x:row>
    <x:row r="2165" ht="30" customHeight="1">
      <x:c r="A2165" s="59" t="str">
        <x:v>POWERMODELS</x:v>
      </x:c>
      <x:c r="B2165" s="59" t="str">
        <x:v>country</x:v>
      </x:c>
      <x:c r="C2165" s="59" t="str">
        <x:v>GLOBAL</x:v>
      </x:c>
    </x:row>
    <x:row r="2166" ht="30" customHeight="1">
      <x:c r="A2166" s="59" t="str">
        <x:v>POWERMODELS</x:v>
      </x:c>
      <x:c r="B2166" s="59" t="str">
        <x:v>geographical_scope</x:v>
      </x:c>
      <x:c r="C2166" s="59" t="str">
        <x:v>Narzędzie niezależne od kraju</x:v>
      </x:c>
    </x:row>
    <x:row r="2167" ht="30" customHeight="1">
      <x:c r="A2167" s="59" t="str">
        <x:v>POWERMODELS</x:v>
      </x:c>
      <x:c r="B2167" s="59" t="str">
        <x:v>grid_voltage</x:v>
      </x:c>
      <x:c r="C2167" s="59" t="str">
        <x:v>[ "UNKNOWN_OR_NOT_APPLICABLE" ]</x:v>
      </x:c>
    </x:row>
    <x:row r="2168" ht="30" customHeight="1">
      <x:c r="A2168" s="59" t="str">
        <x:v>POWERMODELS</x:v>
      </x:c>
      <x:c r="B2168" s="59" t="str">
        <x:v>api_available</x:v>
      </x:c>
      <x:c r="C2168" s="59" t="str">
        <x:v>UNKNOWN</x:v>
      </x:c>
    </x:row>
    <x:row r="2169" ht="30" customHeight="1">
      <x:c r="A2169" s="59" t="str">
        <x:v>POWERMODELS</x:v>
      </x:c>
      <x:c r="B2169" s="59" t="str">
        <x:v>gis_available</x:v>
      </x:c>
      <x:c r="C2169" s="59" t="str">
        <x:v>UNKNOWN</x:v>
      </x:c>
    </x:row>
    <x:row r="2170" ht="30" customHeight="1">
      <x:c r="A2170" s="59" t="str">
        <x:v>POWERMODELS</x:v>
      </x:c>
      <x:c r="B2170" s="59" t="str">
        <x:v>update_frequency</x:v>
      </x:c>
      <x:c r="C2170" s="59" t="str">
        <x:v>UNKNOWN — nie ustalono gwarantowanego cyklu publikacji.</x:v>
      </x:c>
    </x:row>
    <x:row r="2171" ht="30" customHeight="1">
      <x:c r="A2171" s="59" t="str">
        <x:v>POWERMODELS</x:v>
      </x:c>
      <x:c r="B2171" s="59" t="str">
        <x:v>historical_data</x:v>
      </x:c>
      <x:c r="C2171" s="59" t="str">
        <x:v>UNKNOWN — własne snapshoty od 10.09.2026, jeśli zapisano próbkę.</x:v>
      </x:c>
    </x:row>
    <x:row r="2172" ht="30" customHeight="1">
      <x:c r="A2172" s="59" t="str">
        <x:v>POWERMODELS</x:v>
      </x:c>
      <x:c r="B2172" s="59" t="str">
        <x:v>authentication</x:v>
      </x:c>
      <x:c r="C2172" s="59" t="str">
        <x:v>Odczyt publicznej strony bez konta; nie dowodzi dostępu do wszystkich danych.</x:v>
      </x:c>
    </x:row>
    <x:row r="2173" ht="30" customHeight="1">
      <x:c r="A2173" s="59" t="str">
        <x:v>POWERMODELS</x:v>
      </x:c>
      <x:c r="B2173" s="59" t="str">
        <x:v>license</x:v>
      </x:c>
      <x:c r="C2173" s="59" t="str">
        <x:v>Kontrola LICENSE przypiętej wersji przed wdrożeniem.</x:v>
      </x:c>
    </x:row>
    <x:row r="2174" ht="30" customHeight="1">
      <x:c r="A2174" s="59" t="str">
        <x:v>POWERMODELS</x:v>
      </x:c>
      <x:c r="B2174" s="59" t="str">
        <x:v>license_url</x:v>
      </x:c>
      <x:c r="C2174" s="59" t="str">
        <x:v>UNKNOWN — nie ustalono</x:v>
      </x:c>
    </x:row>
    <x:row r="2175" ht="30" customHeight="1">
      <x:c r="A2175" s="59" t="str">
        <x:v>POWERMODELS</x:v>
      </x:c>
      <x:c r="B2175" s="59" t="str">
        <x:v>commercial_use</x:v>
      </x:c>
      <x:c r="C2175" s="59" t="str">
        <x:v>UNKNOWN</x:v>
      </x:c>
    </x:row>
    <x:row r="2176" ht="30" customHeight="1">
      <x:c r="A2176" s="59" t="str">
        <x:v>POWERMODELS</x:v>
      </x:c>
      <x:c r="B2176" s="59" t="str">
        <x:v>machine_readable</x:v>
      </x:c>
      <x:c r="C2176" s="59" t="str">
        <x:v>UNKNOWN</x:v>
      </x:c>
    </x:row>
    <x:row r="2177" ht="30" customHeight="1">
      <x:c r="A2177" s="59" t="str">
        <x:v>POWERMODELS</x:v>
      </x:c>
      <x:c r="B2177" s="59" t="str">
        <x:v>scraping_required</x:v>
      </x:c>
      <x:c r="C2177" s="59" t="str">
        <x:v>UNKNOWN — przed scraperem preferować oficjalny plik lub API.</x:v>
      </x:c>
    </x:row>
    <x:row r="2178" ht="30" customHeight="1">
      <x:c r="A2178" s="59" t="str">
        <x:v>POWERMODELS</x:v>
      </x:c>
      <x:c r="B2178" s="59" t="str">
        <x:v>data_quality_score</x:v>
      </x:c>
      <x:c r="C2178" s="59" t="str">
        <x:v>UNKNOWN — nie ustalono</x:v>
      </x:c>
    </x:row>
    <x:row r="2179" ht="30" customHeight="1">
      <x:c r="A2179" s="59" t="str">
        <x:v>POWERMODELS</x:v>
      </x:c>
      <x:c r="B2179" s="59" t="str">
        <x:v>quality_score_status</x:v>
      </x:c>
      <x:c r="C2179" s="59" t="str">
        <x:v>NOT_CALIBRATED — autorytet źródła nie jest procentem kompletności lub trafności.</x:v>
      </x:c>
    </x:row>
    <x:row r="2180" ht="30" customHeight="1">
      <x:c r="A2180" s="59" t="str">
        <x:v>POWERMODELS</x:v>
      </x:c>
      <x:c r="B2180" s="59" t="str">
        <x:v>last_verified</x:v>
      </x:c>
      <x:c r="C2180" s="60" t="n">
        <x:v>46275</x:v>
      </x:c>
    </x:row>
    <x:row r="2181" ht="30" customHeight="1">
      <x:c r="A2181" s="59" t="str">
        <x:v>POWERMODELS</x:v>
      </x:c>
      <x:c r="B2181" s="59" t="str">
        <x:v>last_successful_verification</x:v>
      </x:c>
      <x:c r="C2181" s="60" t="n">
        <x:v>46275</x:v>
      </x:c>
    </x:row>
    <x:row r="2182" ht="30" customHeight="1">
      <x:c r="A2182" s="59" t="str">
        <x:v>POWERMODELS</x:v>
      </x:c>
      <x:c r="B2182" s="59" t="str">
        <x:v>source_date</x:v>
      </x:c>
      <x:c r="C2182" s="59" t="str">
        <x:v>UNKNOWN — nie ustalono</x:v>
      </x:c>
    </x:row>
    <x:row r="2183" ht="30" customHeight="1">
      <x:c r="A2183" s="59" t="str">
        <x:v>POWERMODELS</x:v>
      </x:c>
      <x:c r="B2183" s="59" t="str">
        <x:v>publication_date</x:v>
      </x:c>
      <x:c r="C2183" s="59" t="str">
        <x:v>UNKNOWN — nie ustalono</x:v>
      </x:c>
    </x:row>
    <x:row r="2184" ht="30" customHeight="1">
      <x:c r="A2184" s="59" t="str">
        <x:v>POWERMODELS</x:v>
      </x:c>
      <x:c r="B2184" s="59" t="str">
        <x:v>source_version</x:v>
      </x:c>
      <x:c r="C2184" s="59" t="str">
        <x:v>UNKNOWN — nie ustalono</x:v>
      </x:c>
    </x:row>
    <x:row r="2185" ht="30" customHeight="1">
      <x:c r="A2185" s="59" t="str">
        <x:v>POWERMODELS</x:v>
      </x:c>
      <x:c r="B2185" s="59" t="str">
        <x:v>source_page</x:v>
      </x:c>
      <x:c r="C2185" s="59" t="str">
        <x:v>UNKNOWN — nie ustalono</x:v>
      </x:c>
    </x:row>
    <x:row r="2186" ht="30" customHeight="1">
      <x:c r="A2186" s="59" t="str">
        <x:v>POWERMODELS</x:v>
      </x:c>
      <x:c r="B2186" s="59" t="str">
        <x:v>valid_from</x:v>
      </x:c>
      <x:c r="C2186" s="59" t="str">
        <x:v>UNKNOWN — nie ustalono</x:v>
      </x:c>
    </x:row>
    <x:row r="2187" ht="30" customHeight="1">
      <x:c r="A2187" s="59" t="str">
        <x:v>POWERMODELS</x:v>
      </x:c>
      <x:c r="B2187" s="59" t="str">
        <x:v>valid_to</x:v>
      </x:c>
      <x:c r="C2187" s="59" t="str">
        <x:v>UNKNOWN — nie ustalono</x:v>
      </x:c>
    </x:row>
    <x:row r="2188" ht="30" customHeight="1">
      <x:c r="A2188" s="59" t="str">
        <x:v>POWERMODELS</x:v>
      </x:c>
      <x:c r="B2188" s="59" t="str">
        <x:v>current_future_scope</x:v>
      </x:c>
      <x:c r="C2188" s="59" t="str">
        <x:v>SOURCE_DEPENDENT</x:v>
      </x:c>
    </x:row>
    <x:row r="2189" ht="30" customHeight="1">
      <x:c r="A2189" s="59" t="str">
        <x:v>POWERMODELS</x:v>
      </x:c>
      <x:c r="B2189" s="59" t="str">
        <x:v>value_classification_default</x:v>
      </x:c>
      <x:c r="C2189" s="59" t="str">
        <x:v>CALCULATED</x:v>
      </x:c>
    </x:row>
    <x:row r="2190" ht="38" customHeight="1">
      <x:c r="A2190" s="59" t="str">
        <x:v>POWERMODELS</x:v>
      </x:c>
      <x:c r="B2190" s="59" t="str">
        <x:v>automation_notes</x:v>
      </x:c>
      <x:c r="C2190" s="59" t="str">
        <x:v>Jednorazowy przegląd; brak zgody na stały scraper wynikającej z samego dostępu. Sprawdzić warunki, robots.txt i limity przed wdrożeniem.</x:v>
      </x:c>
    </x:row>
    <x:row r="2191" ht="30" customHeight="1">
      <x:c r="A2191" s="59" t="str">
        <x:v>POWERMODELS</x:v>
      </x:c>
      <x:c r="B2191" s="59" t="str">
        <x:v>probe_ids</x:v>
      </x:c>
      <x:c r="C2191" s="59" t="str">
        <x:v>[]</x:v>
      </x:c>
    </x:row>
    <x:row r="2192" ht="30" customHeight="1">
      <x:c r="A2192" s="59" t="str">
        <x:v>POWERMODELS</x:v>
      </x:c>
      <x:c r="B2192" s="59" t="str">
        <x:v>related_urls</x:v>
      </x:c>
      <x:c r="C2192" s="59" t="str">
        <x:v>[]</x:v>
      </x:c>
    </x:row>
    <x:row r="2193" ht="30" customHeight="1">
      <x:c r="A2193" s="59" t="str">
        <x:v>POWERMODELS</x:v>
      </x:c>
      <x:c r="B2193" s="59" t="str">
        <x:v>source_id</x:v>
      </x:c>
      <x:c r="C2193" s="59" t="str">
        <x:v>POWERMODELS</x:v>
      </x:c>
    </x:row>
    <x:row r="2194" ht="30" customHeight="1">
      <x:c r="A2194" s="59" t="str">
        <x:v>POWERMODELS</x:v>
      </x:c>
      <x:c r="B2194" s="59" t="str">
        <x:v>operator</x:v>
      </x:c>
      <x:c r="C2194" s="59" t="str">
        <x:v>UNKNOWN — nie ustalono</x:v>
      </x:c>
    </x:row>
    <x:row r="2195" ht="30" customHeight="1">
      <x:c r="A2195" s="59" t="str">
        <x:v>POWERMODELS</x:v>
      </x:c>
      <x:c r="B2195" s="59" t="str">
        <x:v>source_name</x:v>
      </x:c>
      <x:c r="C2195" s="59" t="str">
        <x:v>PowerModels.jl</x:v>
      </x:c>
    </x:row>
    <x:row r="2196" ht="30" customHeight="1">
      <x:c r="A2196" s="59" t="str">
        <x:v>POWERMODELS</x:v>
      </x:c>
      <x:c r="B2196" s="59" t="str">
        <x:v>url</x:v>
      </x:c>
      <x:c r="C2196" s="59" t="str">
        <x:v>https://github.com/lanl-ansi/PowerModels.jl</x:v>
      </x:c>
    </x:row>
    <x:row r="2197" ht="30" customHeight="1">
      <x:c r="A2197" s="59" t="str">
        <x:v>POWERMODELS</x:v>
      </x:c>
      <x:c r="B2197" s="59" t="str">
        <x:v>data_owner</x:v>
      </x:c>
      <x:c r="C2197" s="59" t="str">
        <x:v>LANL-ANSI / autorzy PowerModels</x:v>
      </x:c>
    </x:row>
    <x:row r="2198" ht="30" customHeight="1">
      <x:c r="A2198" s="59" t="str">
        <x:v>POWERMODELS</x:v>
      </x:c>
      <x:c r="B2198" s="59" t="str">
        <x:v>data_category</x:v>
      </x:c>
      <x:c r="C2198" s="59" t="str">
        <x:v>optimization_library</x:v>
      </x:c>
    </x:row>
    <x:row r="2199" ht="30" customHeight="1">
      <x:c r="A2199" s="59" t="str">
        <x:v>POWERMODELS</x:v>
      </x:c>
      <x:c r="B2199" s="59" t="str">
        <x:v>data_format</x:v>
      </x:c>
      <x:c r="C2199" s="59" t="str">
        <x:v>[ "Julia" ]</x:v>
      </x:c>
    </x:row>
    <x:row r="2200" ht="30" customHeight="1">
      <x:c r="A2200" s="59" t="str">
        <x:v>POWERMODELS</x:v>
      </x:c>
      <x:c r="B2200" s="59" t="str">
        <x:v>verification_status</x:v>
      </x:c>
      <x:c r="C2200" s="59" t="str">
        <x:v>CONTENT_REVIEWED</x:v>
      </x:c>
    </x:row>
    <x:row r="2201" ht="30" customHeight="1">
      <x:c r="A2201" s="59" t="str">
        <x:v>POWERMODELS</x:v>
      </x:c>
      <x:c r="B2201" s="59" t="str">
        <x:v>reliability</x:v>
      </x:c>
      <x:c r="C2201" s="59" t="str">
        <x:v>H</x:v>
      </x:c>
    </x:row>
    <x:row r="2202" ht="30" customHeight="1">
      <x:c r="A2202" s="59" t="str">
        <x:v>POWERMODELS</x:v>
      </x:c>
      <x:c r="B2202" s="59" t="str">
        <x:v>key_fields</x:v>
      </x:c>
      <x:c r="C2202" s="59" t="str">
        <x:v>[ "network model", "optimization formulation" ]</x:v>
      </x:c>
    </x:row>
    <x:row r="2203" ht="30" customHeight="1">
      <x:c r="A2203" s="59" t="str">
        <x:v>POWERMODELS</x:v>
      </x:c>
      <x:c r="B2203" s="59" t="str">
        <x:v>potential_application</x:v>
      </x:c>
      <x:c r="C2203" s="59" t="str">
        <x:v>Późniejsze porównanie optymalizacji sieci.</x:v>
      </x:c>
    </x:row>
    <x:row r="2204" ht="30" customHeight="1">
      <x:c r="A2204" s="59" t="str">
        <x:v>POWERMODELS</x:v>
      </x:c>
      <x:c r="B2204" s="59" t="str">
        <x:v>known_limitations</x:v>
      </x:c>
      <x:c r="C2204" s="59" t="str">
        <x:v>[ "Dodatkowy stos wykonawczy; nieuzasadniony na etapie researchu." ]</x:v>
      </x:c>
    </x:row>
    <x:row r="2205" ht="30" customHeight="1">
      <x:c r="A2205" s="59" t="str">
        <x:v>POWERMODELS</x:v>
      </x:c>
      <x:c r="B2205" s="59" t="str">
        <x:v>priority</x:v>
      </x:c>
      <x:c r="C2205" s="59" t="str">
        <x:v>P3</x:v>
      </x:c>
    </x:row>
    <x:row r="2206" ht="30" customHeight="1">
      <x:c r="A2206" s="59" t="str">
        <x:v>POWERMODELS</x:v>
      </x:c>
      <x:c r="B2206" s="59" t="str">
        <x:v>evidence</x:v>
      </x:c>
      <x:c r="C2206" s="59" t="str">
        <x:v>[]</x:v>
      </x:c>
    </x:row>
    <x:row r="2207" ht="30" customHeight="1">
      <x:c r="A2207" s="59" t="str">
        <x:v>POWERMODELS</x:v>
      </x:c>
      <x:c r="B2207" s="59" t="str">
        <x:v>retrieval_date</x:v>
      </x:c>
      <x:c r="C2207" s="59" t="str">
        <x:v>[]</x:v>
      </x:c>
    </x:row>
    <x:row r="2208" ht="30" customHeight="1">
      <x:c r="A2208" s="59" t="str">
        <x:v>OPSD_TIMESERIES</x:v>
      </x:c>
      <x:c r="B2208" s="59" t="str">
        <x:v>country</x:v>
      </x:c>
      <x:c r="C2208" s="59" t="str">
        <x:v>EUROPE</x:v>
      </x:c>
    </x:row>
    <x:row r="2209" ht="30" customHeight="1">
      <x:c r="A2209" s="59" t="str">
        <x:v>OPSD_TIMESERIES</x:v>
      </x:c>
      <x:c r="B2209" s="59" t="str">
        <x:v>geographical_scope</x:v>
      </x:c>
      <x:c r="C2209" s="59" t="str">
        <x:v>Europa, zakres zależny od serii</x:v>
      </x:c>
    </x:row>
    <x:row r="2210" ht="30" customHeight="1">
      <x:c r="A2210" s="59" t="str">
        <x:v>OPSD_TIMESERIES</x:v>
      </x:c>
      <x:c r="B2210" s="59" t="str">
        <x:v>grid_voltage</x:v>
      </x:c>
      <x:c r="C2210" s="59" t="str">
        <x:v>[ "UNKNOWN_OR_NOT_APPLICABLE" ]</x:v>
      </x:c>
    </x:row>
    <x:row r="2211" ht="30" customHeight="1">
      <x:c r="A2211" s="59" t="str">
        <x:v>OPSD_TIMESERIES</x:v>
      </x:c>
      <x:c r="B2211" s="59" t="str">
        <x:v>api_available</x:v>
      </x:c>
      <x:c r="C2211" s="59" t="str">
        <x:v>UNKNOWN</x:v>
      </x:c>
    </x:row>
    <x:row r="2212" ht="30" customHeight="1">
      <x:c r="A2212" s="59" t="str">
        <x:v>OPSD_TIMESERIES</x:v>
      </x:c>
      <x:c r="B2212" s="59" t="str">
        <x:v>gis_available</x:v>
      </x:c>
      <x:c r="C2212" s="59" t="str">
        <x:v>UNKNOWN</x:v>
      </x:c>
    </x:row>
    <x:row r="2213" ht="30" customHeight="1">
      <x:c r="A2213" s="59" t="str">
        <x:v>OPSD_TIMESERIES</x:v>
      </x:c>
      <x:c r="B2213" s="59" t="str">
        <x:v>update_frequency</x:v>
      </x:c>
      <x:c r="C2213" s="59" t="str">
        <x:v>UNKNOWN — nie ustalono gwarantowanego cyklu publikacji.</x:v>
      </x:c>
    </x:row>
    <x:row r="2214" ht="30" customHeight="1">
      <x:c r="A2214" s="59" t="str">
        <x:v>OPSD_TIMESERIES</x:v>
      </x:c>
      <x:c r="B2214" s="59" t="str">
        <x:v>historical_data</x:v>
      </x:c>
      <x:c r="C2214" s="59" t="str">
        <x:v>YES</x:v>
      </x:c>
    </x:row>
    <x:row r="2215" ht="30" customHeight="1">
      <x:c r="A2215" s="59" t="str">
        <x:v>OPSD_TIMESERIES</x:v>
      </x:c>
      <x:c r="B2215" s="59" t="str">
        <x:v>authentication</x:v>
      </x:c>
      <x:c r="C2215" s="59" t="str">
        <x:v>Odczyt publicznej strony bez konta; nie dowodzi dostępu do wszystkich danych.</x:v>
      </x:c>
    </x:row>
    <x:row r="2216" ht="30" customHeight="1">
      <x:c r="A2216" s="59" t="str">
        <x:v>OPSD_TIMESERIES</x:v>
      </x:c>
      <x:c r="B2216" s="59" t="str">
        <x:v>license</x:v>
      </x:c>
      <x:c r="C2216" s="59" t="str">
        <x:v>UNKNOWN — nie potwierdzono otwartej licencji wybranego zbioru.</x:v>
      </x:c>
    </x:row>
    <x:row r="2217" ht="30" customHeight="1">
      <x:c r="A2217" s="59" t="str">
        <x:v>OPSD_TIMESERIES</x:v>
      </x:c>
      <x:c r="B2217" s="59" t="str">
        <x:v>license_url</x:v>
      </x:c>
      <x:c r="C2217" s="59" t="str">
        <x:v>UNKNOWN — nie ustalono</x:v>
      </x:c>
    </x:row>
    <x:row r="2218" ht="30" customHeight="1">
      <x:c r="A2218" s="59" t="str">
        <x:v>OPSD_TIMESERIES</x:v>
      </x:c>
      <x:c r="B2218" s="59" t="str">
        <x:v>commercial_use</x:v>
      </x:c>
      <x:c r="C2218" s="59" t="str">
        <x:v>DATASET_SPECIFIC</x:v>
      </x:c>
    </x:row>
    <x:row r="2219" ht="30" customHeight="1">
      <x:c r="A2219" s="59" t="str">
        <x:v>OPSD_TIMESERIES</x:v>
      </x:c>
      <x:c r="B2219" s="59" t="str">
        <x:v>machine_readable</x:v>
      </x:c>
      <x:c r="C2219" s="59" t="str">
        <x:v>YES</x:v>
      </x:c>
    </x:row>
    <x:row r="2220" ht="30" customHeight="1">
      <x:c r="A2220" s="59" t="str">
        <x:v>OPSD_TIMESERIES</x:v>
      </x:c>
      <x:c r="B2220" s="59" t="str">
        <x:v>scraping_required</x:v>
      </x:c>
      <x:c r="C2220" s="59" t="str">
        <x:v>UNKNOWN — przed scraperem preferować oficjalny plik lub API.</x:v>
      </x:c>
    </x:row>
    <x:row r="2221" ht="30" customHeight="1">
      <x:c r="A2221" s="59" t="str">
        <x:v>OPSD_TIMESERIES</x:v>
      </x:c>
      <x:c r="B2221" s="59" t="str">
        <x:v>data_quality_score</x:v>
      </x:c>
      <x:c r="C2221" s="59" t="str">
        <x:v>UNKNOWN — nie ustalono</x:v>
      </x:c>
    </x:row>
    <x:row r="2222" ht="30" customHeight="1">
      <x:c r="A2222" s="59" t="str">
        <x:v>OPSD_TIMESERIES</x:v>
      </x:c>
      <x:c r="B2222" s="59" t="str">
        <x:v>quality_score_status</x:v>
      </x:c>
      <x:c r="C2222" s="59" t="str">
        <x:v>NOT_CALIBRATED — autorytet źródła nie jest procentem kompletności lub trafności.</x:v>
      </x:c>
    </x:row>
    <x:row r="2223" ht="30" customHeight="1">
      <x:c r="A2223" s="59" t="str">
        <x:v>OPSD_TIMESERIES</x:v>
      </x:c>
      <x:c r="B2223" s="59" t="str">
        <x:v>last_verified</x:v>
      </x:c>
      <x:c r="C2223" s="60" t="n">
        <x:v>46275</x:v>
      </x:c>
    </x:row>
    <x:row r="2224" ht="30" customHeight="1">
      <x:c r="A2224" s="59" t="str">
        <x:v>OPSD_TIMESERIES</x:v>
      </x:c>
      <x:c r="B2224" s="59" t="str">
        <x:v>last_successful_verification</x:v>
      </x:c>
      <x:c r="C2224" s="60" t="n">
        <x:v>46275</x:v>
      </x:c>
    </x:row>
    <x:row r="2225" ht="30" customHeight="1">
      <x:c r="A2225" s="59" t="str">
        <x:v>OPSD_TIMESERIES</x:v>
      </x:c>
      <x:c r="B2225" s="59" t="str">
        <x:v>source_date</x:v>
      </x:c>
      <x:c r="C2225" s="59" t="str">
        <x:v>UNKNOWN — nie ustalono</x:v>
      </x:c>
    </x:row>
    <x:row r="2226" ht="30" customHeight="1">
      <x:c r="A2226" s="59" t="str">
        <x:v>OPSD_TIMESERIES</x:v>
      </x:c>
      <x:c r="B2226" s="59" t="str">
        <x:v>publication_date</x:v>
      </x:c>
      <x:c r="C2226" s="59" t="str">
        <x:v>UNKNOWN — nie ustalono</x:v>
      </x:c>
    </x:row>
    <x:row r="2227" ht="30" customHeight="1">
      <x:c r="A2227" s="59" t="str">
        <x:v>OPSD_TIMESERIES</x:v>
      </x:c>
      <x:c r="B2227" s="59" t="str">
        <x:v>source_version</x:v>
      </x:c>
      <x:c r="C2227" s="59" t="str">
        <x:v>2020-10-06 — przejrzane wydanie</x:v>
      </x:c>
    </x:row>
    <x:row r="2228" ht="30" customHeight="1">
      <x:c r="A2228" s="59" t="str">
        <x:v>OPSD_TIMESERIES</x:v>
      </x:c>
      <x:c r="B2228" s="59" t="str">
        <x:v>source_page</x:v>
      </x:c>
      <x:c r="C2228" s="59" t="str">
        <x:v>UNKNOWN — nie ustalono</x:v>
      </x:c>
    </x:row>
    <x:row r="2229" ht="30" customHeight="1">
      <x:c r="A2229" s="59" t="str">
        <x:v>OPSD_TIMESERIES</x:v>
      </x:c>
      <x:c r="B2229" s="59" t="str">
        <x:v>valid_from</x:v>
      </x:c>
      <x:c r="C2229" s="59" t="str">
        <x:v>UNKNOWN — nie ustalono</x:v>
      </x:c>
    </x:row>
    <x:row r="2230" ht="30" customHeight="1">
      <x:c r="A2230" s="59" t="str">
        <x:v>OPSD_TIMESERIES</x:v>
      </x:c>
      <x:c r="B2230" s="59" t="str">
        <x:v>valid_to</x:v>
      </x:c>
      <x:c r="C2230" s="59" t="str">
        <x:v>UNKNOWN — nie ustalono</x:v>
      </x:c>
    </x:row>
    <x:row r="2231" ht="30" customHeight="1">
      <x:c r="A2231" s="59" t="str">
        <x:v>OPSD_TIMESERIES</x:v>
      </x:c>
      <x:c r="B2231" s="59" t="str">
        <x:v>current_future_scope</x:v>
      </x:c>
      <x:c r="C2231" s="59" t="str">
        <x:v>SOURCE_DEPENDENT</x:v>
      </x:c>
    </x:row>
    <x:row r="2232" ht="30" customHeight="1">
      <x:c r="A2232" s="59" t="str">
        <x:v>OPSD_TIMESERIES</x:v>
      </x:c>
      <x:c r="B2232" s="59" t="str">
        <x:v>value_classification_default</x:v>
      </x:c>
      <x:c r="C2232" s="59" t="str">
        <x:v>REPORTED</x:v>
      </x:c>
    </x:row>
    <x:row r="2233" ht="38" customHeight="1">
      <x:c r="A2233" s="59" t="str">
        <x:v>OPSD_TIMESERIES</x:v>
      </x:c>
      <x:c r="B2233" s="59" t="str">
        <x:v>automation_notes</x:v>
      </x:c>
      <x:c r="C2233" s="59" t="str">
        <x:v>Jednorazowy przegląd; brak zgody na stały scraper wynikającej z samego dostępu. Sprawdzić warunki, robots.txt i limity przed wdrożeniem.</x:v>
      </x:c>
    </x:row>
    <x:row r="2234" ht="30" customHeight="1">
      <x:c r="A2234" s="59" t="str">
        <x:v>OPSD_TIMESERIES</x:v>
      </x:c>
      <x:c r="B2234" s="59" t="str">
        <x:v>probe_ids</x:v>
      </x:c>
      <x:c r="C2234" s="59" t="str">
        <x:v>[]</x:v>
      </x:c>
    </x:row>
    <x:row r="2235" ht="30" customHeight="1">
      <x:c r="A2235" s="59" t="str">
        <x:v>OPSD_TIMESERIES</x:v>
      </x:c>
      <x:c r="B2235" s="59" t="str">
        <x:v>related_urls</x:v>
      </x:c>
      <x:c r="C2235" s="59" t="str">
        <x:v>[]</x:v>
      </x:c>
    </x:row>
    <x:row r="2236" ht="30" customHeight="1">
      <x:c r="A2236" s="59" t="str">
        <x:v>OPSD_TIMESERIES</x:v>
      </x:c>
      <x:c r="B2236" s="59" t="str">
        <x:v>source_id</x:v>
      </x:c>
      <x:c r="C2236" s="59" t="str">
        <x:v>OPSD_TIMESERIES</x:v>
      </x:c>
    </x:row>
    <x:row r="2237" ht="30" customHeight="1">
      <x:c r="A2237" s="59" t="str">
        <x:v>OPSD_TIMESERIES</x:v>
      </x:c>
      <x:c r="B2237" s="59" t="str">
        <x:v>operator</x:v>
      </x:c>
      <x:c r="C2237" s="59" t="str">
        <x:v>UNKNOWN — nie ustalono</x:v>
      </x:c>
    </x:row>
    <x:row r="2238" ht="30" customHeight="1">
      <x:c r="A2238" s="59" t="str">
        <x:v>OPSD_TIMESERIES</x:v>
      </x:c>
      <x:c r="B2238" s="59" t="str">
        <x:v>source_name</x:v>
      </x:c>
      <x:c r="C2238" s="59" t="str">
        <x:v>Open Power System Data — time series</x:v>
      </x:c>
    </x:row>
    <x:row r="2239" ht="30" customHeight="1">
      <x:c r="A2239" s="59" t="str">
        <x:v>OPSD_TIMESERIES</x:v>
      </x:c>
      <x:c r="B2239" s="59" t="str">
        <x:v>url</x:v>
      </x:c>
      <x:c r="C2239" s="59" t="str">
        <x:v>https://data.open-power-system-data.org/time_series/</x:v>
      </x:c>
    </x:row>
    <x:row r="2240" ht="30" customHeight="1">
      <x:c r="A2240" s="59" t="str">
        <x:v>OPSD_TIMESERIES</x:v>
      </x:c>
      <x:c r="B2240" s="59" t="str">
        <x:v>data_owner</x:v>
      </x:c>
      <x:c r="C2240" s="59" t="str">
        <x:v>OPSD / pierwotni dostawcy szeregów</x:v>
      </x:c>
    </x:row>
    <x:row r="2241" ht="30" customHeight="1">
      <x:c r="A2241" s="59" t="str">
        <x:v>OPSD_TIMESERIES</x:v>
      </x:c>
      <x:c r="B2241" s="59" t="str">
        <x:v>data_category</x:v>
      </x:c>
      <x:c r="C2241" s="59" t="str">
        <x:v>historical_system_timeseries</x:v>
      </x:c>
    </x:row>
    <x:row r="2242" ht="30" customHeight="1">
      <x:c r="A2242" s="59" t="str">
        <x:v>OPSD_TIMESERIES</x:v>
      </x:c>
      <x:c r="B2242" s="59" t="str">
        <x:v>data_format</x:v>
      </x:c>
      <x:c r="C2242" s="59" t="str">
        <x:v>[ "CSV", "XLSX", "data packages" ]</x:v>
      </x:c>
    </x:row>
    <x:row r="2243" ht="30" customHeight="1">
      <x:c r="A2243" s="59" t="str">
        <x:v>OPSD_TIMESERIES</x:v>
      </x:c>
      <x:c r="B2243" s="59" t="str">
        <x:v>verification_status</x:v>
      </x:c>
      <x:c r="C2243" s="59" t="str">
        <x:v>CONTENT_REVIEWED</x:v>
      </x:c>
    </x:row>
    <x:row r="2244" ht="30" customHeight="1">
      <x:c r="A2244" s="59" t="str">
        <x:v>OPSD_TIMESERIES</x:v>
      </x:c>
      <x:c r="B2244" s="59" t="str">
        <x:v>reliability</x:v>
      </x:c>
      <x:c r="C2244" s="59" t="str">
        <x:v>E</x:v>
      </x:c>
    </x:row>
    <x:row r="2245" ht="30" customHeight="1">
      <x:c r="A2245" s="59" t="str">
        <x:v>OPSD_TIMESERIES</x:v>
      </x:c>
      <x:c r="B2245" s="59" t="str">
        <x:v>key_fields</x:v>
      </x:c>
      <x:c r="C2245" s="59" t="str">
        <x:v>[ "timestamp", "country", "load", "generation", "price" ]</x:v>
      </x:c>
    </x:row>
    <x:row r="2246" ht="30" customHeight="1">
      <x:c r="A2246" s="59" t="str">
        <x:v>OPSD_TIMESERIES</x:v>
      </x:c>
      <x:c r="B2246" s="59" t="str">
        <x:v>potential_application</x:v>
      </x:c>
      <x:c r="C2246" s="59" t="str">
        <x:v>Historyczne testy i porównania.</x:v>
      </x:c>
    </x:row>
    <x:row r="2247" ht="30" customHeight="1">
      <x:c r="A2247" s="59" t="str">
        <x:v>OPSD_TIMESERIES</x:v>
      </x:c>
      <x:c r="B2247" s="59" t="str">
        <x:v>known_limitations</x:v>
      </x:c>
      <x:c r="C2247" s="59" t="str">
        <x:v>[ "Nie źródło bieżących danych 2026; prawa pierwotnych danych odrębne od skryptów." ]</x:v>
      </x:c>
    </x:row>
    <x:row r="2248" ht="30" customHeight="1">
      <x:c r="A2248" s="59" t="str">
        <x:v>OPSD_TIMESERIES</x:v>
      </x:c>
      <x:c r="B2248" s="59" t="str">
        <x:v>priority</x:v>
      </x:c>
      <x:c r="C2248" s="59" t="str">
        <x:v>P3</x:v>
      </x:c>
    </x:row>
    <x:row r="2249" ht="30" customHeight="1">
      <x:c r="A2249" s="59" t="str">
        <x:v>OPSD_TIMESERIES</x:v>
      </x:c>
      <x:c r="B2249" s="59" t="str">
        <x:v>evidence</x:v>
      </x:c>
      <x:c r="C2249" s="59" t="str">
        <x:v>[]</x:v>
      </x:c>
    </x:row>
    <x:row r="2250" ht="30" customHeight="1">
      <x:c r="A2250" s="59" t="str">
        <x:v>OPSD_TIMESERIES</x:v>
      </x:c>
      <x:c r="B2250" s="59" t="str">
        <x:v>retrieval_date</x:v>
      </x:c>
      <x:c r="C2250" s="59" t="str">
        <x:v>[]</x:v>
      </x:c>
    </x:row>
    <x:row r="2251" ht="30" customHeight="1">
      <x:c r="A2251" s="59" t="str">
        <x:v>ENERGY_CHARTS</x:v>
      </x:c>
      <x:c r="B2251" s="59" t="str">
        <x:v>country</x:v>
      </x:c>
      <x:c r="C2251" s="59" t="str">
        <x:v>EUROPE</x:v>
      </x:c>
    </x:row>
    <x:row r="2252" ht="30" customHeight="1">
      <x:c r="A2252" s="59" t="str">
        <x:v>ENERGY_CHARTS</x:v>
      </x:c>
      <x:c r="B2252" s="59" t="str">
        <x:v>geographical_scope</x:v>
      </x:c>
      <x:c r="C2252" s="59" t="str">
        <x:v>Polska potwierdzona dla próbki public_power</x:v>
      </x:c>
    </x:row>
    <x:row r="2253" ht="30" customHeight="1">
      <x:c r="A2253" s="59" t="str">
        <x:v>ENERGY_CHARTS</x:v>
      </x:c>
      <x:c r="B2253" s="59" t="str">
        <x:v>grid_voltage</x:v>
      </x:c>
      <x:c r="C2253" s="59" t="str">
        <x:v>[ "UNKNOWN_OR_NOT_APPLICABLE" ]</x:v>
      </x:c>
    </x:row>
    <x:row r="2254" ht="30" customHeight="1">
      <x:c r="A2254" s="59" t="str">
        <x:v>ENERGY_CHARTS</x:v>
      </x:c>
      <x:c r="B2254" s="59" t="str">
        <x:v>api_available</x:v>
      </x:c>
      <x:c r="C2254" s="59" t="str">
        <x:v>YES</x:v>
      </x:c>
    </x:row>
    <x:row r="2255" ht="30" customHeight="1">
      <x:c r="A2255" s="59" t="str">
        <x:v>ENERGY_CHARTS</x:v>
      </x:c>
      <x:c r="B2255" s="59" t="str">
        <x:v>gis_available</x:v>
      </x:c>
      <x:c r="C2255" s="59" t="str">
        <x:v>UNKNOWN</x:v>
      </x:c>
    </x:row>
    <x:row r="2256" ht="30" customHeight="1">
      <x:c r="A2256" s="59" t="str">
        <x:v>ENERGY_CHARTS</x:v>
      </x:c>
      <x:c r="B2256" s="59" t="str">
        <x:v>update_frequency</x:v>
      </x:c>
      <x:c r="C2256" s="59" t="str">
        <x:v>UNKNOWN — nie ustalono gwarantowanego cyklu publikacji.</x:v>
      </x:c>
    </x:row>
    <x:row r="2257" ht="30" customHeight="1">
      <x:c r="A2257" s="59" t="str">
        <x:v>ENERGY_CHARTS</x:v>
      </x:c>
      <x:c r="B2257" s="59" t="str">
        <x:v>historical_data</x:v>
      </x:c>
      <x:c r="C2257" s="59" t="str">
        <x:v>UNKNOWN — własne snapshoty od 10.09.2026, jeśli zapisano próbkę.</x:v>
      </x:c>
    </x:row>
    <x:row r="2258" ht="30" customHeight="1">
      <x:c r="A2258" s="59" t="str">
        <x:v>ENERGY_CHARTS</x:v>
      </x:c>
      <x:c r="B2258" s="59" t="str">
        <x:v>authentication</x:v>
      </x:c>
      <x:c r="C2258" s="59" t="str">
        <x:v>Anonimowa próbka public_power działała.</x:v>
      </x:c>
    </x:row>
    <x:row r="2259" ht="38" customHeight="1">
      <x:c r="A2259" s="59" t="str">
        <x:v>ENERGY_CHARTS</x:v>
      </x:c>
      <x:c r="B2259" s="59" t="str">
        <x:v>license</x:v>
      </x:c>
      <x:c r="C2259" s="59" t="str">
        <x:v>Próbka v2/public_power zawiera CC BY 4.0 i atrybucję energy-charts.info; nie rozszerzać automatycznie na inne serie/endpoints.</x:v>
      </x:c>
    </x:row>
    <x:row r="2260" ht="30" customHeight="1">
      <x:c r="A2260" s="59" t="str">
        <x:v>ENERGY_CHARTS</x:v>
      </x:c>
      <x:c r="B2260" s="59" t="str">
        <x:v>license_url</x:v>
      </x:c>
      <x:c r="C2260" s="59" t="str">
        <x:v>UNKNOWN — nie ustalono</x:v>
      </x:c>
    </x:row>
    <x:row r="2261" ht="30" customHeight="1">
      <x:c r="A2261" s="59" t="str">
        <x:v>ENERGY_CHARTS</x:v>
      </x:c>
      <x:c r="B2261" s="59" t="str">
        <x:v>commercial_use</x:v>
      </x:c>
      <x:c r="C2261" s="59" t="str">
        <x:v>CONDITIONAL_FOR_VERIFIED_SAMPLE</x:v>
      </x:c>
    </x:row>
    <x:row r="2262" ht="30" customHeight="1">
      <x:c r="A2262" s="59" t="str">
        <x:v>ENERGY_CHARTS</x:v>
      </x:c>
      <x:c r="B2262" s="59" t="str">
        <x:v>machine_readable</x:v>
      </x:c>
      <x:c r="C2262" s="59" t="str">
        <x:v>YES</x:v>
      </x:c>
    </x:row>
    <x:row r="2263" ht="30" customHeight="1">
      <x:c r="A2263" s="59" t="str">
        <x:v>ENERGY_CHARTS</x:v>
      </x:c>
      <x:c r="B2263" s="59" t="str">
        <x:v>scraping_required</x:v>
      </x:c>
      <x:c r="C2263" s="59" t="str">
        <x:v>UNKNOWN — przed scraperem preferować oficjalny plik lub API.</x:v>
      </x:c>
    </x:row>
    <x:row r="2264" ht="30" customHeight="1">
      <x:c r="A2264" s="59" t="str">
        <x:v>ENERGY_CHARTS</x:v>
      </x:c>
      <x:c r="B2264" s="59" t="str">
        <x:v>data_quality_score</x:v>
      </x:c>
      <x:c r="C2264" s="59" t="str">
        <x:v>UNKNOWN — nie ustalono</x:v>
      </x:c>
    </x:row>
    <x:row r="2265" ht="30" customHeight="1">
      <x:c r="A2265" s="59" t="str">
        <x:v>ENERGY_CHARTS</x:v>
      </x:c>
      <x:c r="B2265" s="59" t="str">
        <x:v>quality_score_status</x:v>
      </x:c>
      <x:c r="C2265" s="59" t="str">
        <x:v>NOT_CALIBRATED — autorytet źródła nie jest procentem kompletności lub trafności.</x:v>
      </x:c>
    </x:row>
    <x:row r="2266" ht="30" customHeight="1">
      <x:c r="A2266" s="59" t="str">
        <x:v>ENERGY_CHARTS</x:v>
      </x:c>
      <x:c r="B2266" s="59" t="str">
        <x:v>last_verified</x:v>
      </x:c>
      <x:c r="C2266" s="60" t="n">
        <x:v>46275</x:v>
      </x:c>
    </x:row>
    <x:row r="2267" ht="30" customHeight="1">
      <x:c r="A2267" s="59" t="str">
        <x:v>ENERGY_CHARTS</x:v>
      </x:c>
      <x:c r="B2267" s="59" t="str">
        <x:v>last_successful_verification</x:v>
      </x:c>
      <x:c r="C2267" s="60" t="n">
        <x:v>46275</x:v>
      </x:c>
    </x:row>
    <x:row r="2268" ht="30" customHeight="1">
      <x:c r="A2268" s="59" t="str">
        <x:v>ENERGY_CHARTS</x:v>
      </x:c>
      <x:c r="B2268" s="59" t="str">
        <x:v>source_date</x:v>
      </x:c>
      <x:c r="C2268" s="59" t="str">
        <x:v>UNKNOWN — nie ustalono</x:v>
      </x:c>
    </x:row>
    <x:row r="2269" ht="30" customHeight="1">
      <x:c r="A2269" s="59" t="str">
        <x:v>ENERGY_CHARTS</x:v>
      </x:c>
      <x:c r="B2269" s="59" t="str">
        <x:v>publication_date</x:v>
      </x:c>
      <x:c r="C2269" s="59" t="str">
        <x:v>UNKNOWN — nie ustalono</x:v>
      </x:c>
    </x:row>
    <x:row r="2270" ht="30" customHeight="1">
      <x:c r="A2270" s="59" t="str">
        <x:v>ENERGY_CHARTS</x:v>
      </x:c>
      <x:c r="B2270" s="59" t="str">
        <x:v>source_version</x:v>
      </x:c>
      <x:c r="C2270" s="59" t="str">
        <x:v>API info.version 2.0</x:v>
      </x:c>
    </x:row>
    <x:row r="2271" ht="30" customHeight="1">
      <x:c r="A2271" s="59" t="str">
        <x:v>ENERGY_CHARTS</x:v>
      </x:c>
      <x:c r="B2271" s="59" t="str">
        <x:v>source_page</x:v>
      </x:c>
      <x:c r="C2271" s="59" t="str">
        <x:v>UNKNOWN — nie ustalono</x:v>
      </x:c>
    </x:row>
    <x:row r="2272" ht="30" customHeight="1">
      <x:c r="A2272" s="59" t="str">
        <x:v>ENERGY_CHARTS</x:v>
      </x:c>
      <x:c r="B2272" s="59" t="str">
        <x:v>valid_from</x:v>
      </x:c>
      <x:c r="C2272" s="59" t="str">
        <x:v>UNKNOWN — nie ustalono</x:v>
      </x:c>
    </x:row>
    <x:row r="2273" ht="30" customHeight="1">
      <x:c r="A2273" s="59" t="str">
        <x:v>ENERGY_CHARTS</x:v>
      </x:c>
      <x:c r="B2273" s="59" t="str">
        <x:v>valid_to</x:v>
      </x:c>
      <x:c r="C2273" s="59" t="str">
        <x:v>UNKNOWN — nie ustalono</x:v>
      </x:c>
    </x:row>
    <x:row r="2274" ht="30" customHeight="1">
      <x:c r="A2274" s="59" t="str">
        <x:v>ENERGY_CHARTS</x:v>
      </x:c>
      <x:c r="B2274" s="59" t="str">
        <x:v>current_future_scope</x:v>
      </x:c>
      <x:c r="C2274" s="59" t="str">
        <x:v>SOURCE_DEPENDENT</x:v>
      </x:c>
    </x:row>
    <x:row r="2275" ht="30" customHeight="1">
      <x:c r="A2275" s="59" t="str">
        <x:v>ENERGY_CHARTS</x:v>
      </x:c>
      <x:c r="B2275" s="59" t="str">
        <x:v>value_classification_default</x:v>
      </x:c>
      <x:c r="C2275" s="59" t="str">
        <x:v>REPORTED</x:v>
      </x:c>
    </x:row>
    <x:row r="2276" ht="38" customHeight="1">
      <x:c r="A2276" s="59" t="str">
        <x:v>ENERGY_CHARTS</x:v>
      </x:c>
      <x:c r="B2276" s="59" t="str">
        <x:v>automation_notes</x:v>
      </x:c>
      <x:c r="C2276" s="59" t="str">
        <x:v>Jednorazowy przegląd; brak zgody na stały scraper wynikającej z samego dostępu. Sprawdzić warunki, robots.txt i limity przed wdrożeniem.</x:v>
      </x:c>
    </x:row>
    <x:row r="2277" ht="30" customHeight="1">
      <x:c r="A2277" s="59" t="str">
        <x:v>ENERGY_CHARTS</x:v>
      </x:c>
      <x:c r="B2277" s="59" t="str">
        <x:v>probe_ids</x:v>
      </x:c>
      <x:c r="C2277" s="59" t="str">
        <x:v>[ "ENERGY_CHARTS_DOCS", "ENERGY_CHARTS_OPENAPI", "ENERGY_CHARTS_SAMPLE" ]</x:v>
      </x:c>
    </x:row>
    <x:row r="2278" ht="38" customHeight="1">
      <x:c r="A2278" s="59" t="str">
        <x:v>ENERGY_CHARTS</x:v>
      </x:c>
      <x:c r="B2278" s="59" t="str">
        <x:v>related_urls</x:v>
      </x:c>
      <x:c r="C2278" s="59" t="str">
        <x:v>[ "https://api.energy-charts.info/v2/public_power?country=pl&amp;start=2026-09-01&amp;end=2026-09-01", "https://energy-charts.info/publishing-notes.html" ]</x:v>
      </x:c>
    </x:row>
    <x:row r="2279" ht="30" customHeight="1">
      <x:c r="A2279" s="59" t="str">
        <x:v>ENERGY_CHARTS</x:v>
      </x:c>
      <x:c r="B2279" s="59" t="str">
        <x:v>source_id</x:v>
      </x:c>
      <x:c r="C2279" s="59" t="str">
        <x:v>ENERGY_CHARTS</x:v>
      </x:c>
    </x:row>
    <x:row r="2280" ht="30" customHeight="1">
      <x:c r="A2280" s="59" t="str">
        <x:v>ENERGY_CHARTS</x:v>
      </x:c>
      <x:c r="B2280" s="59" t="str">
        <x:v>operator</x:v>
      </x:c>
      <x:c r="C2280" s="59" t="str">
        <x:v>UNKNOWN — nie ustalono</x:v>
      </x:c>
    </x:row>
    <x:row r="2281" ht="30" customHeight="1">
      <x:c r="A2281" s="59" t="str">
        <x:v>ENERGY_CHARTS</x:v>
      </x:c>
      <x:c r="B2281" s="59" t="str">
        <x:v>source_name</x:v>
      </x:c>
      <x:c r="C2281" s="59" t="str">
        <x:v>Energy-Charts API</x:v>
      </x:c>
    </x:row>
    <x:row r="2282" ht="30" customHeight="1">
      <x:c r="A2282" s="59" t="str">
        <x:v>ENERGY_CHARTS</x:v>
      </x:c>
      <x:c r="B2282" s="59" t="str">
        <x:v>url</x:v>
      </x:c>
      <x:c r="C2282" s="59" t="str">
        <x:v>https://api.energy-charts.info/openapi.json</x:v>
      </x:c>
    </x:row>
    <x:row r="2283" ht="30" customHeight="1">
      <x:c r="A2283" s="59" t="str">
        <x:v>ENERGY_CHARTS</x:v>
      </x:c>
      <x:c r="B2283" s="59" t="str">
        <x:v>data_owner</x:v>
      </x:c>
      <x:c r="C2283" s="59" t="str">
        <x:v>Fraunhofer ISE / dostawcy serii</x:v>
      </x:c>
    </x:row>
    <x:row r="2284" ht="30" customHeight="1">
      <x:c r="A2284" s="59" t="str">
        <x:v>ENERGY_CHARTS</x:v>
      </x:c>
      <x:c r="B2284" s="59" t="str">
        <x:v>data_category</x:v>
      </x:c>
      <x:c r="C2284" s="59" t="str">
        <x:v>system_timeseries</x:v>
      </x:c>
    </x:row>
    <x:row r="2285" ht="30" customHeight="1">
      <x:c r="A2285" s="59" t="str">
        <x:v>ENERGY_CHARTS</x:v>
      </x:c>
      <x:c r="B2285" s="59" t="str">
        <x:v>data_format</x:v>
      </x:c>
      <x:c r="C2285" s="59" t="str">
        <x:v>[ "REST", "JSON", "OpenAPI" ]</x:v>
      </x:c>
    </x:row>
    <x:row r="2286" ht="30" customHeight="1">
      <x:c r="A2286" s="59" t="str">
        <x:v>ENERGY_CHARTS</x:v>
      </x:c>
      <x:c r="B2286" s="59" t="str">
        <x:v>verification_status</x:v>
      </x:c>
      <x:c r="C2286" s="59" t="str">
        <x:v>SAMPLE_VERIFIED</x:v>
      </x:c>
    </x:row>
    <x:row r="2287" ht="30" customHeight="1">
      <x:c r="A2287" s="59" t="str">
        <x:v>ENERGY_CHARTS</x:v>
      </x:c>
      <x:c r="B2287" s="59" t="str">
        <x:v>reliability</x:v>
      </x:c>
      <x:c r="C2287" s="59" t="str">
        <x:v>E</x:v>
      </x:c>
    </x:row>
    <x:row r="2288" ht="30" customHeight="1">
      <x:c r="A2288" s="59" t="str">
        <x:v>ENERGY_CHARTS</x:v>
      </x:c>
      <x:c r="B2288" s="59" t="str">
        <x:v>key_fields</x:v>
      </x:c>
      <x:c r="C2288" s="59" t="str">
        <x:v>[ "schema_version", "series.id", "data.timestamp", "data.values", "unit", "license" ]</x:v>
      </x:c>
    </x:row>
    <x:row r="2289" ht="30" customHeight="1">
      <x:c r="A2289" s="59" t="str">
        <x:v>ENERGY_CHARTS</x:v>
      </x:c>
      <x:c r="B2289" s="59" t="str">
        <x:v>potential_application</x:v>
      </x:c>
      <x:c r="C2289" s="59" t="str">
        <x:v>Kontekst generacji krajowej i porównania.</x:v>
      </x:c>
    </x:row>
    <x:row r="2290" ht="52" customHeight="1">
      <x:c r="A2290" s="59" t="str">
        <x:v>ENERGY_CHARTS</x:v>
      </x:c>
      <x:c r="B2290" s="59" t="str">
        <x:v>known_limitations</x:v>
      </x:c>
      <x:c r="C2290" s="59" t="str">
        <x:v>[ "Nie są to lokalne obciążenia GPZ.", "Schemat v2: series + data.timestamp/values; nie starszy format unix_seconds/production_types.", "Metadane licencji potwierdzono w odpowiedzi API; warunki pozostałych produktów wymagają odrębnej weryfikacji." ]</x:v>
      </x:c>
    </x:row>
    <x:row r="2291" ht="30" customHeight="1">
      <x:c r="A2291" s="59" t="str">
        <x:v>ENERGY_CHARTS</x:v>
      </x:c>
      <x:c r="B2291" s="59" t="str">
        <x:v>priority</x:v>
      </x:c>
      <x:c r="C2291" s="59" t="str">
        <x:v>P2</x:v>
      </x:c>
    </x:row>
    <x:row r="2292" ht="94" customHeight="1">
      <x:c r="A2292" s="59" t="str">
        <x:v>ENERGY_CHARTS</x:v>
      </x:c>
      <x:c r="B2292" s="59" t="str">
        <x:v>evidence (1/3)</x:v>
      </x:c>
      <x:c r="C2292" s="59" t="str">
        <x:v>[ { "source_id": "ENERGY_CHARTS_DOCS", "url": "https://api.energy-charts.info/", "retrieval_date": "2026-09-10T11:18:13.5516656Z", "http_status": 200, "content_type": "text/html; charset=utf-8", "bytes": 1280, "sha256": "3540ad41eba89d2cd8f6f3c2e56ea1c740faeea2bf1eddc5e1c99ecb23ee143d", "local_path": "data/raw/research/2026-09-10/energy_charts_index.html", "error": null, "manifest": "data/catalog/probe_results_20260910T111813793Z.json" }, { "source_id": "ENERGY_CHARTS_OPENAPI", "url": "https://api.energy-charts.info/openapi.json", "retrieval_date": "2026-09-10T11:19:35.4032129Z", "http_status": 200, "content_type": "application/json", "bytes":</x:v>
      </x:c>
    </x:row>
    <x:row r="2293" ht="94" customHeight="1">
      <x:c r="A2293" s="59" t="str">
        <x:v>ENERGY_CHARTS</x:v>
      </x:c>
      <x:c r="B2293" s="59" t="str">
        <x:v>evidence (2/3)</x:v>
      </x:c>
      <x:c r="C2293" s="59" t="str">
        <x:v>83840, "sha256": "523d3ec0fd82a7f148a94c02ffc08e8251c231d74e74b6019978af1e64b610d4", "local_path": "data/raw/research/2026-09-10/energy_charts_openapi.json", "error": null, "manifest": "data/catalog/probe_results_20260910T111959000Z.json" }, { "source_id": "ENERGY_CHARTS_SAMPLE", "url": "https://api.energy-charts.info/v2/public_power?country=pl&amp;start=2026-09-01&amp;end=2026-09-01", "retrieval_date": "2026-09-10T11:22:48.5049578Z", "http_status": 200, "content_type": "application/json", "bytes": 56287, "sha256": "bf5398ea8f93d1f5c775ca1e4ada71e69305b8d65d6fec643a4e477da3d73b3d", "local_path":</x:v>
      </x:c>
    </x:row>
    <x:row r="2294" ht="38" customHeight="1">
      <x:c r="A2294" s="59" t="str">
        <x:v>ENERGY_CHARTS</x:v>
      </x:c>
      <x:c r="B2294" s="59" t="str">
        <x:v>evidence (3/3)</x:v>
      </x:c>
      <x:c r="C2294" s="59" t="str">
        <x:v>"data/raw/research/2026-09-10/energy_charts_pl_sample.json", "error": null, "manifest": "data/catalog/probe_results_20260910T112248796Z.json" } ]</x:v>
      </x:c>
    </x:row>
    <x:row r="2295" ht="30" customHeight="1">
      <x:c r="A2295" s="59" t="str">
        <x:v>ENERGY_CHARTS</x:v>
      </x:c>
      <x:c r="B2295" s="59" t="str">
        <x:v>retrieval_date</x:v>
      </x:c>
      <x:c r="C2295" s="59" t="str">
        <x:v>[ "2026-09-10T11:18:13.5516656Z", "2026-09-10T11:19:35.4032129Z", "2026-09-10T11:22:48.5049578Z" ]</x:v>
      </x:c>
    </x:row>
    <x:row r="2296" ht="30" customHeight="1">
      <x:c r="A2296" s="59" t="str">
        <x:v>EMBER_API</x:v>
      </x:c>
      <x:c r="B2296" s="59" t="str">
        <x:v>country</x:v>
      </x:c>
      <x:c r="C2296" s="59" t="str">
        <x:v>GLOBAL</x:v>
      </x:c>
    </x:row>
    <x:row r="2297" ht="30" customHeight="1">
      <x:c r="A2297" s="59" t="str">
        <x:v>EMBER_API</x:v>
      </x:c>
      <x:c r="B2297" s="59" t="str">
        <x:v>geographical_scope</x:v>
      </x:c>
      <x:c r="C2297" s="59" t="str">
        <x:v>Krajowe szeregi według produktu</x:v>
      </x:c>
    </x:row>
    <x:row r="2298" ht="30" customHeight="1">
      <x:c r="A2298" s="59" t="str">
        <x:v>EMBER_API</x:v>
      </x:c>
      <x:c r="B2298" s="59" t="str">
        <x:v>grid_voltage</x:v>
      </x:c>
      <x:c r="C2298" s="59" t="str">
        <x:v>[ "UNKNOWN_OR_NOT_APPLICABLE" ]</x:v>
      </x:c>
    </x:row>
    <x:row r="2299" ht="30" customHeight="1">
      <x:c r="A2299" s="59" t="str">
        <x:v>EMBER_API</x:v>
      </x:c>
      <x:c r="B2299" s="59" t="str">
        <x:v>api_available</x:v>
      </x:c>
      <x:c r="C2299" s="59" t="str">
        <x:v>DOCUMENTED_NOT_TESTED</x:v>
      </x:c>
    </x:row>
    <x:row r="2300" ht="30" customHeight="1">
      <x:c r="A2300" s="59" t="str">
        <x:v>EMBER_API</x:v>
      </x:c>
      <x:c r="B2300" s="59" t="str">
        <x:v>gis_available</x:v>
      </x:c>
      <x:c r="C2300" s="59" t="str">
        <x:v>UNKNOWN</x:v>
      </x:c>
    </x:row>
    <x:row r="2301" ht="30" customHeight="1">
      <x:c r="A2301" s="59" t="str">
        <x:v>EMBER_API</x:v>
      </x:c>
      <x:c r="B2301" s="59" t="str">
        <x:v>update_frequency</x:v>
      </x:c>
      <x:c r="C2301" s="59" t="str">
        <x:v>UNKNOWN — nie ustalono gwarantowanego cyklu publikacji.</x:v>
      </x:c>
    </x:row>
    <x:row r="2302" ht="30" customHeight="1">
      <x:c r="A2302" s="59" t="str">
        <x:v>EMBER_API</x:v>
      </x:c>
      <x:c r="B2302" s="59" t="str">
        <x:v>historical_data</x:v>
      </x:c>
      <x:c r="C2302" s="59" t="str">
        <x:v>UNKNOWN — własne snapshoty od 10.09.2026, jeśli zapisano próbkę.</x:v>
      </x:c>
    </x:row>
    <x:row r="2303" ht="30" customHeight="1">
      <x:c r="A2303" s="59" t="str">
        <x:v>EMBER_API</x:v>
      </x:c>
      <x:c r="B2303" s="59" t="str">
        <x:v>authentication</x:v>
      </x:c>
      <x:c r="C2303" s="59" t="str">
        <x:v>Rejestracja/klucz według interfejsu; nie wykonano zapytania z kluczem.</x:v>
      </x:c>
    </x:row>
    <x:row r="2304" ht="30" customHeight="1">
      <x:c r="A2304" s="59" t="str">
        <x:v>EMBER_API</x:v>
      </x:c>
      <x:c r="B2304" s="59" t="str">
        <x:v>license</x:v>
      </x:c>
      <x:c r="C2304" s="59" t="str">
        <x:v>UNKNOWN — sprawdzić regulamin konkretnego produktu API.</x:v>
      </x:c>
    </x:row>
    <x:row r="2305" ht="30" customHeight="1">
      <x:c r="A2305" s="59" t="str">
        <x:v>EMBER_API</x:v>
      </x:c>
      <x:c r="B2305" s="59" t="str">
        <x:v>license_url</x:v>
      </x:c>
      <x:c r="C2305" s="59" t="str">
        <x:v>UNKNOWN — nie ustalono</x:v>
      </x:c>
    </x:row>
    <x:row r="2306" ht="30" customHeight="1">
      <x:c r="A2306" s="59" t="str">
        <x:v>EMBER_API</x:v>
      </x:c>
      <x:c r="B2306" s="59" t="str">
        <x:v>commercial_use</x:v>
      </x:c>
      <x:c r="C2306" s="59" t="str">
        <x:v>UNKNOWN</x:v>
      </x:c>
    </x:row>
    <x:row r="2307" ht="30" customHeight="1">
      <x:c r="A2307" s="59" t="str">
        <x:v>EMBER_API</x:v>
      </x:c>
      <x:c r="B2307" s="59" t="str">
        <x:v>machine_readable</x:v>
      </x:c>
      <x:c r="C2307" s="59" t="str">
        <x:v>UNKNOWN</x:v>
      </x:c>
    </x:row>
    <x:row r="2308" ht="30" customHeight="1">
      <x:c r="A2308" s="59" t="str">
        <x:v>EMBER_API</x:v>
      </x:c>
      <x:c r="B2308" s="59" t="str">
        <x:v>scraping_required</x:v>
      </x:c>
      <x:c r="C2308" s="59" t="str">
        <x:v>UNKNOWN — przed scraperem preferować oficjalny plik lub API.</x:v>
      </x:c>
    </x:row>
    <x:row r="2309" ht="30" customHeight="1">
      <x:c r="A2309" s="59" t="str">
        <x:v>EMBER_API</x:v>
      </x:c>
      <x:c r="B2309" s="59" t="str">
        <x:v>data_quality_score</x:v>
      </x:c>
      <x:c r="C2309" s="59" t="str">
        <x:v>UNKNOWN — nie ustalono</x:v>
      </x:c>
    </x:row>
    <x:row r="2310" ht="30" customHeight="1">
      <x:c r="A2310" s="59" t="str">
        <x:v>EMBER_API</x:v>
      </x:c>
      <x:c r="B2310" s="59" t="str">
        <x:v>quality_score_status</x:v>
      </x:c>
      <x:c r="C2310" s="59" t="str">
        <x:v>NOT_CALIBRATED — autorytet źródła nie jest procentem kompletności lub trafności.</x:v>
      </x:c>
    </x:row>
    <x:row r="2311" ht="30" customHeight="1">
      <x:c r="A2311" s="59" t="str">
        <x:v>EMBER_API</x:v>
      </x:c>
      <x:c r="B2311" s="59" t="str">
        <x:v>last_verified</x:v>
      </x:c>
      <x:c r="C2311" s="60" t="n">
        <x:v>46275</x:v>
      </x:c>
    </x:row>
    <x:row r="2312" ht="30" customHeight="1">
      <x:c r="A2312" s="59" t="str">
        <x:v>EMBER_API</x:v>
      </x:c>
      <x:c r="B2312" s="59" t="str">
        <x:v>last_successful_verification</x:v>
      </x:c>
      <x:c r="C2312" s="60" t="n">
        <x:v>46275</x:v>
      </x:c>
    </x:row>
    <x:row r="2313" ht="30" customHeight="1">
      <x:c r="A2313" s="59" t="str">
        <x:v>EMBER_API</x:v>
      </x:c>
      <x:c r="B2313" s="59" t="str">
        <x:v>source_date</x:v>
      </x:c>
      <x:c r="C2313" s="59" t="str">
        <x:v>UNKNOWN — nie ustalono</x:v>
      </x:c>
    </x:row>
    <x:row r="2314" ht="30" customHeight="1">
      <x:c r="A2314" s="59" t="str">
        <x:v>EMBER_API</x:v>
      </x:c>
      <x:c r="B2314" s="59" t="str">
        <x:v>publication_date</x:v>
      </x:c>
      <x:c r="C2314" s="59" t="str">
        <x:v>UNKNOWN — nie ustalono</x:v>
      </x:c>
    </x:row>
    <x:row r="2315" ht="30" customHeight="1">
      <x:c r="A2315" s="59" t="str">
        <x:v>EMBER_API</x:v>
      </x:c>
      <x:c r="B2315" s="59" t="str">
        <x:v>source_version</x:v>
      </x:c>
      <x:c r="C2315" s="59" t="str">
        <x:v>UNKNOWN — nie ustalono</x:v>
      </x:c>
    </x:row>
    <x:row r="2316" ht="30" customHeight="1">
      <x:c r="A2316" s="59" t="str">
        <x:v>EMBER_API</x:v>
      </x:c>
      <x:c r="B2316" s="59" t="str">
        <x:v>source_page</x:v>
      </x:c>
      <x:c r="C2316" s="59" t="str">
        <x:v>UNKNOWN — nie ustalono</x:v>
      </x:c>
    </x:row>
    <x:row r="2317" ht="30" customHeight="1">
      <x:c r="A2317" s="59" t="str">
        <x:v>EMBER_API</x:v>
      </x:c>
      <x:c r="B2317" s="59" t="str">
        <x:v>valid_from</x:v>
      </x:c>
      <x:c r="C2317" s="59" t="str">
        <x:v>UNKNOWN — nie ustalono</x:v>
      </x:c>
    </x:row>
    <x:row r="2318" ht="30" customHeight="1">
      <x:c r="A2318" s="59" t="str">
        <x:v>EMBER_API</x:v>
      </x:c>
      <x:c r="B2318" s="59" t="str">
        <x:v>valid_to</x:v>
      </x:c>
      <x:c r="C2318" s="59" t="str">
        <x:v>UNKNOWN — nie ustalono</x:v>
      </x:c>
    </x:row>
    <x:row r="2319" ht="30" customHeight="1">
      <x:c r="A2319" s="59" t="str">
        <x:v>EMBER_API</x:v>
      </x:c>
      <x:c r="B2319" s="59" t="str">
        <x:v>current_future_scope</x:v>
      </x:c>
      <x:c r="C2319" s="59" t="str">
        <x:v>SOURCE_DEPENDENT</x:v>
      </x:c>
    </x:row>
    <x:row r="2320" ht="30" customHeight="1">
      <x:c r="A2320" s="59" t="str">
        <x:v>EMBER_API</x:v>
      </x:c>
      <x:c r="B2320" s="59" t="str">
        <x:v>value_classification_default</x:v>
      </x:c>
      <x:c r="C2320" s="59" t="str">
        <x:v>REPORTED</x:v>
      </x:c>
    </x:row>
    <x:row r="2321" ht="38" customHeight="1">
      <x:c r="A2321" s="59" t="str">
        <x:v>EMBER_API</x:v>
      </x:c>
      <x:c r="B2321" s="59" t="str">
        <x:v>automation_notes</x:v>
      </x:c>
      <x:c r="C2321" s="59" t="str">
        <x:v>Jednorazowy przegląd; brak zgody na stały scraper wynikającej z samego dostępu. Sprawdzić warunki, robots.txt i limity przed wdrożeniem.</x:v>
      </x:c>
    </x:row>
    <x:row r="2322" ht="30" customHeight="1">
      <x:c r="A2322" s="59" t="str">
        <x:v>EMBER_API</x:v>
      </x:c>
      <x:c r="B2322" s="59" t="str">
        <x:v>probe_ids</x:v>
      </x:c>
      <x:c r="C2322" s="59" t="str">
        <x:v>[]</x:v>
      </x:c>
    </x:row>
    <x:row r="2323" ht="30" customHeight="1">
      <x:c r="A2323" s="59" t="str">
        <x:v>EMBER_API</x:v>
      </x:c>
      <x:c r="B2323" s="59" t="str">
        <x:v>related_urls</x:v>
      </x:c>
      <x:c r="C2323" s="59" t="str">
        <x:v>[ "https://api.ember-energy.org/signup" ]</x:v>
      </x:c>
    </x:row>
    <x:row r="2324" ht="30" customHeight="1">
      <x:c r="A2324" s="59" t="str">
        <x:v>EMBER_API</x:v>
      </x:c>
      <x:c r="B2324" s="59" t="str">
        <x:v>source_id</x:v>
      </x:c>
      <x:c r="C2324" s="59" t="str">
        <x:v>EMBER_API</x:v>
      </x:c>
    </x:row>
    <x:row r="2325" ht="30" customHeight="1">
      <x:c r="A2325" s="59" t="str">
        <x:v>EMBER_API</x:v>
      </x:c>
      <x:c r="B2325" s="59" t="str">
        <x:v>operator</x:v>
      </x:c>
      <x:c r="C2325" s="59" t="str">
        <x:v>UNKNOWN — nie ustalono</x:v>
      </x:c>
    </x:row>
    <x:row r="2326" ht="30" customHeight="1">
      <x:c r="A2326" s="59" t="str">
        <x:v>EMBER_API</x:v>
      </x:c>
      <x:c r="B2326" s="59" t="str">
        <x:v>source_name</x:v>
      </x:c>
      <x:c r="C2326" s="59" t="str">
        <x:v>Ember Energy API — dokumentacja</x:v>
      </x:c>
    </x:row>
    <x:row r="2327" ht="30" customHeight="1">
      <x:c r="A2327" s="59" t="str">
        <x:v>EMBER_API</x:v>
      </x:c>
      <x:c r="B2327" s="59" t="str">
        <x:v>url</x:v>
      </x:c>
      <x:c r="C2327" s="59" t="str">
        <x:v>https://api.ember-energy.org/v1/docs</x:v>
      </x:c>
    </x:row>
    <x:row r="2328" ht="30" customHeight="1">
      <x:c r="A2328" s="59" t="str">
        <x:v>EMBER_API</x:v>
      </x:c>
      <x:c r="B2328" s="59" t="str">
        <x:v>data_owner</x:v>
      </x:c>
      <x:c r="C2328" s="59" t="str">
        <x:v>Ember</x:v>
      </x:c>
    </x:row>
    <x:row r="2329" ht="30" customHeight="1">
      <x:c r="A2329" s="59" t="str">
        <x:v>EMBER_API</x:v>
      </x:c>
      <x:c r="B2329" s="59" t="str">
        <x:v>data_category</x:v>
      </x:c>
      <x:c r="C2329" s="59" t="str">
        <x:v>system_energy_data</x:v>
      </x:c>
    </x:row>
    <x:row r="2330" ht="30" customHeight="1">
      <x:c r="A2330" s="59" t="str">
        <x:v>EMBER_API</x:v>
      </x:c>
      <x:c r="B2330" s="59" t="str">
        <x:v>data_format</x:v>
      </x:c>
      <x:c r="C2330" s="59" t="str">
        <x:v>[ "API documentation" ]</x:v>
      </x:c>
    </x:row>
    <x:row r="2331" ht="30" customHeight="1">
      <x:c r="A2331" s="59" t="str">
        <x:v>EMBER_API</x:v>
      </x:c>
      <x:c r="B2331" s="59" t="str">
        <x:v>verification_status</x:v>
      </x:c>
      <x:c r="C2331" s="59" t="str">
        <x:v>DOCUMENTATION_REVIEWED</x:v>
      </x:c>
    </x:row>
    <x:row r="2332" ht="30" customHeight="1">
      <x:c r="A2332" s="59" t="str">
        <x:v>EMBER_API</x:v>
      </x:c>
      <x:c r="B2332" s="59" t="str">
        <x:v>reliability</x:v>
      </x:c>
      <x:c r="C2332" s="59" t="str">
        <x:v>E</x:v>
      </x:c>
    </x:row>
    <x:row r="2333" ht="30" customHeight="1">
      <x:c r="A2333" s="59" t="str">
        <x:v>EMBER_API</x:v>
      </x:c>
      <x:c r="B2333" s="59" t="str">
        <x:v>key_fields</x:v>
      </x:c>
      <x:c r="C2333" s="59" t="str">
        <x:v>[ "UNKNOWN — szczegóły schematu do weryfikacji" ]</x:v>
      </x:c>
    </x:row>
    <x:row r="2334" ht="30" customHeight="1">
      <x:c r="A2334" s="59" t="str">
        <x:v>EMBER_API</x:v>
      </x:c>
      <x:c r="B2334" s="59" t="str">
        <x:v>potential_application</x:v>
      </x:c>
      <x:c r="C2334" s="59" t="str">
        <x:v>Porównania krajowe i historyczne.</x:v>
      </x:c>
    </x:row>
    <x:row r="2335" ht="30" customHeight="1">
      <x:c r="A2335" s="59" t="str">
        <x:v>EMBER_API</x:v>
      </x:c>
      <x:c r="B2335" s="59" t="str">
        <x:v>known_limitations</x:v>
      </x:c>
      <x:c r="C2335" s="59" t="str">
        <x:v>[ "Otwarta strona dokumentacji nie jest testem datasetu; brak danych lokalnej sieci." ]</x:v>
      </x:c>
    </x:row>
    <x:row r="2336" ht="30" customHeight="1">
      <x:c r="A2336" s="59" t="str">
        <x:v>EMBER_API</x:v>
      </x:c>
      <x:c r="B2336" s="59" t="str">
        <x:v>priority</x:v>
      </x:c>
      <x:c r="C2336" s="59" t="str">
        <x:v>P3</x:v>
      </x:c>
    </x:row>
    <x:row r="2337" ht="30" customHeight="1">
      <x:c r="A2337" s="59" t="str">
        <x:v>EMBER_API</x:v>
      </x:c>
      <x:c r="B2337" s="59" t="str">
        <x:v>evidence</x:v>
      </x:c>
      <x:c r="C2337" s="59" t="str">
        <x:v>[]</x:v>
      </x:c>
    </x:row>
    <x:row r="2338" ht="30" customHeight="1">
      <x:c r="A2338" s="59" t="str">
        <x:v>EMBER_API</x:v>
      </x:c>
      <x:c r="B2338" s="59" t="str">
        <x:v>retrieval_date</x:v>
      </x:c>
      <x:c r="C2338" s="59" t="str">
        <x:v>[]</x:v>
      </x:c>
    </x:row>
    <x:row r="2339" ht="30" customHeight="1">
      <x:c r="A2339" s="59" t="str">
        <x:v>JRC_IDEES</x:v>
      </x:c>
      <x:c r="B2339" s="59" t="str">
        <x:v>country</x:v>
      </x:c>
      <x:c r="C2339" s="59" t="str">
        <x:v>EUROPE</x:v>
      </x:c>
    </x:row>
    <x:row r="2340" ht="30" customHeight="1">
      <x:c r="A2340" s="59" t="str">
        <x:v>JRC_IDEES</x:v>
      </x:c>
      <x:c r="B2340" s="59" t="str">
        <x:v>geographical_scope</x:v>
      </x:c>
      <x:c r="C2340" s="59" t="str">
        <x:v>Państwa UE w zakresie datasetu</x:v>
      </x:c>
    </x:row>
    <x:row r="2341" ht="30" customHeight="1">
      <x:c r="A2341" s="59" t="str">
        <x:v>JRC_IDEES</x:v>
      </x:c>
      <x:c r="B2341" s="59" t="str">
        <x:v>grid_voltage</x:v>
      </x:c>
      <x:c r="C2341" s="59" t="str">
        <x:v>[ "UNKNOWN_OR_NOT_APPLICABLE" ]</x:v>
      </x:c>
    </x:row>
    <x:row r="2342" ht="30" customHeight="1">
      <x:c r="A2342" s="59" t="str">
        <x:v>JRC_IDEES</x:v>
      </x:c>
      <x:c r="B2342" s="59" t="str">
        <x:v>api_available</x:v>
      </x:c>
      <x:c r="C2342" s="59" t="str">
        <x:v>UNKNOWN</x:v>
      </x:c>
    </x:row>
    <x:row r="2343" ht="30" customHeight="1">
      <x:c r="A2343" s="59" t="str">
        <x:v>JRC_IDEES</x:v>
      </x:c>
      <x:c r="B2343" s="59" t="str">
        <x:v>gis_available</x:v>
      </x:c>
      <x:c r="C2343" s="59" t="str">
        <x:v>UNKNOWN</x:v>
      </x:c>
    </x:row>
    <x:row r="2344" ht="30" customHeight="1">
      <x:c r="A2344" s="59" t="str">
        <x:v>JRC_IDEES</x:v>
      </x:c>
      <x:c r="B2344" s="59" t="str">
        <x:v>update_frequency</x:v>
      </x:c>
      <x:c r="C2344" s="59" t="str">
        <x:v>UNKNOWN — nie ustalono gwarantowanego cyklu publikacji.</x:v>
      </x:c>
    </x:row>
    <x:row r="2345" ht="30" customHeight="1">
      <x:c r="A2345" s="59" t="str">
        <x:v>JRC_IDEES</x:v>
      </x:c>
      <x:c r="B2345" s="59" t="str">
        <x:v>historical_data</x:v>
      </x:c>
      <x:c r="C2345" s="59" t="str">
        <x:v>YES — okres 2000–2023 według opisu.</x:v>
      </x:c>
    </x:row>
    <x:row r="2346" ht="30" customHeight="1">
      <x:c r="A2346" s="59" t="str">
        <x:v>JRC_IDEES</x:v>
      </x:c>
      <x:c r="B2346" s="59" t="str">
        <x:v>authentication</x:v>
      </x:c>
      <x:c r="C2346" s="59" t="str">
        <x:v>Odczyt publicznej strony bez konta; nie dowodzi dostępu do wszystkich danych.</x:v>
      </x:c>
    </x:row>
    <x:row r="2347" ht="30" customHeight="1">
      <x:c r="A2347" s="59" t="str">
        <x:v>JRC_IDEES</x:v>
      </x:c>
      <x:c r="B2347" s="59" t="str">
        <x:v>license</x:v>
      </x:c>
      <x:c r="C2347" s="59" t="str">
        <x:v>Do sprawdzenia warunki konkretnej paczki; nie przenosić licencji publikacji na wszystkie wejścia.</x:v>
      </x:c>
    </x:row>
    <x:row r="2348" ht="30" customHeight="1">
      <x:c r="A2348" s="59" t="str">
        <x:v>JRC_IDEES</x:v>
      </x:c>
      <x:c r="B2348" s="59" t="str">
        <x:v>license_url</x:v>
      </x:c>
      <x:c r="C2348" s="59" t="str">
        <x:v>UNKNOWN — nie ustalono</x:v>
      </x:c>
    </x:row>
    <x:row r="2349" ht="30" customHeight="1">
      <x:c r="A2349" s="59" t="str">
        <x:v>JRC_IDEES</x:v>
      </x:c>
      <x:c r="B2349" s="59" t="str">
        <x:v>commercial_use</x:v>
      </x:c>
      <x:c r="C2349" s="59" t="str">
        <x:v>UNKNOWN</x:v>
      </x:c>
    </x:row>
    <x:row r="2350" ht="30" customHeight="1">
      <x:c r="A2350" s="59" t="str">
        <x:v>JRC_IDEES</x:v>
      </x:c>
      <x:c r="B2350" s="59" t="str">
        <x:v>machine_readable</x:v>
      </x:c>
      <x:c r="C2350" s="59" t="str">
        <x:v>UNKNOWN</x:v>
      </x:c>
    </x:row>
    <x:row r="2351" ht="30" customHeight="1">
      <x:c r="A2351" s="59" t="str">
        <x:v>JRC_IDEES</x:v>
      </x:c>
      <x:c r="B2351" s="59" t="str">
        <x:v>scraping_required</x:v>
      </x:c>
      <x:c r="C2351" s="59" t="str">
        <x:v>UNKNOWN — przed scraperem preferować oficjalny plik lub API.</x:v>
      </x:c>
    </x:row>
    <x:row r="2352" ht="30" customHeight="1">
      <x:c r="A2352" s="59" t="str">
        <x:v>JRC_IDEES</x:v>
      </x:c>
      <x:c r="B2352" s="59" t="str">
        <x:v>data_quality_score</x:v>
      </x:c>
      <x:c r="C2352" s="59" t="str">
        <x:v>UNKNOWN — nie ustalono</x:v>
      </x:c>
    </x:row>
    <x:row r="2353" ht="30" customHeight="1">
      <x:c r="A2353" s="59" t="str">
        <x:v>JRC_IDEES</x:v>
      </x:c>
      <x:c r="B2353" s="59" t="str">
        <x:v>quality_score_status</x:v>
      </x:c>
      <x:c r="C2353" s="59" t="str">
        <x:v>NOT_CALIBRATED — autorytet źródła nie jest procentem kompletności lub trafności.</x:v>
      </x:c>
    </x:row>
    <x:row r="2354" ht="30" customHeight="1">
      <x:c r="A2354" s="59" t="str">
        <x:v>JRC_IDEES</x:v>
      </x:c>
      <x:c r="B2354" s="59" t="str">
        <x:v>last_verified</x:v>
      </x:c>
      <x:c r="C2354" s="60" t="n">
        <x:v>46275</x:v>
      </x:c>
    </x:row>
    <x:row r="2355" ht="30" customHeight="1">
      <x:c r="A2355" s="59" t="str">
        <x:v>JRC_IDEES</x:v>
      </x:c>
      <x:c r="B2355" s="59" t="str">
        <x:v>last_successful_verification</x:v>
      </x:c>
      <x:c r="C2355" s="60" t="n">
        <x:v>46275</x:v>
      </x:c>
    </x:row>
    <x:row r="2356" ht="30" customHeight="1">
      <x:c r="A2356" s="59" t="str">
        <x:v>JRC_IDEES</x:v>
      </x:c>
      <x:c r="B2356" s="59" t="str">
        <x:v>source_date</x:v>
      </x:c>
      <x:c r="C2356" s="59" t="str">
        <x:v>UNKNOWN — nie ustalono</x:v>
      </x:c>
    </x:row>
    <x:row r="2357" ht="30" customHeight="1">
      <x:c r="A2357" s="59" t="str">
        <x:v>JRC_IDEES</x:v>
      </x:c>
      <x:c r="B2357" s="59" t="str">
        <x:v>publication_date</x:v>
      </x:c>
      <x:c r="C2357" s="59" t="str">
        <x:v>UNKNOWN — nie ustalono</x:v>
      </x:c>
    </x:row>
    <x:row r="2358" ht="30" customHeight="1">
      <x:c r="A2358" s="59" t="str">
        <x:v>JRC_IDEES</x:v>
      </x:c>
      <x:c r="B2358" s="59" t="str">
        <x:v>source_version</x:v>
      </x:c>
      <x:c r="C2358" s="59" t="str">
        <x:v>IDEES-2023</x:v>
      </x:c>
    </x:row>
    <x:row r="2359" ht="30" customHeight="1">
      <x:c r="A2359" s="59" t="str">
        <x:v>JRC_IDEES</x:v>
      </x:c>
      <x:c r="B2359" s="59" t="str">
        <x:v>source_page</x:v>
      </x:c>
      <x:c r="C2359" s="59" t="str">
        <x:v>UNKNOWN — nie ustalono</x:v>
      </x:c>
    </x:row>
    <x:row r="2360" ht="30" customHeight="1">
      <x:c r="A2360" s="59" t="str">
        <x:v>JRC_IDEES</x:v>
      </x:c>
      <x:c r="B2360" s="59" t="str">
        <x:v>valid_from</x:v>
      </x:c>
      <x:c r="C2360" s="59" t="str">
        <x:v>UNKNOWN — nie ustalono</x:v>
      </x:c>
    </x:row>
    <x:row r="2361" ht="30" customHeight="1">
      <x:c r="A2361" s="59" t="str">
        <x:v>JRC_IDEES</x:v>
      </x:c>
      <x:c r="B2361" s="59" t="str">
        <x:v>valid_to</x:v>
      </x:c>
      <x:c r="C2361" s="59" t="str">
        <x:v>UNKNOWN — nie ustalono</x:v>
      </x:c>
    </x:row>
    <x:row r="2362" ht="30" customHeight="1">
      <x:c r="A2362" s="59" t="str">
        <x:v>JRC_IDEES</x:v>
      </x:c>
      <x:c r="B2362" s="59" t="str">
        <x:v>current_future_scope</x:v>
      </x:c>
      <x:c r="C2362" s="59" t="str">
        <x:v>SOURCE_DEPENDENT</x:v>
      </x:c>
    </x:row>
    <x:row r="2363" ht="30" customHeight="1">
      <x:c r="A2363" s="59" t="str">
        <x:v>JRC_IDEES</x:v>
      </x:c>
      <x:c r="B2363" s="59" t="str">
        <x:v>value_classification_default</x:v>
      </x:c>
      <x:c r="C2363" s="59" t="str">
        <x:v>REPORTED</x:v>
      </x:c>
    </x:row>
    <x:row r="2364" ht="38" customHeight="1">
      <x:c r="A2364" s="59" t="str">
        <x:v>JRC_IDEES</x:v>
      </x:c>
      <x:c r="B2364" s="59" t="str">
        <x:v>automation_notes</x:v>
      </x:c>
      <x:c r="C2364" s="59" t="str">
        <x:v>Jednorazowy przegląd; brak zgody na stały scraper wynikającej z samego dostępu. Sprawdzić warunki, robots.txt i limity przed wdrożeniem.</x:v>
      </x:c>
    </x:row>
    <x:row r="2365" ht="30" customHeight="1">
      <x:c r="A2365" s="59" t="str">
        <x:v>JRC_IDEES</x:v>
      </x:c>
      <x:c r="B2365" s="59" t="str">
        <x:v>probe_ids</x:v>
      </x:c>
      <x:c r="C2365" s="59" t="str">
        <x:v>[]</x:v>
      </x:c>
    </x:row>
    <x:row r="2366" ht="30" customHeight="1">
      <x:c r="A2366" s="59" t="str">
        <x:v>JRC_IDEES</x:v>
      </x:c>
      <x:c r="B2366" s="59" t="str">
        <x:v>related_urls</x:v>
      </x:c>
      <x:c r="C2366" s="59" t="str">
        <x:v>[]</x:v>
      </x:c>
    </x:row>
    <x:row r="2367" ht="30" customHeight="1">
      <x:c r="A2367" s="59" t="str">
        <x:v>JRC_IDEES</x:v>
      </x:c>
      <x:c r="B2367" s="59" t="str">
        <x:v>source_id</x:v>
      </x:c>
      <x:c r="C2367" s="59" t="str">
        <x:v>JRC_IDEES</x:v>
      </x:c>
    </x:row>
    <x:row r="2368" ht="30" customHeight="1">
      <x:c r="A2368" s="59" t="str">
        <x:v>JRC_IDEES</x:v>
      </x:c>
      <x:c r="B2368" s="59" t="str">
        <x:v>operator</x:v>
      </x:c>
      <x:c r="C2368" s="59" t="str">
        <x:v>UNKNOWN — nie ustalono</x:v>
      </x:c>
    </x:row>
    <x:row r="2369" ht="30" customHeight="1">
      <x:c r="A2369" s="59" t="str">
        <x:v>JRC_IDEES</x:v>
      </x:c>
      <x:c r="B2369" s="59" t="str">
        <x:v>source_name</x:v>
      </x:c>
      <x:c r="C2369" s="59" t="str">
        <x:v>JRC IDEES-2023</x:v>
      </x:c>
    </x:row>
    <x:row r="2370" ht="30" customHeight="1">
      <x:c r="A2370" s="59" t="str">
        <x:v>JRC_IDEES</x:v>
      </x:c>
      <x:c r="B2370" s="59" t="str">
        <x:v>url</x:v>
      </x:c>
      <x:c r="C2370" s="59" t="str">
        <x:v>https://data.jrc.ec.europa.eu/dataset/1f0b480c-6d21-4d95-897d-20c7ca33df6f</x:v>
      </x:c>
    </x:row>
    <x:row r="2371" ht="30" customHeight="1">
      <x:c r="A2371" s="59" t="str">
        <x:v>JRC_IDEES</x:v>
      </x:c>
      <x:c r="B2371" s="59" t="str">
        <x:v>data_owner</x:v>
      </x:c>
      <x:c r="C2371" s="59" t="str">
        <x:v>European Commission Joint Research Centre</x:v>
      </x:c>
    </x:row>
    <x:row r="2372" ht="30" customHeight="1">
      <x:c r="A2372" s="59" t="str">
        <x:v>JRC_IDEES</x:v>
      </x:c>
      <x:c r="B2372" s="59" t="str">
        <x:v>data_category</x:v>
      </x:c>
      <x:c r="C2372" s="59" t="str">
        <x:v>historical_energy_demand_structure</x:v>
      </x:c>
    </x:row>
    <x:row r="2373" ht="30" customHeight="1">
      <x:c r="A2373" s="59" t="str">
        <x:v>JRC_IDEES</x:v>
      </x:c>
      <x:c r="B2373" s="59" t="str">
        <x:v>data_format</x:v>
      </x:c>
      <x:c r="C2373" s="59" t="str">
        <x:v>[ "dataset downloads", "metadata" ]</x:v>
      </x:c>
    </x:row>
    <x:row r="2374" ht="30" customHeight="1">
      <x:c r="A2374" s="59" t="str">
        <x:v>JRC_IDEES</x:v>
      </x:c>
      <x:c r="B2374" s="59" t="str">
        <x:v>verification_status</x:v>
      </x:c>
      <x:c r="C2374" s="59" t="str">
        <x:v>CONTENT_REVIEWED</x:v>
      </x:c>
    </x:row>
    <x:row r="2375" ht="30" customHeight="1">
      <x:c r="A2375" s="59" t="str">
        <x:v>JRC_IDEES</x:v>
      </x:c>
      <x:c r="B2375" s="59" t="str">
        <x:v>reliability</x:v>
      </x:c>
      <x:c r="C2375" s="59" t="str">
        <x:v>C</x:v>
      </x:c>
    </x:row>
    <x:row r="2376" ht="30" customHeight="1">
      <x:c r="A2376" s="59" t="str">
        <x:v>JRC_IDEES</x:v>
      </x:c>
      <x:c r="B2376" s="59" t="str">
        <x:v>key_fields</x:v>
      </x:c>
      <x:c r="C2376" s="59" t="str">
        <x:v>[ "kraj", "sektor", "rok", "zużycie energii" ]</x:v>
      </x:c>
    </x:row>
    <x:row r="2377" ht="30" customHeight="1">
      <x:c r="A2377" s="59" t="str">
        <x:v>JRC_IDEES</x:v>
      </x:c>
      <x:c r="B2377" s="59" t="str">
        <x:v>potential_application</x:v>
      </x:c>
      <x:c r="C2377" s="59" t="str">
        <x:v>Założenia scenariuszy popytu na poziomie agregatów.</x:v>
      </x:c>
    </x:row>
    <x:row r="2378" ht="30" customHeight="1">
      <x:c r="A2378" s="59" t="str">
        <x:v>JRC_IDEES</x:v>
      </x:c>
      <x:c r="B2378" s="59" t="str">
        <x:v>known_limitations</x:v>
      </x:c>
      <x:c r="C2378" s="59" t="str">
        <x:v>[ "Aktualizacja metadanych w 2026 nie oznacza obserwacji sieci 2026; brak stacji i feederów." ]</x:v>
      </x:c>
    </x:row>
    <x:row r="2379" ht="30" customHeight="1">
      <x:c r="A2379" s="59" t="str">
        <x:v>JRC_IDEES</x:v>
      </x:c>
      <x:c r="B2379" s="59" t="str">
        <x:v>priority</x:v>
      </x:c>
      <x:c r="C2379" s="59" t="str">
        <x:v>P3</x:v>
      </x:c>
    </x:row>
    <x:row r="2380" ht="30" customHeight="1">
      <x:c r="A2380" s="59" t="str">
        <x:v>JRC_IDEES</x:v>
      </x:c>
      <x:c r="B2380" s="59" t="str">
        <x:v>evidence</x:v>
      </x:c>
      <x:c r="C2380" s="59" t="str">
        <x:v>[]</x:v>
      </x:c>
    </x:row>
    <x:row r="2381" ht="30" customHeight="1">
      <x:c r="A2381" s="59" t="str">
        <x:v>JRC_IDEES</x:v>
      </x:c>
      <x:c r="B2381" s="59" t="str">
        <x:v>retrieval_date</x:v>
      </x:c>
      <x:c r="C2381" s="59" t="str">
        <x:v>[]</x:v>
      </x:c>
    </x:row>
    <x:row r="2382" ht="30" customHeight="1">
      <x:c r="A2382" s="59" t="str">
        <x:v>COPERNICUS</x:v>
      </x:c>
      <x:c r="B2382" s="59" t="str">
        <x:v>country</x:v>
      </x:c>
      <x:c r="C2382" s="59" t="str">
        <x:v>GLOBAL</x:v>
      </x:c>
    </x:row>
    <x:row r="2383" ht="30" customHeight="1">
      <x:c r="A2383" s="59" t="str">
        <x:v>COPERNICUS</x:v>
      </x:c>
      <x:c r="B2383" s="59" t="str">
        <x:v>geographical_scope</x:v>
      </x:c>
      <x:c r="C2383" s="59" t="str">
        <x:v>Zależna od produktu satelitarnego</x:v>
      </x:c>
    </x:row>
    <x:row r="2384" ht="30" customHeight="1">
      <x:c r="A2384" s="59" t="str">
        <x:v>COPERNICUS</x:v>
      </x:c>
      <x:c r="B2384" s="59" t="str">
        <x:v>grid_voltage</x:v>
      </x:c>
      <x:c r="C2384" s="59" t="str">
        <x:v>[ "UNKNOWN_OR_NOT_APPLICABLE" ]</x:v>
      </x:c>
    </x:row>
    <x:row r="2385" ht="30" customHeight="1">
      <x:c r="A2385" s="59" t="str">
        <x:v>COPERNICUS</x:v>
      </x:c>
      <x:c r="B2385" s="59" t="str">
        <x:v>api_available</x:v>
      </x:c>
      <x:c r="C2385" s="59" t="str">
        <x:v>DOCUMENTED_NOT_TESTED</x:v>
      </x:c>
    </x:row>
    <x:row r="2386" ht="30" customHeight="1">
      <x:c r="A2386" s="59" t="str">
        <x:v>COPERNICUS</x:v>
      </x:c>
      <x:c r="B2386" s="59" t="str">
        <x:v>gis_available</x:v>
      </x:c>
      <x:c r="C2386" s="59" t="str">
        <x:v>DOCUMENTED_NOT_TESTED</x:v>
      </x:c>
    </x:row>
    <x:row r="2387" ht="30" customHeight="1">
      <x:c r="A2387" s="59" t="str">
        <x:v>COPERNICUS</x:v>
      </x:c>
      <x:c r="B2387" s="59" t="str">
        <x:v>update_frequency</x:v>
      </x:c>
      <x:c r="C2387" s="59" t="str">
        <x:v>UNKNOWN — nie ustalono gwarantowanego cyklu publikacji.</x:v>
      </x:c>
    </x:row>
    <x:row r="2388" ht="30" customHeight="1">
      <x:c r="A2388" s="59" t="str">
        <x:v>COPERNICUS</x:v>
      </x:c>
      <x:c r="B2388" s="59" t="str">
        <x:v>historical_data</x:v>
      </x:c>
      <x:c r="C2388" s="59" t="str">
        <x:v>UNKNOWN — własne snapshoty od 10.09.2026, jeśli zapisano próbkę.</x:v>
      </x:c>
    </x:row>
    <x:row r="2389" ht="30" customHeight="1">
      <x:c r="A2389" s="59" t="str">
        <x:v>COPERNICUS</x:v>
      </x:c>
      <x:c r="B2389" s="59" t="str">
        <x:v>authentication</x:v>
      </x:c>
      <x:c r="C2389" s="59" t="str">
        <x:v>Zależna od operacji; pobrania mogą wymagać tokenu.</x:v>
      </x:c>
    </x:row>
    <x:row r="2390" ht="30" customHeight="1">
      <x:c r="A2390" s="59" t="str">
        <x:v>COPERNICUS</x:v>
      </x:c>
      <x:c r="B2390" s="59" t="str">
        <x:v>license</x:v>
      </x:c>
      <x:c r="C2390" s="59" t="str">
        <x:v>Otwarte zasady danych Sentinel nie obejmują automatycznie wszystkich produktów i treści portalu.</x:v>
      </x:c>
    </x:row>
    <x:row r="2391" ht="30" customHeight="1">
      <x:c r="A2391" s="59" t="str">
        <x:v>COPERNICUS</x:v>
      </x:c>
      <x:c r="B2391" s="59" t="str">
        <x:v>license_url</x:v>
      </x:c>
      <x:c r="C2391" s="59" t="str">
        <x:v>https://dataspace.copernicus.eu/terms-and-conditions</x:v>
      </x:c>
    </x:row>
    <x:row r="2392" ht="30" customHeight="1">
      <x:c r="A2392" s="59" t="str">
        <x:v>COPERNICUS</x:v>
      </x:c>
      <x:c r="B2392" s="59" t="str">
        <x:v>commercial_use</x:v>
      </x:c>
      <x:c r="C2392" s="59" t="str">
        <x:v>PRODUCT_SPECIFIC</x:v>
      </x:c>
    </x:row>
    <x:row r="2393" ht="30" customHeight="1">
      <x:c r="A2393" s="59" t="str">
        <x:v>COPERNICUS</x:v>
      </x:c>
      <x:c r="B2393" s="59" t="str">
        <x:v>machine_readable</x:v>
      </x:c>
      <x:c r="C2393" s="59" t="str">
        <x:v>UNKNOWN</x:v>
      </x:c>
    </x:row>
    <x:row r="2394" ht="30" customHeight="1">
      <x:c r="A2394" s="59" t="str">
        <x:v>COPERNICUS</x:v>
      </x:c>
      <x:c r="B2394" s="59" t="str">
        <x:v>scraping_required</x:v>
      </x:c>
      <x:c r="C2394" s="59" t="str">
        <x:v>UNKNOWN — przed scraperem preferować oficjalny plik lub API.</x:v>
      </x:c>
    </x:row>
    <x:row r="2395" ht="30" customHeight="1">
      <x:c r="A2395" s="59" t="str">
        <x:v>COPERNICUS</x:v>
      </x:c>
      <x:c r="B2395" s="59" t="str">
        <x:v>data_quality_score</x:v>
      </x:c>
      <x:c r="C2395" s="59" t="str">
        <x:v>UNKNOWN — nie ustalono</x:v>
      </x:c>
    </x:row>
    <x:row r="2396" ht="30" customHeight="1">
      <x:c r="A2396" s="59" t="str">
        <x:v>COPERNICUS</x:v>
      </x:c>
      <x:c r="B2396" s="59" t="str">
        <x:v>quality_score_status</x:v>
      </x:c>
      <x:c r="C2396" s="59" t="str">
        <x:v>NOT_CALIBRATED — autorytet źródła nie jest procentem kompletności lub trafności.</x:v>
      </x:c>
    </x:row>
    <x:row r="2397" ht="30" customHeight="1">
      <x:c r="A2397" s="59" t="str">
        <x:v>COPERNICUS</x:v>
      </x:c>
      <x:c r="B2397" s="59" t="str">
        <x:v>last_verified</x:v>
      </x:c>
      <x:c r="C2397" s="60" t="n">
        <x:v>46275</x:v>
      </x:c>
    </x:row>
    <x:row r="2398" ht="30" customHeight="1">
      <x:c r="A2398" s="59" t="str">
        <x:v>COPERNICUS</x:v>
      </x:c>
      <x:c r="B2398" s="59" t="str">
        <x:v>last_successful_verification</x:v>
      </x:c>
      <x:c r="C2398" s="60" t="n">
        <x:v>46275</x:v>
      </x:c>
    </x:row>
    <x:row r="2399" ht="30" customHeight="1">
      <x:c r="A2399" s="59" t="str">
        <x:v>COPERNICUS</x:v>
      </x:c>
      <x:c r="B2399" s="59" t="str">
        <x:v>source_date</x:v>
      </x:c>
      <x:c r="C2399" s="59" t="str">
        <x:v>UNKNOWN — nie ustalono</x:v>
      </x:c>
    </x:row>
    <x:row r="2400" ht="30" customHeight="1">
      <x:c r="A2400" s="59" t="str">
        <x:v>COPERNICUS</x:v>
      </x:c>
      <x:c r="B2400" s="59" t="str">
        <x:v>publication_date</x:v>
      </x:c>
      <x:c r="C2400" s="59" t="str">
        <x:v>UNKNOWN — nie ustalono</x:v>
      </x:c>
    </x:row>
    <x:row r="2401" ht="30" customHeight="1">
      <x:c r="A2401" s="59" t="str">
        <x:v>COPERNICUS</x:v>
      </x:c>
      <x:c r="B2401" s="59" t="str">
        <x:v>source_version</x:v>
      </x:c>
      <x:c r="C2401" s="59" t="str">
        <x:v>UNKNOWN — nie ustalono</x:v>
      </x:c>
    </x:row>
    <x:row r="2402" ht="30" customHeight="1">
      <x:c r="A2402" s="59" t="str">
        <x:v>COPERNICUS</x:v>
      </x:c>
      <x:c r="B2402" s="59" t="str">
        <x:v>source_page</x:v>
      </x:c>
      <x:c r="C2402" s="59" t="str">
        <x:v>UNKNOWN — nie ustalono</x:v>
      </x:c>
    </x:row>
    <x:row r="2403" ht="30" customHeight="1">
      <x:c r="A2403" s="59" t="str">
        <x:v>COPERNICUS</x:v>
      </x:c>
      <x:c r="B2403" s="59" t="str">
        <x:v>valid_from</x:v>
      </x:c>
      <x:c r="C2403" s="59" t="str">
        <x:v>UNKNOWN — nie ustalono</x:v>
      </x:c>
    </x:row>
    <x:row r="2404" ht="30" customHeight="1">
      <x:c r="A2404" s="59" t="str">
        <x:v>COPERNICUS</x:v>
      </x:c>
      <x:c r="B2404" s="59" t="str">
        <x:v>valid_to</x:v>
      </x:c>
      <x:c r="C2404" s="59" t="str">
        <x:v>UNKNOWN — nie ustalono</x:v>
      </x:c>
    </x:row>
    <x:row r="2405" ht="30" customHeight="1">
      <x:c r="A2405" s="59" t="str">
        <x:v>COPERNICUS</x:v>
      </x:c>
      <x:c r="B2405" s="59" t="str">
        <x:v>current_future_scope</x:v>
      </x:c>
      <x:c r="C2405" s="59" t="str">
        <x:v>SOURCE_DEPENDENT</x:v>
      </x:c>
    </x:row>
    <x:row r="2406" ht="30" customHeight="1">
      <x:c r="A2406" s="59" t="str">
        <x:v>COPERNICUS</x:v>
      </x:c>
      <x:c r="B2406" s="59" t="str">
        <x:v>value_classification_default</x:v>
      </x:c>
      <x:c r="C2406" s="59" t="str">
        <x:v>REPORTED</x:v>
      </x:c>
    </x:row>
    <x:row r="2407" ht="38" customHeight="1">
      <x:c r="A2407" s="59" t="str">
        <x:v>COPERNICUS</x:v>
      </x:c>
      <x:c r="B2407" s="59" t="str">
        <x:v>automation_notes</x:v>
      </x:c>
      <x:c r="C2407" s="59" t="str">
        <x:v>Jednorazowy przegląd; brak zgody na stały scraper wynikającej z samego dostępu. Sprawdzić warunki, robots.txt i limity przed wdrożeniem.</x:v>
      </x:c>
    </x:row>
    <x:row r="2408" ht="30" customHeight="1">
      <x:c r="A2408" s="59" t="str">
        <x:v>COPERNICUS</x:v>
      </x:c>
      <x:c r="B2408" s="59" t="str">
        <x:v>probe_ids</x:v>
      </x:c>
      <x:c r="C2408" s="59" t="str">
        <x:v>[]</x:v>
      </x:c>
    </x:row>
    <x:row r="2409" ht="30" customHeight="1">
      <x:c r="A2409" s="59" t="str">
        <x:v>COPERNICUS</x:v>
      </x:c>
      <x:c r="B2409" s="59" t="str">
        <x:v>related_urls</x:v>
      </x:c>
      <x:c r="C2409" s="59" t="str">
        <x:v>[ "https://documentation.dataspace.copernicus.eu/Quotas.html" ]</x:v>
      </x:c>
    </x:row>
    <x:row r="2410" ht="30" customHeight="1">
      <x:c r="A2410" s="59" t="str">
        <x:v>COPERNICUS</x:v>
      </x:c>
      <x:c r="B2410" s="59" t="str">
        <x:v>source_id</x:v>
      </x:c>
      <x:c r="C2410" s="59" t="str">
        <x:v>COPERNICUS</x:v>
      </x:c>
    </x:row>
    <x:row r="2411" ht="30" customHeight="1">
      <x:c r="A2411" s="59" t="str">
        <x:v>COPERNICUS</x:v>
      </x:c>
      <x:c r="B2411" s="59" t="str">
        <x:v>operator</x:v>
      </x:c>
      <x:c r="C2411" s="59" t="str">
        <x:v>UNKNOWN — nie ustalono</x:v>
      </x:c>
    </x:row>
    <x:row r="2412" ht="30" customHeight="1">
      <x:c r="A2412" s="59" t="str">
        <x:v>COPERNICUS</x:v>
      </x:c>
      <x:c r="B2412" s="59" t="str">
        <x:v>source_name</x:v>
      </x:c>
      <x:c r="C2412" s="59" t="str">
        <x:v>Copernicus Data Space — OData i produkty</x:v>
      </x:c>
    </x:row>
    <x:row r="2413" ht="30" customHeight="1">
      <x:c r="A2413" s="59" t="str">
        <x:v>COPERNICUS</x:v>
      </x:c>
      <x:c r="B2413" s="59" t="str">
        <x:v>url</x:v>
      </x:c>
      <x:c r="C2413" s="59" t="str">
        <x:v>https://documentation.dataspace.copernicus.eu/APIs/OData.html</x:v>
      </x:c>
    </x:row>
    <x:row r="2414" ht="30" customHeight="1">
      <x:c r="A2414" s="59" t="str">
        <x:v>COPERNICUS</x:v>
      </x:c>
      <x:c r="B2414" s="59" t="str">
        <x:v>data_owner</x:v>
      </x:c>
      <x:c r="C2414" s="59" t="str">
        <x:v>Copernicus / ESA / operatorzy CDSE zależnie od produktu</x:v>
      </x:c>
    </x:row>
    <x:row r="2415" ht="30" customHeight="1">
      <x:c r="A2415" s="59" t="str">
        <x:v>COPERNICUS</x:v>
      </x:c>
      <x:c r="B2415" s="59" t="str">
        <x:v>data_category</x:v>
      </x:c>
      <x:c r="C2415" s="59" t="str">
        <x:v>earth_observation</x:v>
      </x:c>
    </x:row>
    <x:row r="2416" ht="30" customHeight="1">
      <x:c r="A2416" s="59" t="str">
        <x:v>COPERNICUS</x:v>
      </x:c>
      <x:c r="B2416" s="59" t="str">
        <x:v>data_format</x:v>
      </x:c>
      <x:c r="C2416" s="59" t="str">
        <x:v>[ "OData", "JSON", "raster", "STAC documentation" ]</x:v>
      </x:c>
    </x:row>
    <x:row r="2417" ht="30" customHeight="1">
      <x:c r="A2417" s="59" t="str">
        <x:v>COPERNICUS</x:v>
      </x:c>
      <x:c r="B2417" s="59" t="str">
        <x:v>verification_status</x:v>
      </x:c>
      <x:c r="C2417" s="59" t="str">
        <x:v>DOCUMENTATION_REVIEWED</x:v>
      </x:c>
    </x:row>
    <x:row r="2418" ht="30" customHeight="1">
      <x:c r="A2418" s="59" t="str">
        <x:v>COPERNICUS</x:v>
      </x:c>
      <x:c r="B2418" s="59" t="str">
        <x:v>reliability</x:v>
      </x:c>
      <x:c r="C2418" s="59" t="str">
        <x:v>C</x:v>
      </x:c>
    </x:row>
    <x:row r="2419" ht="30" customHeight="1">
      <x:c r="A2419" s="59" t="str">
        <x:v>COPERNICUS</x:v>
      </x:c>
      <x:c r="B2419" s="59" t="str">
        <x:v>key_fields</x:v>
      </x:c>
      <x:c r="C2419" s="59" t="str">
        <x:v>[ "product_id", "footprint", "acquisition_date", "cloud_cover", "product_type" ]</x:v>
      </x:c>
    </x:row>
    <x:row r="2420" ht="30" customHeight="1">
      <x:c r="A2420" s="59" t="str">
        <x:v>COPERNICUS</x:v>
      </x:c>
      <x:c r="B2420" s="59" t="str">
        <x:v>potential_application</x:v>
      </x:c>
      <x:c r="C2420" s="59" t="str">
        <x:v>Pokrycie terenu i materiały do przyszłych modeli przestrzennych.</x:v>
      </x:c>
    </x:row>
    <x:row r="2421" ht="38" customHeight="1">
      <x:c r="A2421" s="59" t="str">
        <x:v>COPERNICUS</x:v>
      </x:c>
      <x:c r="B2421" s="59" t="str">
        <x:v>known_limitations</x:v>
      </x:c>
      <x:c r="C2421" s="59" t="str">
        <x:v>[ "Nie źródło parametrów sieci; brak pobrania próbki produktu.", "Sentinel, DEM, portal i usługi mają różne warunki." ]</x:v>
      </x:c>
    </x:row>
    <x:row r="2422" ht="30" customHeight="1">
      <x:c r="A2422" s="59" t="str">
        <x:v>COPERNICUS</x:v>
      </x:c>
      <x:c r="B2422" s="59" t="str">
        <x:v>priority</x:v>
      </x:c>
      <x:c r="C2422" s="59" t="str">
        <x:v>P3</x:v>
      </x:c>
    </x:row>
    <x:row r="2423" ht="30" customHeight="1">
      <x:c r="A2423" s="59" t="str">
        <x:v>COPERNICUS</x:v>
      </x:c>
      <x:c r="B2423" s="59" t="str">
        <x:v>evidence</x:v>
      </x:c>
      <x:c r="C2423" s="59" t="str">
        <x:v>[]</x:v>
      </x:c>
    </x:row>
    <x:row r="2424" ht="30" customHeight="1">
      <x:c r="A2424" s="59" t="str">
        <x:v>COPERNICUS</x:v>
      </x:c>
      <x:c r="B2424" s="59" t="str">
        <x:v>retrieval_date</x:v>
      </x:c>
      <x:c r="C2424" s="59" t="str">
        <x:v>[]</x:v>
      </x:c>
    </x:row>
    <x:row r="2425" ht="30" customHeight="1">
      <x:c r="A2425" s="59" t="str">
        <x:v>PSE_INVESTMENTS_RADK</x:v>
      </x:c>
      <x:c r="B2425" s="59" t="str">
        <x:v>country</x:v>
      </x:c>
      <x:c r="C2425" s="59" t="str">
        <x:v>PL</x:v>
      </x:c>
    </x:row>
    <x:row r="2426" ht="30" customHeight="1">
      <x:c r="A2426" s="59" t="str">
        <x:v>PSE_INVESTMENTS_RADK</x:v>
      </x:c>
      <x:c r="B2426" s="59" t="str">
        <x:v>geographical_scope</x:v>
      </x:c>
      <x:c r="C2426" s="59" t="str">
        <x:v>Polska; do pilota odczytano sekcję Radkowice</x:v>
      </x:c>
    </x:row>
    <x:row r="2427" ht="30" customHeight="1">
      <x:c r="A2427" s="59" t="str">
        <x:v>PSE_INVESTMENTS_RADK</x:v>
      </x:c>
      <x:c r="B2427" s="59" t="str">
        <x:v>grid_voltage</x:v>
      </x:c>
      <x:c r="C2427" s="59" t="str">
        <x:v>[ "220 kV", "110 kV" ]</x:v>
      </x:c>
    </x:row>
    <x:row r="2428" ht="30" customHeight="1">
      <x:c r="A2428" s="59" t="str">
        <x:v>PSE_INVESTMENTS_RADK</x:v>
      </x:c>
      <x:c r="B2428" s="59" t="str">
        <x:v>api_available</x:v>
      </x:c>
      <x:c r="C2428" s="59" t="str">
        <x:v>UNKNOWN</x:v>
      </x:c>
    </x:row>
    <x:row r="2429" ht="30" customHeight="1">
      <x:c r="A2429" s="59" t="str">
        <x:v>PSE_INVESTMENTS_RADK</x:v>
      </x:c>
      <x:c r="B2429" s="59" t="str">
        <x:v>gis_available</x:v>
      </x:c>
      <x:c r="C2429" s="59" t="str">
        <x:v>UNKNOWN</x:v>
      </x:c>
    </x:row>
    <x:row r="2430" ht="30" customHeight="1">
      <x:c r="A2430" s="59" t="str">
        <x:v>PSE_INVESTMENTS_RADK</x:v>
      </x:c>
      <x:c r="B2430" s="59" t="str">
        <x:v>update_frequency</x:v>
      </x:c>
      <x:c r="C2430" s="59" t="str">
        <x:v>UNKNOWN — nie ustalono gwarantowanego cyklu publikacji.</x:v>
      </x:c>
    </x:row>
    <x:row r="2431" ht="30" customHeight="1">
      <x:c r="A2431" s="59" t="str">
        <x:v>PSE_INVESTMENTS_RADK</x:v>
      </x:c>
      <x:c r="B2431" s="59" t="str">
        <x:v>historical_data</x:v>
      </x:c>
      <x:c r="C2431" s="59" t="str">
        <x:v>UNKNOWN — własne snapshoty od 10.09.2026, jeśli zapisano próbkę.</x:v>
      </x:c>
    </x:row>
    <x:row r="2432" ht="30" customHeight="1">
      <x:c r="A2432" s="59" t="str">
        <x:v>PSE_INVESTMENTS_RADK</x:v>
      </x:c>
      <x:c r="B2432" s="59" t="str">
        <x:v>authentication</x:v>
      </x:c>
      <x:c r="C2432" s="59" t="str">
        <x:v>Odczyt publicznej strony bez konta; nie dowodzi dostępu do wszystkich danych.</x:v>
      </x:c>
    </x:row>
    <x:row r="2433" ht="30" customHeight="1">
      <x:c r="A2433" s="59" t="str">
        <x:v>PSE_INVESTMENTS_RADK</x:v>
      </x:c>
      <x:c r="B2433" s="59" t="str">
        <x:v>license</x:v>
      </x:c>
      <x:c r="C2433" s="59" t="str">
        <x:v>UNKNOWN — nie potwierdzono otwartej licencji wybranego zbioru.</x:v>
      </x:c>
    </x:row>
    <x:row r="2434" ht="30" customHeight="1">
      <x:c r="A2434" s="59" t="str">
        <x:v>PSE_INVESTMENTS_RADK</x:v>
      </x:c>
      <x:c r="B2434" s="59" t="str">
        <x:v>license_url</x:v>
      </x:c>
      <x:c r="C2434" s="59" t="str">
        <x:v>UNKNOWN — nie ustalono</x:v>
      </x:c>
    </x:row>
    <x:row r="2435" ht="30" customHeight="1">
      <x:c r="A2435" s="59" t="str">
        <x:v>PSE_INVESTMENTS_RADK</x:v>
      </x:c>
      <x:c r="B2435" s="59" t="str">
        <x:v>commercial_use</x:v>
      </x:c>
      <x:c r="C2435" s="59" t="str">
        <x:v>UNKNOWN</x:v>
      </x:c>
    </x:row>
    <x:row r="2436" ht="30" customHeight="1">
      <x:c r="A2436" s="59" t="str">
        <x:v>PSE_INVESTMENTS_RADK</x:v>
      </x:c>
      <x:c r="B2436" s="59" t="str">
        <x:v>machine_readable</x:v>
      </x:c>
      <x:c r="C2436" s="59" t="str">
        <x:v>PARTIAL — HTML wymaga rozpoznania sekcji</x:v>
      </x:c>
    </x:row>
    <x:row r="2437" ht="30" customHeight="1">
      <x:c r="A2437" s="59" t="str">
        <x:v>PSE_INVESTMENTS_RADK</x:v>
      </x:c>
      <x:c r="B2437" s="59" t="str">
        <x:v>scraping_required</x:v>
      </x:c>
      <x:c r="C2437" s="59" t="str">
        <x:v>YES — dla tego widoku HTML; brak wdrożonego cyklicznego scrapera</x:v>
      </x:c>
    </x:row>
    <x:row r="2438" ht="30" customHeight="1">
      <x:c r="A2438" s="59" t="str">
        <x:v>PSE_INVESTMENTS_RADK</x:v>
      </x:c>
      <x:c r="B2438" s="59" t="str">
        <x:v>data_quality_score</x:v>
      </x:c>
      <x:c r="C2438" s="59" t="str">
        <x:v>UNKNOWN — nie ustalono</x:v>
      </x:c>
    </x:row>
    <x:row r="2439" ht="30" customHeight="1">
      <x:c r="A2439" s="59" t="str">
        <x:v>PSE_INVESTMENTS_RADK</x:v>
      </x:c>
      <x:c r="B2439" s="59" t="str">
        <x:v>quality_score_status</x:v>
      </x:c>
      <x:c r="C2439" s="59" t="str">
        <x:v>NOT_CALIBRATED — autorytet źródła nie jest procentem kompletności lub trafności.</x:v>
      </x:c>
    </x:row>
    <x:row r="2440" ht="30" customHeight="1">
      <x:c r="A2440" s="59" t="str">
        <x:v>PSE_INVESTMENTS_RADK</x:v>
      </x:c>
      <x:c r="B2440" s="59" t="str">
        <x:v>last_verified</x:v>
      </x:c>
      <x:c r="C2440" s="60" t="n">
        <x:v>46282</x:v>
      </x:c>
    </x:row>
    <x:row r="2441" ht="30" customHeight="1">
      <x:c r="A2441" s="59" t="str">
        <x:v>PSE_INVESTMENTS_RADK</x:v>
      </x:c>
      <x:c r="B2441" s="59" t="str">
        <x:v>last_successful_verification</x:v>
      </x:c>
      <x:c r="C2441" s="60" t="n">
        <x:v>46282</x:v>
      </x:c>
    </x:row>
    <x:row r="2442" ht="30" customHeight="1">
      <x:c r="A2442" s="59" t="str">
        <x:v>PSE_INVESTMENTS_RADK</x:v>
      </x:c>
      <x:c r="B2442" s="59" t="str">
        <x:v>source_date</x:v>
      </x:c>
      <x:c r="C2442" s="59" t="str">
        <x:v>UNKNOWN — nie ustalono</x:v>
      </x:c>
    </x:row>
    <x:row r="2443" ht="30" customHeight="1">
      <x:c r="A2443" s="59" t="str">
        <x:v>PSE_INVESTMENTS_RADK</x:v>
      </x:c>
      <x:c r="B2443" s="59" t="str">
        <x:v>publication_date</x:v>
      </x:c>
      <x:c r="C2443" s="59" t="str">
        <x:v>UNKNOWN — nie ustalono</x:v>
      </x:c>
    </x:row>
    <x:row r="2444" ht="30" customHeight="1">
      <x:c r="A2444" s="59" t="str">
        <x:v>PSE_INVESTMENTS_RADK</x:v>
      </x:c>
      <x:c r="B2444" s="59" t="str">
        <x:v>source_version</x:v>
      </x:c>
      <x:c r="C2444" s="59" t="str">
        <x:v>UNKNOWN — nie ustalono</x:v>
      </x:c>
    </x:row>
    <x:row r="2445" ht="30" customHeight="1">
      <x:c r="A2445" s="59" t="str">
        <x:v>PSE_INVESTMENTS_RADK</x:v>
      </x:c>
      <x:c r="B2445" s="59" t="str">
        <x:v>source_page</x:v>
      </x:c>
      <x:c r="C2445" s="59" t="str">
        <x:v>UNKNOWN — nie ustalono</x:v>
      </x:c>
    </x:row>
    <x:row r="2446" ht="30" customHeight="1">
      <x:c r="A2446" s="59" t="str">
        <x:v>PSE_INVESTMENTS_RADK</x:v>
      </x:c>
      <x:c r="B2446" s="59" t="str">
        <x:v>valid_from</x:v>
      </x:c>
      <x:c r="C2446" s="59" t="str">
        <x:v>UNKNOWN — nie ustalono</x:v>
      </x:c>
    </x:row>
    <x:row r="2447" ht="30" customHeight="1">
      <x:c r="A2447" s="59" t="str">
        <x:v>PSE_INVESTMENTS_RADK</x:v>
      </x:c>
      <x:c r="B2447" s="59" t="str">
        <x:v>valid_to</x:v>
      </x:c>
      <x:c r="C2447" s="59" t="str">
        <x:v>UNKNOWN — nie ustalono</x:v>
      </x:c>
    </x:row>
    <x:row r="2448" ht="30" customHeight="1">
      <x:c r="A2448" s="59" t="str">
        <x:v>PSE_INVESTMENTS_RADK</x:v>
      </x:c>
      <x:c r="B2448" s="59" t="str">
        <x:v>current_future_scope</x:v>
      </x:c>
      <x:c r="C2448" s="59" t="str">
        <x:v>SOURCE_DEPENDENT</x:v>
      </x:c>
    </x:row>
    <x:row r="2449" ht="30" customHeight="1">
      <x:c r="A2449" s="59" t="str">
        <x:v>PSE_INVESTMENTS_RADK</x:v>
      </x:c>
      <x:c r="B2449" s="59" t="str">
        <x:v>value_classification_default</x:v>
      </x:c>
      <x:c r="C2449" s="59" t="str">
        <x:v>REPORTED</x:v>
      </x:c>
    </x:row>
    <x:row r="2450" ht="38" customHeight="1">
      <x:c r="A2450" s="59" t="str">
        <x:v>PSE_INVESTMENTS_RADK</x:v>
      </x:c>
      <x:c r="B2450" s="59" t="str">
        <x:v>automation_notes</x:v>
      </x:c>
      <x:c r="C2450" s="59" t="str">
        <x:v>Jednorazowy przegląd; brak zgody na stały scraper wynikającej z samego dostępu. Sprawdzić warunki, robots.txt i limity przed wdrożeniem.</x:v>
      </x:c>
    </x:row>
    <x:row r="2451" ht="30" customHeight="1">
      <x:c r="A2451" s="59" t="str">
        <x:v>PSE_INVESTMENTS_RADK</x:v>
      </x:c>
      <x:c r="B2451" s="59" t="str">
        <x:v>probe_ids</x:v>
      </x:c>
      <x:c r="C2451" s="59" t="str">
        <x:v>[ "PSE_INVESTMENTS_RADK" ]</x:v>
      </x:c>
    </x:row>
    <x:row r="2452" ht="30" customHeight="1">
      <x:c r="A2452" s="59" t="str">
        <x:v>PSE_INVESTMENTS_RADK</x:v>
      </x:c>
      <x:c r="B2452" s="59" t="str">
        <x:v>related_urls</x:v>
      </x:c>
      <x:c r="C2452" s="59" t="str">
        <x:v>[]</x:v>
      </x:c>
    </x:row>
    <x:row r="2453" ht="30" customHeight="1">
      <x:c r="A2453" s="59" t="str">
        <x:v>PSE_INVESTMENTS_RADK</x:v>
      </x:c>
      <x:c r="B2453" s="59" t="str">
        <x:v>source_id</x:v>
      </x:c>
      <x:c r="C2453" s="59" t="str">
        <x:v>PSE_INVESTMENTS_RADK</x:v>
      </x:c>
    </x:row>
    <x:row r="2454" ht="30" customHeight="1">
      <x:c r="A2454" s="59" t="str">
        <x:v>PSE_INVESTMENTS_RADK</x:v>
      </x:c>
      <x:c r="B2454" s="59" t="str">
        <x:v>operator</x:v>
      </x:c>
      <x:c r="C2454" s="59" t="str">
        <x:v>PSE</x:v>
      </x:c>
    </x:row>
    <x:row r="2455" ht="30" customHeight="1">
      <x:c r="A2455" s="59" t="str">
        <x:v>PSE_INVESTMENTS_RADK</x:v>
      </x:c>
      <x:c r="B2455" s="59" t="str">
        <x:v>source_name</x:v>
      </x:c>
      <x:c r="C2455" s="59" t="str">
        <x:v>Portal inwestycji PSE — sekcja Radkowice</x:v>
      </x:c>
    </x:row>
    <x:row r="2456" ht="30" customHeight="1">
      <x:c r="A2456" s="59" t="str">
        <x:v>PSE_INVESTMENTS_RADK</x:v>
      </x:c>
      <x:c r="B2456" s="59" t="str">
        <x:v>url</x:v>
      </x:c>
      <x:c r="C2456" s="59" t="str">
        <x:v>https://inwestycje.pse.pl/mapa_inwestycji_pse/</x:v>
      </x:c>
    </x:row>
    <x:row r="2457" ht="30" customHeight="1">
      <x:c r="A2457" s="59" t="str">
        <x:v>PSE_INVESTMENTS_RADK</x:v>
      </x:c>
      <x:c r="B2457" s="59" t="str">
        <x:v>data_owner</x:v>
      </x:c>
      <x:c r="C2457" s="59" t="str">
        <x:v>PSE S.A.</x:v>
      </x:c>
    </x:row>
    <x:row r="2458" ht="30" customHeight="1">
      <x:c r="A2458" s="59" t="str">
        <x:v>PSE_INVESTMENTS_RADK</x:v>
      </x:c>
      <x:c r="B2458" s="59" t="str">
        <x:v>data_category</x:v>
      </x:c>
      <x:c r="C2458" s="59" t="str">
        <x:v>grid_investments</x:v>
      </x:c>
    </x:row>
    <x:row r="2459" ht="30" customHeight="1">
      <x:c r="A2459" s="59" t="str">
        <x:v>PSE_INVESTMENTS_RADK</x:v>
      </x:c>
      <x:c r="B2459" s="59" t="str">
        <x:v>data_format</x:v>
      </x:c>
      <x:c r="C2459" s="59" t="str">
        <x:v>[ "HTML" ]</x:v>
      </x:c>
    </x:row>
    <x:row r="2460" ht="30" customHeight="1">
      <x:c r="A2460" s="59" t="str">
        <x:v>PSE_INVESTMENTS_RADK</x:v>
      </x:c>
      <x:c r="B2460" s="59" t="str">
        <x:v>verification_status</x:v>
      </x:c>
      <x:c r="C2460" s="59" t="str">
        <x:v>CONTENT_REVIEWED</x:v>
      </x:c>
    </x:row>
    <x:row r="2461" ht="30" customHeight="1">
      <x:c r="A2461" s="59" t="str">
        <x:v>PSE_INVESTMENTS_RADK</x:v>
      </x:c>
      <x:c r="B2461" s="59" t="str">
        <x:v>reliability</x:v>
      </x:c>
      <x:c r="C2461" s="59" t="str">
        <x:v>B</x:v>
      </x:c>
    </x:row>
    <x:row r="2462" ht="30" customHeight="1">
      <x:c r="A2462" s="59" t="str">
        <x:v>PSE_INVESTMENTS_RADK</x:v>
      </x:c>
      <x:c r="B2462" s="59" t="str">
        <x:v>key_fields</x:v>
      </x:c>
      <x:c r="C2462" s="59" t="str">
        <x:v>[ "nazwa inwestycji", "etap", "status", "rok zakończenia" ]</x:v>
      </x:c>
    </x:row>
    <x:row r="2463" ht="30" customHeight="1">
      <x:c r="A2463" s="59" t="str">
        <x:v>PSE_INVESTMENTS_RADK</x:v>
      </x:c>
      <x:c r="B2463" s="59" t="str">
        <x:v>potential_application</x:v>
      </x:c>
      <x:c r="C2463" s="59" t="str">
        <x:v>Oddzielenie zakończonych i przyszłych prac w stacji pilota</x:v>
      </x:c>
    </x:row>
    <x:row r="2464" ht="52" customHeight="1">
      <x:c r="A2464" s="59" t="str">
        <x:v>PSE_INVESTMENTS_RADK</x:v>
      </x:c>
      <x:c r="B2464" s="59" t="str">
        <x:v>known_limitations</x:v>
      </x:c>
      <x:c r="C2464" s="59" t="str">
        <x:v>[ "Brak gwarantowanej częstotliwości aktualizacji i daty każdej zmiany", "Wspólna nazwa stacji nie identyfikuje automatycznie tego samego zadania lub transformatora", "Raport wpływu za 2023 rok i portal podają różne lata dla podobnie nazwanego zadania transformatora; zakres i data odbioru nierozstrzygnięte." ]</x:v>
      </x:c>
    </x:row>
    <x:row r="2465" ht="30" customHeight="1">
      <x:c r="A2465" s="59" t="str">
        <x:v>PSE_INVESTMENTS_RADK</x:v>
      </x:c>
      <x:c r="B2465" s="59" t="str">
        <x:v>priority</x:v>
      </x:c>
      <x:c r="C2465" s="59" t="str">
        <x:v>P0</x:v>
      </x:c>
    </x:row>
    <x:row r="2466" ht="94" customHeight="1">
      <x:c r="A2466" s="59" t="str">
        <x:v>PSE_INVESTMENTS_RADK</x:v>
      </x:c>
      <x:c r="B2466" s="59" t="str">
        <x:v>evidence (1/3)</x:v>
      </x:c>
      <x:c r="C2466" s="59" t="str">
        <x:v>[ { "source_id": "PSE_INVESTMENTS_RADK", "url": "https://inwestycje.pse.pl/", "retrieval_date": "2026-09-15T16:30:45.448433+00:00", "local_path": "data/raw/research/2026-09-15/pse_investments_2026-09-15.html", "sha256": "0901a8abf83fd1f6989f14941c8be212dce6383f11fe69c7183b56cc8a1df77d", "bytes": 697180, "content_type": [ "text/html; charset=UTF-8" ], "http_status": 200, "error": null, "manifest": "data/catalog/probe_results_radkowice_followup_2026-09-15.json" }, { "source_id": "PSE_INVESTMENTS_RADK", "url": "https://inwestycje.pse.pl/mapa_inwestycji_pse/", "retrieval_date": "2026-09-17T06:40:16.579444+00:00", "local_path":</x:v>
      </x:c>
    </x:row>
    <x:row r="2467" ht="94" customHeight="1">
      <x:c r="A2467" s="59" t="str">
        <x:v>PSE_INVESTMENTS_RADK</x:v>
      </x:c>
      <x:c r="B2467" s="59" t="str">
        <x:v>evidence (2/3)</x:v>
      </x:c>
      <x:c r="C2467" s="59" t="str">
        <x:v>"data/raw/research/2026-09-17/pse_investment_map_2026-09-17.html", "sha256": "f0375814ed8665ea7646ccea8087fa72d27c5a0f745fd804c33ce60a4131dc27", "bytes": 660780, "content_type": [ "text/html; charset=UTF-8" ], "http_status": 200, "error": null, "manifest": "data/catalog/probe_results_radkowice_investment_dates_2026-09-17.json" }, { "retrieval_date": "2026-09-11T10:42:22.0922672Z", "http_status": 200, "sha256": "2d03643156da9b3d1886353d58491131b3cefed680fa23f45afd2056ff3d8b73", "local_path": "data/raw/research/2026-09-11/pse_investments.html", "content_type": "text/html; charset=UTF-8", "url": "https://inwestycje.pse.pl/", "bytes": 696937,</x:v>
      </x:c>
    </x:row>
    <x:row r="2468" ht="30" customHeight="1">
      <x:c r="A2468" s="59" t="str">
        <x:v>PSE_INVESTMENTS_RADK</x:v>
      </x:c>
      <x:c r="B2468" s="59" t="str">
        <x:v>evidence (3/3)</x:v>
      </x:c>
      <x:c r="C2468" s="59" t="str">
        <x:v>"source_id": "PSE_INVESTMENTS_RADK", "manifest": "data/catalog/radkowice_snapshot_manifest.json" } ]</x:v>
      </x:c>
    </x:row>
    <x:row r="2469" ht="30" customHeight="1">
      <x:c r="A2469" s="59" t="str">
        <x:v>PSE_INVESTMENTS_RADK</x:v>
      </x:c>
      <x:c r="B2469" s="59" t="str">
        <x:v>retrieval_date</x:v>
      </x:c>
      <x:c r="C2469" s="59" t="str">
        <x:v>[ "2026-09-15T16:30:45.448433+00:00", "2026-09-17T06:40:16.579444+00:00", "2026-09-11T10:42:22.0922672Z" ]</x:v>
      </x:c>
    </x:row>
    <x:row r="2470" ht="30" customHeight="1">
      <x:c r="A2470" s="59" t="str">
        <x:v>CHECINY_ENERGY_PLAN</x:v>
      </x:c>
      <x:c r="B2470" s="59" t="str">
        <x:v>country</x:v>
      </x:c>
      <x:c r="C2470" s="59" t="str">
        <x:v>PL</x:v>
      </x:c>
    </x:row>
    <x:row r="2471" ht="30" customHeight="1">
      <x:c r="A2471" s="59" t="str">
        <x:v>CHECINY_ENERGY_PLAN</x:v>
      </x:c>
      <x:c r="B2471" s="59" t="str">
        <x:v>geographical_scope</x:v>
      </x:c>
      <x:c r="C2471" s="59" t="str">
        <x:v>Gmina Chęciny i opisane powiązania sieciowe</x:v>
      </x:c>
    </x:row>
    <x:row r="2472" ht="30" customHeight="1">
      <x:c r="A2472" s="59" t="str">
        <x:v>CHECINY_ENERGY_PLAN</x:v>
      </x:c>
      <x:c r="B2472" s="59" t="str">
        <x:v>grid_voltage</x:v>
      </x:c>
      <x:c r="C2472" s="59" t="str">
        <x:v>[ "220 kV", "110 kV", "SN" ]</x:v>
      </x:c>
    </x:row>
    <x:row r="2473" ht="30" customHeight="1">
      <x:c r="A2473" s="59" t="str">
        <x:v>CHECINY_ENERGY_PLAN</x:v>
      </x:c>
      <x:c r="B2473" s="59" t="str">
        <x:v>api_available</x:v>
      </x:c>
      <x:c r="C2473" s="59" t="str">
        <x:v>UNKNOWN</x:v>
      </x:c>
    </x:row>
    <x:row r="2474" ht="30" customHeight="1">
      <x:c r="A2474" s="59" t="str">
        <x:v>CHECINY_ENERGY_PLAN</x:v>
      </x:c>
      <x:c r="B2474" s="59" t="str">
        <x:v>gis_available</x:v>
      </x:c>
      <x:c r="C2474" s="59" t="str">
        <x:v>UNKNOWN</x:v>
      </x:c>
    </x:row>
    <x:row r="2475" ht="30" customHeight="1">
      <x:c r="A2475" s="59" t="str">
        <x:v>CHECINY_ENERGY_PLAN</x:v>
      </x:c>
      <x:c r="B2475" s="59" t="str">
        <x:v>update_frequency</x:v>
      </x:c>
      <x:c r="C2475" s="59" t="str">
        <x:v>UNKNOWN — nie ustalono gwarantowanego cyklu publikacji.</x:v>
      </x:c>
    </x:row>
    <x:row r="2476" ht="30" customHeight="1">
      <x:c r="A2476" s="59" t="str">
        <x:v>CHECINY_ENERGY_PLAN</x:v>
      </x:c>
      <x:c r="B2476" s="59" t="str">
        <x:v>historical_data</x:v>
      </x:c>
      <x:c r="C2476" s="59" t="str">
        <x:v>UNKNOWN — własne snapshoty od 10.09.2026, jeśli zapisano próbkę.</x:v>
      </x:c>
    </x:row>
    <x:row r="2477" ht="30" customHeight="1">
      <x:c r="A2477" s="59" t="str">
        <x:v>CHECINY_ENERGY_PLAN</x:v>
      </x:c>
      <x:c r="B2477" s="59" t="str">
        <x:v>authentication</x:v>
      </x:c>
      <x:c r="C2477" s="59" t="str">
        <x:v>Odczyt publicznej strony bez konta; nie dowodzi dostępu do wszystkich danych.</x:v>
      </x:c>
    </x:row>
    <x:row r="2478" ht="30" customHeight="1">
      <x:c r="A2478" s="59" t="str">
        <x:v>CHECINY_ENERGY_PLAN</x:v>
      </x:c>
      <x:c r="B2478" s="59" t="str">
        <x:v>license</x:v>
      </x:c>
      <x:c r="C2478" s="59" t="str">
        <x:v>UNKNOWN — nie potwierdzono otwartej licencji wybranego zbioru.</x:v>
      </x:c>
    </x:row>
    <x:row r="2479" ht="30" customHeight="1">
      <x:c r="A2479" s="59" t="str">
        <x:v>CHECINY_ENERGY_PLAN</x:v>
      </x:c>
      <x:c r="B2479" s="59" t="str">
        <x:v>license_url</x:v>
      </x:c>
      <x:c r="C2479" s="59" t="str">
        <x:v>UNKNOWN — nie ustalono</x:v>
      </x:c>
    </x:row>
    <x:row r="2480" ht="30" customHeight="1">
      <x:c r="A2480" s="59" t="str">
        <x:v>CHECINY_ENERGY_PLAN</x:v>
      </x:c>
      <x:c r="B2480" s="59" t="str">
        <x:v>commercial_use</x:v>
      </x:c>
      <x:c r="C2480" s="59" t="str">
        <x:v>UNKNOWN</x:v>
      </x:c>
    </x:row>
    <x:row r="2481" ht="30" customHeight="1">
      <x:c r="A2481" s="59" t="str">
        <x:v>CHECINY_ENERGY_PLAN</x:v>
      </x:c>
      <x:c r="B2481" s="59" t="str">
        <x:v>machine_readable</x:v>
      </x:c>
      <x:c r="C2481" s="59" t="str">
        <x:v>PARTIAL — tekst PDF i schematy</x:v>
      </x:c>
    </x:row>
    <x:row r="2482" ht="30" customHeight="1">
      <x:c r="A2482" s="59" t="str">
        <x:v>CHECINY_ENERGY_PLAN</x:v>
      </x:c>
      <x:c r="B2482" s="59" t="str">
        <x:v>scraping_required</x:v>
      </x:c>
      <x:c r="C2482" s="59" t="str">
        <x:v>NO — bezpośredni PDF; ekstrakcja i kontrola dokumentu</x:v>
      </x:c>
    </x:row>
    <x:row r="2483" ht="30" customHeight="1">
      <x:c r="A2483" s="59" t="str">
        <x:v>CHECINY_ENERGY_PLAN</x:v>
      </x:c>
      <x:c r="B2483" s="59" t="str">
        <x:v>data_quality_score</x:v>
      </x:c>
      <x:c r="C2483" s="59" t="str">
        <x:v>UNKNOWN — nie ustalono</x:v>
      </x:c>
    </x:row>
    <x:row r="2484" ht="30" customHeight="1">
      <x:c r="A2484" s="59" t="str">
        <x:v>CHECINY_ENERGY_PLAN</x:v>
      </x:c>
      <x:c r="B2484" s="59" t="str">
        <x:v>quality_score_status</x:v>
      </x:c>
      <x:c r="C2484" s="59" t="str">
        <x:v>NOT_CALIBRATED — autorytet źródła nie jest procentem kompletności lub trafności.</x:v>
      </x:c>
    </x:row>
    <x:row r="2485" ht="30" customHeight="1">
      <x:c r="A2485" s="59" t="str">
        <x:v>CHECINY_ENERGY_PLAN</x:v>
      </x:c>
      <x:c r="B2485" s="59" t="str">
        <x:v>last_verified</x:v>
      </x:c>
      <x:c r="C2485" s="60" t="n">
        <x:v>46276</x:v>
      </x:c>
    </x:row>
    <x:row r="2486" ht="30" customHeight="1">
      <x:c r="A2486" s="59" t="str">
        <x:v>CHECINY_ENERGY_PLAN</x:v>
      </x:c>
      <x:c r="B2486" s="59" t="str">
        <x:v>last_successful_verification</x:v>
      </x:c>
      <x:c r="C2486" s="60" t="n">
        <x:v>46276</x:v>
      </x:c>
    </x:row>
    <x:row r="2487" ht="30" customHeight="1">
      <x:c r="A2487" s="59" t="str">
        <x:v>CHECINY_ENERGY_PLAN</x:v>
      </x:c>
      <x:c r="B2487" s="59" t="str">
        <x:v>source_date</x:v>
      </x:c>
      <x:c r="C2487" s="59" t="str">
        <x:v>UNKNOWN — nie ustalono</x:v>
      </x:c>
    </x:row>
    <x:row r="2488" ht="30" customHeight="1">
      <x:c r="A2488" s="59" t="str">
        <x:v>CHECINY_ENERGY_PLAN</x:v>
      </x:c>
      <x:c r="B2488" s="59" t="str">
        <x:v>publication_date</x:v>
      </x:c>
      <x:c r="C2488" s="59" t="str">
        <x:v>UNKNOWN — nie ustalono</x:v>
      </x:c>
    </x:row>
    <x:row r="2489" ht="30" customHeight="1">
      <x:c r="A2489" s="59" t="str">
        <x:v>CHECINY_ENERGY_PLAN</x:v>
      </x:c>
      <x:c r="B2489" s="59" t="str">
        <x:v>source_version</x:v>
      </x:c>
      <x:c r="C2489" s="59" t="str">
        <x:v>UNKNOWN — nie ustalono</x:v>
      </x:c>
    </x:row>
    <x:row r="2490" ht="30" customHeight="1">
      <x:c r="A2490" s="59" t="str">
        <x:v>CHECINY_ENERGY_PLAN</x:v>
      </x:c>
      <x:c r="B2490" s="59" t="str">
        <x:v>source_page</x:v>
      </x:c>
      <x:c r="C2490" s="59" t="str">
        <x:v>21–25 (numeracja PDF od 1)</x:v>
      </x:c>
    </x:row>
    <x:row r="2491" ht="30" customHeight="1">
      <x:c r="A2491" s="59" t="str">
        <x:v>CHECINY_ENERGY_PLAN</x:v>
      </x:c>
      <x:c r="B2491" s="59" t="str">
        <x:v>valid_from</x:v>
      </x:c>
      <x:c r="C2491" s="59" t="str">
        <x:v>UNKNOWN — nie ustalono</x:v>
      </x:c>
    </x:row>
    <x:row r="2492" ht="30" customHeight="1">
      <x:c r="A2492" s="59" t="str">
        <x:v>CHECINY_ENERGY_PLAN</x:v>
      </x:c>
      <x:c r="B2492" s="59" t="str">
        <x:v>valid_to</x:v>
      </x:c>
      <x:c r="C2492" s="59" t="str">
        <x:v>UNKNOWN — nie ustalono</x:v>
      </x:c>
    </x:row>
    <x:row r="2493" ht="30" customHeight="1">
      <x:c r="A2493" s="59" t="str">
        <x:v>CHECINY_ENERGY_PLAN</x:v>
      </x:c>
      <x:c r="B2493" s="59" t="str">
        <x:v>current_future_scope</x:v>
      </x:c>
      <x:c r="C2493" s="59" t="str">
        <x:v>SOURCE_DEPENDENT</x:v>
      </x:c>
    </x:row>
    <x:row r="2494" ht="30" customHeight="1">
      <x:c r="A2494" s="59" t="str">
        <x:v>CHECINY_ENERGY_PLAN</x:v>
      </x:c>
      <x:c r="B2494" s="59" t="str">
        <x:v>value_classification_default</x:v>
      </x:c>
      <x:c r="C2494" s="59" t="str">
        <x:v>REPORTED</x:v>
      </x:c>
    </x:row>
    <x:row r="2495" ht="38" customHeight="1">
      <x:c r="A2495" s="59" t="str">
        <x:v>CHECINY_ENERGY_PLAN</x:v>
      </x:c>
      <x:c r="B2495" s="59" t="str">
        <x:v>automation_notes</x:v>
      </x:c>
      <x:c r="C2495" s="59" t="str">
        <x:v>Jednorazowy przegląd; brak zgody na stały scraper wynikającej z samego dostępu. Sprawdzić warunki, robots.txt i limity przed wdrożeniem.</x:v>
      </x:c>
    </x:row>
    <x:row r="2496" ht="30" customHeight="1">
      <x:c r="A2496" s="59" t="str">
        <x:v>CHECINY_ENERGY_PLAN</x:v>
      </x:c>
      <x:c r="B2496" s="59" t="str">
        <x:v>probe_ids</x:v>
      </x:c>
      <x:c r="C2496" s="59" t="str">
        <x:v>[ "CHECINY_ENERGY_PLAN" ]</x:v>
      </x:c>
    </x:row>
    <x:row r="2497" ht="30" customHeight="1">
      <x:c r="A2497" s="59" t="str">
        <x:v>CHECINY_ENERGY_PLAN</x:v>
      </x:c>
      <x:c r="B2497" s="59" t="str">
        <x:v>related_urls</x:v>
      </x:c>
      <x:c r="C2497" s="59" t="str">
        <x:v>[]</x:v>
      </x:c>
    </x:row>
    <x:row r="2498" ht="30" customHeight="1">
      <x:c r="A2498" s="59" t="str">
        <x:v>CHECINY_ENERGY_PLAN</x:v>
      </x:c>
      <x:c r="B2498" s="59" t="str">
        <x:v>source_id</x:v>
      </x:c>
      <x:c r="C2498" s="59" t="str">
        <x:v>CHECINY_ENERGY_PLAN</x:v>
      </x:c>
    </x:row>
    <x:row r="2499" ht="30" customHeight="1">
      <x:c r="A2499" s="59" t="str">
        <x:v>CHECINY_ENERGY_PLAN</x:v>
      </x:c>
      <x:c r="B2499" s="59" t="str">
        <x:v>operator</x:v>
      </x:c>
      <x:c r="C2499" s="59" t="str">
        <x:v>PSE / PGE — informacje przypisane w dokumencie gminy</x:v>
      </x:c>
    </x:row>
    <x:row r="2500" ht="30" customHeight="1">
      <x:c r="A2500" s="59" t="str">
        <x:v>CHECINY_ENERGY_PLAN</x:v>
      </x:c>
      <x:c r="B2500" s="59" t="str">
        <x:v>source_name</x:v>
      </x:c>
      <x:c r="C2500" s="59" t="str">
        <x:v>BIP Chęcin — założenia energetyczne 2025–2027 z perspektywą 2040</x:v>
      </x:c>
    </x:row>
    <x:row r="2501" ht="30" customHeight="1">
      <x:c r="A2501" s="59" t="str">
        <x:v>CHECINY_ENERGY_PLAN</x:v>
      </x:c>
      <x:c r="B2501" s="59" t="str">
        <x:v>url</x:v>
      </x:c>
      <x:c r="C2501" s="59" t="str">
        <x:v>https://checiny.biuletyn.net/fls/bip_pliki/2026_03/BIPF64CD10561EC15Z/PZCEEPG_2025-2027.pdf</x:v>
      </x:c>
    </x:row>
    <x:row r="2502" ht="30" customHeight="1">
      <x:c r="A2502" s="59" t="str">
        <x:v>CHECINY_ENERGY_PLAN</x:v>
      </x:c>
      <x:c r="B2502" s="59" t="str">
        <x:v>data_owner</x:v>
      </x:c>
      <x:c r="C2502" s="59" t="str">
        <x:v>Gmina Chęciny — publikujący dokument; pierwotne dane PSE/PGE</x:v>
      </x:c>
    </x:row>
    <x:row r="2503" ht="30" customHeight="1">
      <x:c r="A2503" s="59" t="str">
        <x:v>CHECINY_ENERGY_PLAN</x:v>
      </x:c>
      <x:c r="B2503" s="59" t="str">
        <x:v>data_category</x:v>
      </x:c>
      <x:c r="C2503" s="59" t="str">
        <x:v>local_grid_and_investments</x:v>
      </x:c>
    </x:row>
    <x:row r="2504" ht="30" customHeight="1">
      <x:c r="A2504" s="59" t="str">
        <x:v>CHECINY_ENERGY_PLAN</x:v>
      </x:c>
      <x:c r="B2504" s="59" t="str">
        <x:v>data_format</x:v>
      </x:c>
      <x:c r="C2504" s="59" t="str">
        <x:v>[ "PDF" ]</x:v>
      </x:c>
    </x:row>
    <x:row r="2505" ht="30" customHeight="1">
      <x:c r="A2505" s="59" t="str">
        <x:v>CHECINY_ENERGY_PLAN</x:v>
      </x:c>
      <x:c r="B2505" s="59" t="str">
        <x:v>verification_status</x:v>
      </x:c>
      <x:c r="C2505" s="59" t="str">
        <x:v>CONTENT_REVIEWED</x:v>
      </x:c>
    </x:row>
    <x:row r="2506" ht="30" customHeight="1">
      <x:c r="A2506" s="59" t="str">
        <x:v>CHECINY_ENERGY_PLAN</x:v>
      </x:c>
      <x:c r="B2506" s="59" t="str">
        <x:v>reliability</x:v>
      </x:c>
      <x:c r="C2506" s="59" t="str">
        <x:v>C</x:v>
      </x:c>
    </x:row>
    <x:row r="2507" ht="30" customHeight="1">
      <x:c r="A2507" s="59" t="str">
        <x:v>CHECINY_ENERGY_PLAN</x:v>
      </x:c>
      <x:c r="B2507" s="59" t="str">
        <x:v>key_fields</x:v>
      </x:c>
      <x:c r="C2507" s="59" t="str">
        <x:v>[ "stacje", "relacje linii", "napięcia", "planowane inwestycje", "operator danych" ]</x:v>
      </x:c>
    </x:row>
    <x:row r="2508" ht="30" customHeight="1">
      <x:c r="A2508" s="59" t="str">
        <x:v>CHECINY_ENERGY_PLAN</x:v>
      </x:c>
      <x:c r="B2508" s="59" t="str">
        <x:v>potential_application</x:v>
      </x:c>
      <x:c r="C2508" s="59" t="str">
        <x:v>Dowody topologii referencyjnej i plany dla Radkowic</x:v>
      </x:c>
    </x:row>
    <x:row r="2509" ht="38" customHeight="1">
      <x:c r="A2509" s="59" t="str">
        <x:v>CHECINY_ENERGY_PLAN</x:v>
      </x:c>
      <x:c r="B2509" s="59" t="str">
        <x:v>known_limitations</x:v>
      </x:c>
      <x:c r="C2509" s="59" t="str">
        <x:v>[ "Mieszane daty wejść i starsze opisy planistyczne", "Nie potwierdza aktualnych granic własności ani obsady transformatorów", "Folder 2026_03 w URL nie jest datą obserwacji wszystkich wartości" ]</x:v>
      </x:c>
    </x:row>
    <x:row r="2510" ht="30" customHeight="1">
      <x:c r="A2510" s="59" t="str">
        <x:v>CHECINY_ENERGY_PLAN</x:v>
      </x:c>
      <x:c r="B2510" s="59" t="str">
        <x:v>priority</x:v>
      </x:c>
      <x:c r="C2510" s="59" t="str">
        <x:v>P0</x:v>
      </x:c>
    </x:row>
    <x:row r="2511" ht="80" customHeight="1">
      <x:c r="A2511" s="59" t="str">
        <x:v>CHECINY_ENERGY_PLAN</x:v>
      </x:c>
      <x:c r="B2511" s="59" t="str">
        <x:v>evidence</x:v>
      </x:c>
      <x:c r="C2511" s="59" t="str">
        <x:v>[ { "retrieval_date": "2026-09-11T10:42:22.6213255Z", "http_status": 200, "sha256": "9eb25f92e7f064d50c4bf3015d88c51c73e3b191baceaa3beef7e9705b3a6550", "local_path": "data/raw/research/2026-09-11/checiny_energy_plan.pdf", "content_type": "application/pdf", "url": "https://checiny.biuletyn.net/fls/bip_pliki/2026_03/BIPF64CD10561EC15Z/PZCEEPG_2025-2027.pdf", "bytes": 2162183, "source_id": "CHECINY_ENERGY_PLAN", "manifest": "data/catalog/radkowice_snapshot_manifest.json" } ]</x:v>
      </x:c>
    </x:row>
    <x:row r="2512" ht="30" customHeight="1">
      <x:c r="A2512" s="59" t="str">
        <x:v>CHECINY_ENERGY_PLAN</x:v>
      </x:c>
      <x:c r="B2512" s="59" t="str">
        <x:v>retrieval_date</x:v>
      </x:c>
      <x:c r="C2512" s="59" t="str">
        <x:v>[ "2026-09-11T10:42:22.6213255Z" ]</x:v>
      </x:c>
    </x:row>
    <x:row r="2513" ht="30" customHeight="1">
      <x:c r="A2513" s="59" t="str">
        <x:v>PSE_TARIFF_2026</x:v>
      </x:c>
      <x:c r="B2513" s="59" t="str">
        <x:v>country</x:v>
      </x:c>
      <x:c r="C2513" s="59" t="str">
        <x:v>PL</x:v>
      </x:c>
    </x:row>
    <x:row r="2514" ht="30" customHeight="1">
      <x:c r="A2514" s="59" t="str">
        <x:v>PSE_TARIFF_2026</x:v>
      </x:c>
      <x:c r="B2514" s="59" t="str">
        <x:v>geographical_scope</x:v>
      </x:c>
      <x:c r="C2514" s="59" t="str">
        <x:v>Zakres publikacji danego operatora/instytucji; nie założono pełnego pokrycia kraju.</x:v>
      </x:c>
    </x:row>
    <x:row r="2515" ht="30" customHeight="1">
      <x:c r="A2515" s="59" t="str">
        <x:v>PSE_TARIFF_2026</x:v>
      </x:c>
      <x:c r="B2515" s="59" t="str">
        <x:v>grid_voltage</x:v>
      </x:c>
      <x:c r="C2515" s="59" t="str">
        <x:v>[ "UNKNOWN_OR_NOT_APPLICABLE" ]</x:v>
      </x:c>
    </x:row>
    <x:row r="2516" ht="30" customHeight="1">
      <x:c r="A2516" s="59" t="str">
        <x:v>PSE_TARIFF_2026</x:v>
      </x:c>
      <x:c r="B2516" s="59" t="str">
        <x:v>api_available</x:v>
      </x:c>
      <x:c r="C2516" s="59" t="str">
        <x:v>UNKNOWN</x:v>
      </x:c>
    </x:row>
    <x:row r="2517" ht="30" customHeight="1">
      <x:c r="A2517" s="59" t="str">
        <x:v>PSE_TARIFF_2026</x:v>
      </x:c>
      <x:c r="B2517" s="59" t="str">
        <x:v>gis_available</x:v>
      </x:c>
      <x:c r="C2517" s="59" t="str">
        <x:v>UNKNOWN</x:v>
      </x:c>
    </x:row>
    <x:row r="2518" ht="30" customHeight="1">
      <x:c r="A2518" s="59" t="str">
        <x:v>PSE_TARIFF_2026</x:v>
      </x:c>
      <x:c r="B2518" s="59" t="str">
        <x:v>update_frequency</x:v>
      </x:c>
      <x:c r="C2518" s="59" t="str">
        <x:v>UNKNOWN — nie ustalono gwarantowanego cyklu publikacji.</x:v>
      </x:c>
    </x:row>
    <x:row r="2519" ht="30" customHeight="1">
      <x:c r="A2519" s="59" t="str">
        <x:v>PSE_TARIFF_2026</x:v>
      </x:c>
      <x:c r="B2519" s="59" t="str">
        <x:v>historical_data</x:v>
      </x:c>
      <x:c r="C2519" s="59" t="str">
        <x:v>UNKNOWN — własne snapshoty od 10.09.2026, jeśli zapisano próbkę.</x:v>
      </x:c>
    </x:row>
    <x:row r="2520" ht="30" customHeight="1">
      <x:c r="A2520" s="59" t="str">
        <x:v>PSE_TARIFF_2026</x:v>
      </x:c>
      <x:c r="B2520" s="59" t="str">
        <x:v>authentication</x:v>
      </x:c>
      <x:c r="C2520" s="59" t="str">
        <x:v>Odczyt publicznej strony bez konta; nie dowodzi dostępu do wszystkich danych.</x:v>
      </x:c>
    </x:row>
    <x:row r="2521" ht="30" customHeight="1">
      <x:c r="A2521" s="59" t="str">
        <x:v>PSE_TARIFF_2026</x:v>
      </x:c>
      <x:c r="B2521" s="59" t="str">
        <x:v>license</x:v>
      </x:c>
      <x:c r="C2521" s="59" t="str">
        <x:v>UNKNOWN — nie potwierdzono otwartej licencji wybranego zbioru.</x:v>
      </x:c>
    </x:row>
    <x:row r="2522" ht="30" customHeight="1">
      <x:c r="A2522" s="59" t="str">
        <x:v>PSE_TARIFF_2026</x:v>
      </x:c>
      <x:c r="B2522" s="59" t="str">
        <x:v>license_url</x:v>
      </x:c>
      <x:c r="C2522" s="59" t="str">
        <x:v>UNKNOWN — nie ustalono</x:v>
      </x:c>
    </x:row>
    <x:row r="2523" ht="30" customHeight="1">
      <x:c r="A2523" s="59" t="str">
        <x:v>PSE_TARIFF_2026</x:v>
      </x:c>
      <x:c r="B2523" s="59" t="str">
        <x:v>commercial_use</x:v>
      </x:c>
      <x:c r="C2523" s="59" t="str">
        <x:v>UNKNOWN</x:v>
      </x:c>
    </x:row>
    <x:row r="2524" ht="30" customHeight="1">
      <x:c r="A2524" s="59" t="str">
        <x:v>PSE_TARIFF_2026</x:v>
      </x:c>
      <x:c r="B2524" s="59" t="str">
        <x:v>machine_readable</x:v>
      </x:c>
      <x:c r="C2524" s="59" t="str">
        <x:v>PARTIAL — tekst PDF</x:v>
      </x:c>
    </x:row>
    <x:row r="2525" ht="30" customHeight="1">
      <x:c r="A2525" s="59" t="str">
        <x:v>PSE_TARIFF_2026</x:v>
      </x:c>
      <x:c r="B2525" s="59" t="str">
        <x:v>scraping_required</x:v>
      </x:c>
      <x:c r="C2525" s="59" t="str">
        <x:v>NO — bezpośredni PDF</x:v>
      </x:c>
    </x:row>
    <x:row r="2526" ht="30" customHeight="1">
      <x:c r="A2526" s="59" t="str">
        <x:v>PSE_TARIFF_2026</x:v>
      </x:c>
      <x:c r="B2526" s="59" t="str">
        <x:v>data_quality_score</x:v>
      </x:c>
      <x:c r="C2526" s="59" t="str">
        <x:v>UNKNOWN — nie ustalono</x:v>
      </x:c>
    </x:row>
    <x:row r="2527" ht="30" customHeight="1">
      <x:c r="A2527" s="59" t="str">
        <x:v>PSE_TARIFF_2026</x:v>
      </x:c>
      <x:c r="B2527" s="59" t="str">
        <x:v>quality_score_status</x:v>
      </x:c>
      <x:c r="C2527" s="59" t="str">
        <x:v>NOT_CALIBRATED — autorytet źródła nie jest procentem kompletności lub trafności.</x:v>
      </x:c>
    </x:row>
    <x:row r="2528" ht="30" customHeight="1">
      <x:c r="A2528" s="59" t="str">
        <x:v>PSE_TARIFF_2026</x:v>
      </x:c>
      <x:c r="B2528" s="59" t="str">
        <x:v>last_verified</x:v>
      </x:c>
      <x:c r="C2528" s="60" t="n">
        <x:v>46276</x:v>
      </x:c>
    </x:row>
    <x:row r="2529" ht="30" customHeight="1">
      <x:c r="A2529" s="59" t="str">
        <x:v>PSE_TARIFF_2026</x:v>
      </x:c>
      <x:c r="B2529" s="59" t="str">
        <x:v>last_successful_verification</x:v>
      </x:c>
      <x:c r="C2529" s="60" t="n">
        <x:v>46276</x:v>
      </x:c>
    </x:row>
    <x:row r="2530" ht="30" customHeight="1">
      <x:c r="A2530" s="59" t="str">
        <x:v>PSE_TARIFF_2026</x:v>
      </x:c>
      <x:c r="B2530" s="59" t="str">
        <x:v>source_date</x:v>
      </x:c>
      <x:c r="C2530" s="60" t="n">
        <x:v>45994</x:v>
      </x:c>
    </x:row>
    <x:row r="2531" ht="30" customHeight="1">
      <x:c r="A2531" s="59" t="str">
        <x:v>PSE_TARIFF_2026</x:v>
      </x:c>
      <x:c r="B2531" s="59" t="str">
        <x:v>publication_date</x:v>
      </x:c>
      <x:c r="C2531" s="59" t="str">
        <x:v>UNKNOWN — nie ustalono</x:v>
      </x:c>
    </x:row>
    <x:row r="2532" ht="30" customHeight="1">
      <x:c r="A2532" s="59" t="str">
        <x:v>PSE_TARIFF_2026</x:v>
      </x:c>
      <x:c r="B2532" s="59" t="str">
        <x:v>source_version</x:v>
      </x:c>
      <x:c r="C2532" s="59" t="str">
        <x:v>Tekst uwzględniający decyzję z 16.01.2026; data tabel inna</x:v>
      </x:c>
    </x:row>
    <x:row r="2533" ht="30" customHeight="1">
      <x:c r="A2533" s="59" t="str">
        <x:v>PSE_TARIFF_2026</x:v>
      </x:c>
      <x:c r="B2533" s="59" t="str">
        <x:v>source_page</x:v>
      </x:c>
      <x:c r="C2533" s="59" t="str">
        <x:v>42, 43, 46 — tabele 6/7 i ich data stanu</x:v>
      </x:c>
    </x:row>
    <x:row r="2534" ht="30" customHeight="1">
      <x:c r="A2534" s="59" t="str">
        <x:v>PSE_TARIFF_2026</x:v>
      </x:c>
      <x:c r="B2534" s="59" t="str">
        <x:v>valid_from</x:v>
      </x:c>
      <x:c r="C2534" s="59" t="str">
        <x:v>UNKNOWN — nie ustalono</x:v>
      </x:c>
    </x:row>
    <x:row r="2535" ht="30" customHeight="1">
      <x:c r="A2535" s="59" t="str">
        <x:v>PSE_TARIFF_2026</x:v>
      </x:c>
      <x:c r="B2535" s="59" t="str">
        <x:v>valid_to</x:v>
      </x:c>
      <x:c r="C2535" s="59" t="str">
        <x:v>UNKNOWN — nie ustalono</x:v>
      </x:c>
    </x:row>
    <x:row r="2536" ht="30" customHeight="1">
      <x:c r="A2536" s="59" t="str">
        <x:v>PSE_TARIFF_2026</x:v>
      </x:c>
      <x:c r="B2536" s="59" t="str">
        <x:v>current_future_scope</x:v>
      </x:c>
      <x:c r="C2536" s="59" t="str">
        <x:v>SOURCE_DEPENDENT</x:v>
      </x:c>
    </x:row>
    <x:row r="2537" ht="30" customHeight="1">
      <x:c r="A2537" s="59" t="str">
        <x:v>PSE_TARIFF_2026</x:v>
      </x:c>
      <x:c r="B2537" s="59" t="str">
        <x:v>value_classification_default</x:v>
      </x:c>
      <x:c r="C2537" s="59" t="str">
        <x:v>REPORTED</x:v>
      </x:c>
    </x:row>
    <x:row r="2538" ht="38" customHeight="1">
      <x:c r="A2538" s="59" t="str">
        <x:v>PSE_TARIFF_2026</x:v>
      </x:c>
      <x:c r="B2538" s="59" t="str">
        <x:v>automation_notes</x:v>
      </x:c>
      <x:c r="C2538" s="59" t="str">
        <x:v>Jednorazowy przegląd; brak zgody na stały scraper wynikającej z samego dostępu. Sprawdzić warunki, robots.txt i limity przed wdrożeniem.</x:v>
      </x:c>
    </x:row>
    <x:row r="2539" ht="30" customHeight="1">
      <x:c r="A2539" s="59" t="str">
        <x:v>PSE_TARIFF_2026</x:v>
      </x:c>
      <x:c r="B2539" s="59" t="str">
        <x:v>probe_ids</x:v>
      </x:c>
      <x:c r="C2539" s="59" t="str">
        <x:v>[ "PSE_TARIFF_2026" ]</x:v>
      </x:c>
    </x:row>
    <x:row r="2540" ht="30" customHeight="1">
      <x:c r="A2540" s="59" t="str">
        <x:v>PSE_TARIFF_2026</x:v>
      </x:c>
      <x:c r="B2540" s="59" t="str">
        <x:v>related_urls</x:v>
      </x:c>
      <x:c r="C2540" s="59" t="str">
        <x:v>[]</x:v>
      </x:c>
    </x:row>
    <x:row r="2541" ht="30" customHeight="1">
      <x:c r="A2541" s="59" t="str">
        <x:v>PSE_TARIFF_2026</x:v>
      </x:c>
      <x:c r="B2541" s="59" t="str">
        <x:v>source_id</x:v>
      </x:c>
      <x:c r="C2541" s="59" t="str">
        <x:v>PSE_TARIFF_2026</x:v>
      </x:c>
    </x:row>
    <x:row r="2542" ht="30" customHeight="1">
      <x:c r="A2542" s="59" t="str">
        <x:v>PSE_TARIFF_2026</x:v>
      </x:c>
      <x:c r="B2542" s="59" t="str">
        <x:v>operator</x:v>
      </x:c>
      <x:c r="C2542" s="59" t="str">
        <x:v>PSE</x:v>
      </x:c>
    </x:row>
    <x:row r="2543" ht="30" customHeight="1">
      <x:c r="A2543" s="59" t="str">
        <x:v>PSE_TARIFF_2026</x:v>
      </x:c>
      <x:c r="B2543" s="59" t="str">
        <x:v>source_name</x:v>
      </x:c>
      <x:c r="C2543" s="59" t="str">
        <x:v>Taryfa PSE 2026 — odbiorcy i miejsca dostarczania</x:v>
      </x:c>
    </x:row>
    <x:row r="2544" ht="30" customHeight="1">
      <x:c r="A2544" s="59" t="str">
        <x:v>PSE_TARIFF_2026</x:v>
      </x:c>
      <x:c r="B2544" s="59" t="str">
        <x:v>url</x:v>
      </x:c>
      <x:c r="C2544" s="59" t="str">
        <x:v>https://www.pse.pl/documents/20182/7005343691/20260116_Tekst_Taryfy_na_2026_tekst_jednolity.pdf</x:v>
      </x:c>
    </x:row>
    <x:row r="2545" ht="30" customHeight="1">
      <x:c r="A2545" s="59" t="str">
        <x:v>PSE_TARIFF_2026</x:v>
      </x:c>
      <x:c r="B2545" s="59" t="str">
        <x:v>data_owner</x:v>
      </x:c>
      <x:c r="C2545" s="59" t="str">
        <x:v>PSE S.A.</x:v>
      </x:c>
    </x:row>
    <x:row r="2546" ht="30" customHeight="1">
      <x:c r="A2546" s="59" t="str">
        <x:v>PSE_TARIFF_2026</x:v>
      </x:c>
      <x:c r="B2546" s="59" t="str">
        <x:v>data_category</x:v>
      </x:c>
      <x:c r="C2546" s="59" t="str">
        <x:v>operator_delivery_points</x:v>
      </x:c>
    </x:row>
    <x:row r="2547" ht="30" customHeight="1">
      <x:c r="A2547" s="59" t="str">
        <x:v>PSE_TARIFF_2026</x:v>
      </x:c>
      <x:c r="B2547" s="59" t="str">
        <x:v>data_format</x:v>
      </x:c>
      <x:c r="C2547" s="59" t="str">
        <x:v>[ "PDF" ]</x:v>
      </x:c>
    </x:row>
    <x:row r="2548" ht="30" customHeight="1">
      <x:c r="A2548" s="59" t="str">
        <x:v>PSE_TARIFF_2026</x:v>
      </x:c>
      <x:c r="B2548" s="59" t="str">
        <x:v>verification_status</x:v>
      </x:c>
      <x:c r="C2548" s="59" t="str">
        <x:v>CONTENT_REVIEWED</x:v>
      </x:c>
    </x:row>
    <x:row r="2549" ht="30" customHeight="1">
      <x:c r="A2549" s="59" t="str">
        <x:v>PSE_TARIFF_2026</x:v>
      </x:c>
      <x:c r="B2549" s="59" t="str">
        <x:v>reliability</x:v>
      </x:c>
      <x:c r="C2549" s="59" t="str">
        <x:v>B</x:v>
      </x:c>
    </x:row>
    <x:row r="2550" ht="30" customHeight="1">
      <x:c r="A2550" s="59" t="str">
        <x:v>PSE_TARIFF_2026</x:v>
      </x:c>
      <x:c r="B2550" s="59" t="str">
        <x:v>key_fields</x:v>
      </x:c>
      <x:c r="C2550" s="59" t="str">
        <x:v>[ "symbol odbiorcy", "nazwa operatora", "nazwa węzła", "typ MD", "grupa MD" ]</x:v>
      </x:c>
    </x:row>
    <x:row r="2551" ht="30" customHeight="1">
      <x:c r="A2551" s="59" t="str">
        <x:v>PSE_TARIFF_2026</x:v>
      </x:c>
      <x:c r="B2551" s="59" t="str">
        <x:v>potential_application</x:v>
      </x:c>
      <x:c r="C2551" s="59" t="str">
        <x:v>Potwierdzenie relacji taryfowej PGE–Radkowice; nie własność urządzeń</x:v>
      </x:c>
    </x:row>
    <x:row r="2552" ht="38" customHeight="1">
      <x:c r="A2552" s="59" t="str">
        <x:v>PSE_TARIFF_2026</x:v>
      </x:c>
      <x:c r="B2552" s="59" t="str">
        <x:v>known_limitations</x:v>
      </x:c>
      <x:c r="C2552" s="59" t="str">
        <x:v>[ "Tabela może pozostawać niezmieniona mimo zmian umów; nie jest bieżącą telemetrią ani schematem własności", "source_date dotyczy tabel 6 i 7, nie wszystkich rozdziałów taryfy" ]</x:v>
      </x:c>
    </x:row>
    <x:row r="2553" ht="30" customHeight="1">
      <x:c r="A2553" s="59" t="str">
        <x:v>PSE_TARIFF_2026</x:v>
      </x:c>
      <x:c r="B2553" s="59" t="str">
        <x:v>priority</x:v>
      </x:c>
      <x:c r="C2553" s="59" t="str">
        <x:v>P0</x:v>
      </x:c>
    </x:row>
    <x:row r="2554" ht="80" customHeight="1">
      <x:c r="A2554" s="59" t="str">
        <x:v>PSE_TARIFF_2026</x:v>
      </x:c>
      <x:c r="B2554" s="59" t="str">
        <x:v>evidence</x:v>
      </x:c>
      <x:c r="C2554" s="59" t="str">
        <x:v>[ { "url": "https://www.pse.pl/documents/20182/7005343691/20260116_Tekst_Taryfy_na_2026_tekst_jednolity.pdf", "bytes": 768539, "retrieval_date": "2026-09-11T10:50:16.7756540Z", "sha256": "05e8f0481617dcbb92414194e06ff4c00a6f66d958fa8f4e7c195b264a3bda81", "source_id": "PSE_TARIFF_2026", "local_path": "data/raw/research/2026-09-11/pse_tariff_2026.pdf", "content_type": "application/pdf; charset=UTF-8", "error": null, "http_status": 200, "manifest": "data/catalog/radkowice_tariff_snapshot.json" } ]</x:v>
      </x:c>
    </x:row>
    <x:row r="2555" ht="30" customHeight="1">
      <x:c r="A2555" s="59" t="str">
        <x:v>PSE_TARIFF_2026</x:v>
      </x:c>
      <x:c r="B2555" s="59" t="str">
        <x:v>retrieval_date</x:v>
      </x:c>
      <x:c r="C2555" s="59" t="str">
        <x:v>[ "2026-09-11T10:50:16.7756540Z" ]</x:v>
      </x:c>
    </x:row>
    <x:row r="2556" ht="30" customHeight="1">
      <x:c r="A2556" s="59" t="str">
        <x:v>PGE_RADK_CAPACITY_ATTEMPT</x:v>
      </x:c>
      <x:c r="B2556" s="59" t="str">
        <x:v>country</x:v>
      </x:c>
      <x:c r="C2556" s="59" t="str">
        <x:v>PL</x:v>
      </x:c>
    </x:row>
    <x:row r="2557" ht="30" customHeight="1">
      <x:c r="A2557" s="59" t="str">
        <x:v>PGE_RADK_CAPACITY_ATTEMPT</x:v>
      </x:c>
      <x:c r="B2557" s="59" t="str">
        <x:v>geographical_scope</x:v>
      </x:c>
      <x:c r="C2557" s="59" t="str">
        <x:v>Zakres publikacji danego operatora/instytucji; nie założono pełnego pokrycia kraju.</x:v>
      </x:c>
    </x:row>
    <x:row r="2558" ht="30" customHeight="1">
      <x:c r="A2558" s="59" t="str">
        <x:v>PGE_RADK_CAPACITY_ATTEMPT</x:v>
      </x:c>
      <x:c r="B2558" s="59" t="str">
        <x:v>grid_voltage</x:v>
      </x:c>
      <x:c r="C2558" s="59" t="str">
        <x:v>[ "UNKNOWN_OR_NOT_APPLICABLE" ]</x:v>
      </x:c>
    </x:row>
    <x:row r="2559" ht="30" customHeight="1">
      <x:c r="A2559" s="59" t="str">
        <x:v>PGE_RADK_CAPACITY_ATTEMPT</x:v>
      </x:c>
      <x:c r="B2559" s="59" t="str">
        <x:v>api_available</x:v>
      </x:c>
      <x:c r="C2559" s="59" t="str">
        <x:v>UNKNOWN</x:v>
      </x:c>
    </x:row>
    <x:row r="2560" ht="30" customHeight="1">
      <x:c r="A2560" s="59" t="str">
        <x:v>PGE_RADK_CAPACITY_ATTEMPT</x:v>
      </x:c>
      <x:c r="B2560" s="59" t="str">
        <x:v>gis_available</x:v>
      </x:c>
      <x:c r="C2560" s="59" t="str">
        <x:v>UNKNOWN</x:v>
      </x:c>
    </x:row>
    <x:row r="2561" ht="30" customHeight="1">
      <x:c r="A2561" s="59" t="str">
        <x:v>PGE_RADK_CAPACITY_ATTEMPT</x:v>
      </x:c>
      <x:c r="B2561" s="59" t="str">
        <x:v>update_frequency</x:v>
      </x:c>
      <x:c r="C2561" s="59" t="str">
        <x:v>UNKNOWN — nie ustalono gwarantowanego cyklu publikacji.</x:v>
      </x:c>
    </x:row>
    <x:row r="2562" ht="30" customHeight="1">
      <x:c r="A2562" s="59" t="str">
        <x:v>PGE_RADK_CAPACITY_ATTEMPT</x:v>
      </x:c>
      <x:c r="B2562" s="59" t="str">
        <x:v>historical_data</x:v>
      </x:c>
      <x:c r="C2562" s="59" t="str">
        <x:v>UNKNOWN — własne snapshoty od 10.09.2026, jeśli zapisano próbkę.</x:v>
      </x:c>
    </x:row>
    <x:row r="2563" ht="30" customHeight="1">
      <x:c r="A2563" s="59" t="str">
        <x:v>PGE_RADK_CAPACITY_ATTEMPT</x:v>
      </x:c>
      <x:c r="B2563" s="59" t="str">
        <x:v>authentication</x:v>
      </x:c>
      <x:c r="C2563" s="59" t="str">
        <x:v>UNKNOWN — pełna treść nie została zweryfikowana.</x:v>
      </x:c>
    </x:row>
    <x:row r="2564" ht="30" customHeight="1">
      <x:c r="A2564" s="59" t="str">
        <x:v>PGE_RADK_CAPACITY_ATTEMPT</x:v>
      </x:c>
      <x:c r="B2564" s="59" t="str">
        <x:v>license</x:v>
      </x:c>
      <x:c r="C2564" s="59" t="str">
        <x:v>UNKNOWN — nie potwierdzono otwartej licencji wybranego zbioru.</x:v>
      </x:c>
    </x:row>
    <x:row r="2565" ht="30" customHeight="1">
      <x:c r="A2565" s="59" t="str">
        <x:v>PGE_RADK_CAPACITY_ATTEMPT</x:v>
      </x:c>
      <x:c r="B2565" s="59" t="str">
        <x:v>license_url</x:v>
      </x:c>
      <x:c r="C2565" s="59" t="str">
        <x:v>UNKNOWN — nie ustalono</x:v>
      </x:c>
    </x:row>
    <x:row r="2566" ht="30" customHeight="1">
      <x:c r="A2566" s="59" t="str">
        <x:v>PGE_RADK_CAPACITY_ATTEMPT</x:v>
      </x:c>
      <x:c r="B2566" s="59" t="str">
        <x:v>commercial_use</x:v>
      </x:c>
      <x:c r="C2566" s="59" t="str">
        <x:v>UNKNOWN</x:v>
      </x:c>
    </x:row>
    <x:row r="2567" ht="30" customHeight="1">
      <x:c r="A2567" s="59" t="str">
        <x:v>PGE_RADK_CAPACITY_ATTEMPT</x:v>
      </x:c>
      <x:c r="B2567" s="59" t="str">
        <x:v>machine_readable</x:v>
      </x:c>
      <x:c r="C2567" s="59" t="str">
        <x:v>UNKNOWN</x:v>
      </x:c>
    </x:row>
    <x:row r="2568" ht="30" customHeight="1">
      <x:c r="A2568" s="59" t="str">
        <x:v>PGE_RADK_CAPACITY_ATTEMPT</x:v>
      </x:c>
      <x:c r="B2568" s="59" t="str">
        <x:v>scraping_required</x:v>
      </x:c>
      <x:c r="C2568" s="59" t="str">
        <x:v>UNKNOWN — przed scraperem preferować oficjalny plik lub API.</x:v>
      </x:c>
    </x:row>
    <x:row r="2569" ht="30" customHeight="1">
      <x:c r="A2569" s="59" t="str">
        <x:v>PGE_RADK_CAPACITY_ATTEMPT</x:v>
      </x:c>
      <x:c r="B2569" s="59" t="str">
        <x:v>data_quality_score</x:v>
      </x:c>
      <x:c r="C2569" s="59" t="str">
        <x:v>UNKNOWN — nie ustalono</x:v>
      </x:c>
    </x:row>
    <x:row r="2570" ht="30" customHeight="1">
      <x:c r="A2570" s="59" t="str">
        <x:v>PGE_RADK_CAPACITY_ATTEMPT</x:v>
      </x:c>
      <x:c r="B2570" s="59" t="str">
        <x:v>quality_score_status</x:v>
      </x:c>
      <x:c r="C2570" s="59" t="str">
        <x:v>NOT_CALIBRATED — autorytet źródła nie jest procentem kompletności lub trafności.</x:v>
      </x:c>
    </x:row>
    <x:row r="2571" ht="30" customHeight="1">
      <x:c r="A2571" s="59" t="str">
        <x:v>PGE_RADK_CAPACITY_ATTEMPT</x:v>
      </x:c>
      <x:c r="B2571" s="59" t="str">
        <x:v>last_verified</x:v>
      </x:c>
      <x:c r="C2571" s="60" t="n">
        <x:v>46276</x:v>
      </x:c>
    </x:row>
    <x:row r="2572" ht="30" customHeight="1">
      <x:c r="A2572" s="59" t="str">
        <x:v>PGE_RADK_CAPACITY_ATTEMPT</x:v>
      </x:c>
      <x:c r="B2572" s="59" t="str">
        <x:v>last_successful_verification</x:v>
      </x:c>
      <x:c r="C2572" s="59" t="str">
        <x:v>UNKNOWN — nie ustalono</x:v>
      </x:c>
    </x:row>
    <x:row r="2573" ht="30" customHeight="1">
      <x:c r="A2573" s="59" t="str">
        <x:v>PGE_RADK_CAPACITY_ATTEMPT</x:v>
      </x:c>
      <x:c r="B2573" s="59" t="str">
        <x:v>source_date</x:v>
      </x:c>
      <x:c r="C2573" s="59" t="str">
        <x:v>UNKNOWN — nie ustalono</x:v>
      </x:c>
    </x:row>
    <x:row r="2574" ht="30" customHeight="1">
      <x:c r="A2574" s="59" t="str">
        <x:v>PGE_RADK_CAPACITY_ATTEMPT</x:v>
      </x:c>
      <x:c r="B2574" s="59" t="str">
        <x:v>publication_date</x:v>
      </x:c>
      <x:c r="C2574" s="59" t="str">
        <x:v>UNKNOWN — nie ustalono</x:v>
      </x:c>
    </x:row>
    <x:row r="2575" ht="30" customHeight="1">
      <x:c r="A2575" s="59" t="str">
        <x:v>PGE_RADK_CAPACITY_ATTEMPT</x:v>
      </x:c>
      <x:c r="B2575" s="59" t="str">
        <x:v>source_version</x:v>
      </x:c>
      <x:c r="C2575" s="59" t="str">
        <x:v>UNKNOWN — nie ustalono</x:v>
      </x:c>
    </x:row>
    <x:row r="2576" ht="30" customHeight="1">
      <x:c r="A2576" s="59" t="str">
        <x:v>PGE_RADK_CAPACITY_ATTEMPT</x:v>
      </x:c>
      <x:c r="B2576" s="59" t="str">
        <x:v>source_page</x:v>
      </x:c>
      <x:c r="C2576" s="59" t="str">
        <x:v>UNKNOWN — nie ustalono</x:v>
      </x:c>
    </x:row>
    <x:row r="2577" ht="30" customHeight="1">
      <x:c r="A2577" s="59" t="str">
        <x:v>PGE_RADK_CAPACITY_ATTEMPT</x:v>
      </x:c>
      <x:c r="B2577" s="59" t="str">
        <x:v>valid_from</x:v>
      </x:c>
      <x:c r="C2577" s="59" t="str">
        <x:v>UNKNOWN — nie ustalono</x:v>
      </x:c>
    </x:row>
    <x:row r="2578" ht="30" customHeight="1">
      <x:c r="A2578" s="59" t="str">
        <x:v>PGE_RADK_CAPACITY_ATTEMPT</x:v>
      </x:c>
      <x:c r="B2578" s="59" t="str">
        <x:v>valid_to</x:v>
      </x:c>
      <x:c r="C2578" s="59" t="str">
        <x:v>UNKNOWN — nie ustalono</x:v>
      </x:c>
    </x:row>
    <x:row r="2579" ht="30" customHeight="1">
      <x:c r="A2579" s="59" t="str">
        <x:v>PGE_RADK_CAPACITY_ATTEMPT</x:v>
      </x:c>
      <x:c r="B2579" s="59" t="str">
        <x:v>current_future_scope</x:v>
      </x:c>
      <x:c r="C2579" s="59" t="str">
        <x:v>SOURCE_DEPENDENT</x:v>
      </x:c>
    </x:row>
    <x:row r="2580" ht="30" customHeight="1">
      <x:c r="A2580" s="59" t="str">
        <x:v>PGE_RADK_CAPACITY_ATTEMPT</x:v>
      </x:c>
      <x:c r="B2580" s="59" t="str">
        <x:v>value_classification_default</x:v>
      </x:c>
      <x:c r="C2580" s="59" t="str">
        <x:v>REPORTED</x:v>
      </x:c>
    </x:row>
    <x:row r="2581" ht="38" customHeight="1">
      <x:c r="A2581" s="59" t="str">
        <x:v>PGE_RADK_CAPACITY_ATTEMPT</x:v>
      </x:c>
      <x:c r="B2581" s="59" t="str">
        <x:v>automation_notes</x:v>
      </x:c>
      <x:c r="C2581" s="59" t="str">
        <x:v>Jednorazowy przegląd; brak zgody na stały scraper wynikającej z samego dostępu. Sprawdzić warunki, robots.txt i limity przed wdrożeniem.</x:v>
      </x:c>
    </x:row>
    <x:row r="2582" ht="30" customHeight="1">
      <x:c r="A2582" s="59" t="str">
        <x:v>PGE_RADK_CAPACITY_ATTEMPT</x:v>
      </x:c>
      <x:c r="B2582" s="59" t="str">
        <x:v>probe_ids</x:v>
      </x:c>
      <x:c r="C2582" s="59" t="str">
        <x:v>[]</x:v>
      </x:c>
    </x:row>
    <x:row r="2583" ht="30" customHeight="1">
      <x:c r="A2583" s="59" t="str">
        <x:v>PGE_RADK_CAPACITY_ATTEMPT</x:v>
      </x:c>
      <x:c r="B2583" s="59" t="str">
        <x:v>related_urls</x:v>
      </x:c>
      <x:c r="C2583" s="59" t="str">
        <x:v>[]</x:v>
      </x:c>
    </x:row>
    <x:row r="2584" ht="30" customHeight="1">
      <x:c r="A2584" s="59" t="str">
        <x:v>PGE_RADK_CAPACITY_ATTEMPT</x:v>
      </x:c>
      <x:c r="B2584" s="59" t="str">
        <x:v>source_id</x:v>
      </x:c>
      <x:c r="C2584" s="59" t="str">
        <x:v>PGE_RADK_CAPACITY_ATTEMPT</x:v>
      </x:c>
    </x:row>
    <x:row r="2585" ht="30" customHeight="1">
      <x:c r="A2585" s="59" t="str">
        <x:v>PGE_RADK_CAPACITY_ATTEMPT</x:v>
      </x:c>
      <x:c r="B2585" s="59" t="str">
        <x:v>operator</x:v>
      </x:c>
      <x:c r="C2585" s="59" t="str">
        <x:v>PGE</x:v>
      </x:c>
    </x:row>
    <x:row r="2586" ht="30" customHeight="1">
      <x:c r="A2586" s="59" t="str">
        <x:v>PGE_RADK_CAPACITY_ATTEMPT</x:v>
      </x:c>
      <x:c r="B2586" s="59" t="str">
        <x:v>source_name</x:v>
      </x:c>
      <x:c r="C2586" s="59" t="str">
        <x:v>Próba dostępu do pliku mocy PGE I kw.2026</x:v>
      </x:c>
    </x:row>
    <x:row r="2587" ht="38" customHeight="1">
      <x:c r="A2587" s="59" t="str">
        <x:v>PGE_RADK_CAPACITY_ATTEMPT</x:v>
      </x:c>
      <x:c r="B2587" s="59" t="str">
        <x:v>url</x:v>
      </x:c>
      <x:c r="C2587" s="59" t="str">
        <x:v>https://pgedystrybucja.pl/content/download/71691b9fb622cdf89306ec0dc0c1ac3d/file/dostepne-moce-pge-i-kw-2026.pdf?contentId=2208&amp;inLanguage=pol-PL&amp;version=6</x:v>
      </x:c>
    </x:row>
    <x:row r="2588" ht="30" customHeight="1">
      <x:c r="A2588" s="59" t="str">
        <x:v>PGE_RADK_CAPACITY_ATTEMPT</x:v>
      </x:c>
      <x:c r="B2588" s="59" t="str">
        <x:v>data_owner</x:v>
      </x:c>
      <x:c r="C2588" s="59" t="str">
        <x:v>PGE Dystrybucja S.A.</x:v>
      </x:c>
    </x:row>
    <x:row r="2589" ht="30" customHeight="1">
      <x:c r="A2589" s="59" t="str">
        <x:v>PGE_RADK_CAPACITY_ATTEMPT</x:v>
      </x:c>
      <x:c r="B2589" s="59" t="str">
        <x:v>data_category</x:v>
      </x:c>
      <x:c r="C2589" s="59" t="str">
        <x:v>reported_connection_capacity</x:v>
      </x:c>
    </x:row>
    <x:row r="2590" ht="30" customHeight="1">
      <x:c r="A2590" s="59" t="str">
        <x:v>PGE_RADK_CAPACITY_ATTEMPT</x:v>
      </x:c>
      <x:c r="B2590" s="59" t="str">
        <x:v>data_format</x:v>
      </x:c>
      <x:c r="C2590" s="59" t="str">
        <x:v>[ "PDF — oczekiwany, nie otrzymany" ]</x:v>
      </x:c>
    </x:row>
    <x:row r="2591" ht="30" customHeight="1">
      <x:c r="A2591" s="59" t="str">
        <x:v>PGE_RADK_CAPACITY_ATTEMPT</x:v>
      </x:c>
      <x:c r="B2591" s="59" t="str">
        <x:v>verification_status</x:v>
      </x:c>
      <x:c r="C2591" s="59" t="str">
        <x:v>BLOCKED</x:v>
      </x:c>
    </x:row>
    <x:row r="2592" ht="30" customHeight="1">
      <x:c r="A2592" s="59" t="str">
        <x:v>PGE_RADK_CAPACITY_ATTEMPT</x:v>
      </x:c>
      <x:c r="B2592" s="59" t="str">
        <x:v>reliability</x:v>
      </x:c>
      <x:c r="C2592" s="59" t="str">
        <x:v>B</x:v>
      </x:c>
    </x:row>
    <x:row r="2593" ht="30" customHeight="1">
      <x:c r="A2593" s="59" t="str">
        <x:v>PGE_RADK_CAPACITY_ATTEMPT</x:v>
      </x:c>
      <x:c r="B2593" s="59" t="str">
        <x:v>key_fields</x:v>
      </x:c>
      <x:c r="C2593" s="59" t="str">
        <x:v>[ "UNKNOWN — brak poprawnego pliku" ]</x:v>
      </x:c>
    </x:row>
    <x:row r="2594" ht="30" customHeight="1">
      <x:c r="A2594" s="59" t="str">
        <x:v>PGE_RADK_CAPACITY_ATTEMPT</x:v>
      </x:c>
      <x:c r="B2594" s="59" t="str">
        <x:v>potential_application</x:v>
      </x:c>
      <x:c r="C2594" s="59" t="str">
        <x:v>Kandydat do informacji o grupach mocy PGE po poprawnym odczycie</x:v>
      </x:c>
    </x:row>
    <x:row r="2595" ht="38" customHeight="1">
      <x:c r="A2595" s="59" t="str">
        <x:v>PGE_RADK_CAPACITY_ATTEMPT</x:v>
      </x:c>
      <x:c r="B2595" s="59" t="str">
        <x:v>known_limitations</x:v>
      </x:c>
      <x:c r="C2595" s="59" t="str">
        <x:v>[ "HTTP 200, 346 bajtów, brak sygnatury PDF; nie pobrano wartości mocy", "Dowód próby: data/catalog/pge_radkowice_access_2026-09-11.json" ]</x:v>
      </x:c>
    </x:row>
    <x:row r="2596" ht="30" customHeight="1">
      <x:c r="A2596" s="59" t="str">
        <x:v>PGE_RADK_CAPACITY_ATTEMPT</x:v>
      </x:c>
      <x:c r="B2596" s="59" t="str">
        <x:v>priority</x:v>
      </x:c>
      <x:c r="C2596" s="59" t="str">
        <x:v>P0</x:v>
      </x:c>
    </x:row>
    <x:row r="2597" ht="30" customHeight="1">
      <x:c r="A2597" s="59" t="str">
        <x:v>PGE_RADK_CAPACITY_ATTEMPT</x:v>
      </x:c>
      <x:c r="B2597" s="59" t="str">
        <x:v>evidence</x:v>
      </x:c>
      <x:c r="C2597" s="59" t="str">
        <x:v>[]</x:v>
      </x:c>
    </x:row>
    <x:row r="2598" ht="30" customHeight="1">
      <x:c r="A2598" s="59" t="str">
        <x:v>PGE_RADK_CAPACITY_ATTEMPT</x:v>
      </x:c>
      <x:c r="B2598" s="59" t="str">
        <x:v>retrieval_date</x:v>
      </x:c>
      <x:c r="C2598" s="59" t="str">
        <x:v>[]</x:v>
      </x:c>
    </x:row>
    <x:row r="2599" ht="30" customHeight="1">
      <x:c r="A2599" s="59" t="str">
        <x:v>SUW_RADK_WOLICA_3_2024</x:v>
      </x:c>
      <x:c r="B2599" s="59" t="str">
        <x:v>country</x:v>
      </x:c>
      <x:c r="C2599" s="59" t="str">
        <x:v>PL</x:v>
      </x:c>
    </x:row>
    <x:row r="2600" ht="30" customHeight="1">
      <x:c r="A2600" s="59" t="str">
        <x:v>SUW_RADK_WOLICA_3_2024</x:v>
      </x:c>
      <x:c r="B2600" s="59" t="str">
        <x:v>geographical_scope</x:v>
      </x:c>
      <x:c r="C2600" s="59" t="str">
        <x:v>Odcinek w gminach Morawica i Chęciny</x:v>
      </x:c>
    </x:row>
    <x:row r="2601" ht="30" customHeight="1">
      <x:c r="A2601" s="59" t="str">
        <x:v>SUW_RADK_WOLICA_3_2024</x:v>
      </x:c>
      <x:c r="B2601" s="59" t="str">
        <x:v>grid_voltage</x:v>
      </x:c>
      <x:c r="C2601" s="59" t="str">
        <x:v>[ "110 kV" ]</x:v>
      </x:c>
    </x:row>
    <x:row r="2602" ht="30" customHeight="1">
      <x:c r="A2602" s="59" t="str">
        <x:v>SUW_RADK_WOLICA_3_2024</x:v>
      </x:c>
      <x:c r="B2602" s="59" t="str">
        <x:v>api_available</x:v>
      </x:c>
      <x:c r="C2602" s="59" t="str">
        <x:v>UNKNOWN</x:v>
      </x:c>
    </x:row>
    <x:row r="2603" ht="30" customHeight="1">
      <x:c r="A2603" s="59" t="str">
        <x:v>SUW_RADK_WOLICA_3_2024</x:v>
      </x:c>
      <x:c r="B2603" s="59" t="str">
        <x:v>gis_available</x:v>
      </x:c>
      <x:c r="C2603" s="59" t="str">
        <x:v>UNKNOWN</x:v>
      </x:c>
    </x:row>
    <x:row r="2604" ht="30" customHeight="1">
      <x:c r="A2604" s="59" t="str">
        <x:v>SUW_RADK_WOLICA_3_2024</x:v>
      </x:c>
      <x:c r="B2604" s="59" t="str">
        <x:v>update_frequency</x:v>
      </x:c>
      <x:c r="C2604" s="59" t="str">
        <x:v>UNKNOWN — nie ustalono gwarantowanego cyklu publikacji.</x:v>
      </x:c>
    </x:row>
    <x:row r="2605" ht="30" customHeight="1">
      <x:c r="A2605" s="59" t="str">
        <x:v>SUW_RADK_WOLICA_3_2024</x:v>
      </x:c>
      <x:c r="B2605" s="59" t="str">
        <x:v>historical_data</x:v>
      </x:c>
      <x:c r="C2605" s="59" t="str">
        <x:v>UNKNOWN — własne snapshoty od 10.09.2026, jeśli zapisano próbkę.</x:v>
      </x:c>
    </x:row>
    <x:row r="2606" ht="30" customHeight="1">
      <x:c r="A2606" s="59" t="str">
        <x:v>SUW_RADK_WOLICA_3_2024</x:v>
      </x:c>
      <x:c r="B2606" s="59" t="str">
        <x:v>authentication</x:v>
      </x:c>
      <x:c r="C2606" s="59" t="str">
        <x:v>Odczyt publicznej strony bez konta; nie dowodzi dostępu do wszystkich danych.</x:v>
      </x:c>
    </x:row>
    <x:row r="2607" ht="30" customHeight="1">
      <x:c r="A2607" s="59" t="str">
        <x:v>SUW_RADK_WOLICA_3_2024</x:v>
      </x:c>
      <x:c r="B2607" s="59" t="str">
        <x:v>license</x:v>
      </x:c>
      <x:c r="C2607" s="59" t="str">
        <x:v>UNKNOWN — nie potwierdzono otwartej licencji wybranego zbioru.</x:v>
      </x:c>
    </x:row>
    <x:row r="2608" ht="30" customHeight="1">
      <x:c r="A2608" s="59" t="str">
        <x:v>SUW_RADK_WOLICA_3_2024</x:v>
      </x:c>
      <x:c r="B2608" s="59" t="str">
        <x:v>license_url</x:v>
      </x:c>
      <x:c r="C2608" s="59" t="str">
        <x:v>UNKNOWN — nie ustalono</x:v>
      </x:c>
    </x:row>
    <x:row r="2609" ht="30" customHeight="1">
      <x:c r="A2609" s="59" t="str">
        <x:v>SUW_RADK_WOLICA_3_2024</x:v>
      </x:c>
      <x:c r="B2609" s="59" t="str">
        <x:v>commercial_use</x:v>
      </x:c>
      <x:c r="C2609" s="59" t="str">
        <x:v>UNKNOWN</x:v>
      </x:c>
    </x:row>
    <x:row r="2610" ht="30" customHeight="1">
      <x:c r="A2610" s="59" t="str">
        <x:v>SUW_RADK_WOLICA_3_2024</x:v>
      </x:c>
      <x:c r="B2610" s="59" t="str">
        <x:v>machine_readable</x:v>
      </x:c>
      <x:c r="C2610" s="59" t="str">
        <x:v>PARTIAL — tekst i tabela PDF</x:v>
      </x:c>
    </x:row>
    <x:row r="2611" ht="30" customHeight="1">
      <x:c r="A2611" s="59" t="str">
        <x:v>SUW_RADK_WOLICA_3_2024</x:v>
      </x:c>
      <x:c r="B2611" s="59" t="str">
        <x:v>scraping_required</x:v>
      </x:c>
      <x:c r="C2611" s="59" t="str">
        <x:v>NO — bezpośredni plik PDF</x:v>
      </x:c>
    </x:row>
    <x:row r="2612" ht="30" customHeight="1">
      <x:c r="A2612" s="59" t="str">
        <x:v>SUW_RADK_WOLICA_3_2024</x:v>
      </x:c>
      <x:c r="B2612" s="59" t="str">
        <x:v>data_quality_score</x:v>
      </x:c>
      <x:c r="C2612" s="59" t="str">
        <x:v>UNKNOWN — nie ustalono</x:v>
      </x:c>
    </x:row>
    <x:row r="2613" ht="30" customHeight="1">
      <x:c r="A2613" s="59" t="str">
        <x:v>SUW_RADK_WOLICA_3_2024</x:v>
      </x:c>
      <x:c r="B2613" s="59" t="str">
        <x:v>quality_score_status</x:v>
      </x:c>
      <x:c r="C2613" s="59" t="str">
        <x:v>NOT_CALIBRATED — autorytet źródła nie jest procentem kompletności lub trafności.</x:v>
      </x:c>
    </x:row>
    <x:row r="2614" ht="30" customHeight="1">
      <x:c r="A2614" s="59" t="str">
        <x:v>SUW_RADK_WOLICA_3_2024</x:v>
      </x:c>
      <x:c r="B2614" s="59" t="str">
        <x:v>last_verified</x:v>
      </x:c>
      <x:c r="C2614" s="60" t="n">
        <x:v>46276</x:v>
      </x:c>
    </x:row>
    <x:row r="2615" ht="30" customHeight="1">
      <x:c r="A2615" s="59" t="str">
        <x:v>SUW_RADK_WOLICA_3_2024</x:v>
      </x:c>
      <x:c r="B2615" s="59" t="str">
        <x:v>last_successful_verification</x:v>
      </x:c>
      <x:c r="C2615" s="60" t="n">
        <x:v>46276</x:v>
      </x:c>
    </x:row>
    <x:row r="2616" ht="30" customHeight="1">
      <x:c r="A2616" s="59" t="str">
        <x:v>SUW_RADK_WOLICA_3_2024</x:v>
      </x:c>
      <x:c r="B2616" s="59" t="str">
        <x:v>source_date</x:v>
      </x:c>
      <x:c r="C2616" s="60" t="n">
        <x:v>45625</x:v>
      </x:c>
    </x:row>
    <x:row r="2617" ht="30" customHeight="1">
      <x:c r="A2617" s="59" t="str">
        <x:v>SUW_RADK_WOLICA_3_2024</x:v>
      </x:c>
      <x:c r="B2617" s="59" t="str">
        <x:v>publication_date</x:v>
      </x:c>
      <x:c r="C2617" s="59" t="str">
        <x:v>UNKNOWN — nie ustalono</x:v>
      </x:c>
    </x:row>
    <x:row r="2618" ht="30" customHeight="1">
      <x:c r="A2618" s="59" t="str">
        <x:v>SUW_RADK_WOLICA_3_2024</x:v>
      </x:c>
      <x:c r="B2618" s="59" t="str">
        <x:v>source_version</x:v>
      </x:c>
      <x:c r="C2618" s="59" t="str">
        <x:v>SPN.III.747.20.2024, decyzja 3/2024</x:v>
      </x:c>
    </x:row>
    <x:row r="2619" ht="30" customHeight="1">
      <x:c r="A2619" s="59" t="str">
        <x:v>SUW_RADK_WOLICA_3_2024</x:v>
      </x:c>
      <x:c r="B2619" s="59" t="str">
        <x:v>source_page</x:v>
      </x:c>
      <x:c r="C2619" s="59" t="str">
        <x:v>1–3</x:v>
      </x:c>
    </x:row>
    <x:row r="2620" ht="30" customHeight="1">
      <x:c r="A2620" s="59" t="str">
        <x:v>SUW_RADK_WOLICA_3_2024</x:v>
      </x:c>
      <x:c r="B2620" s="59" t="str">
        <x:v>valid_from</x:v>
      </x:c>
      <x:c r="C2620" s="59" t="str">
        <x:v>UNKNOWN — nie ustalono</x:v>
      </x:c>
    </x:row>
    <x:row r="2621" ht="30" customHeight="1">
      <x:c r="A2621" s="59" t="str">
        <x:v>SUW_RADK_WOLICA_3_2024</x:v>
      </x:c>
      <x:c r="B2621" s="59" t="str">
        <x:v>valid_to</x:v>
      </x:c>
      <x:c r="C2621" s="59" t="str">
        <x:v>UNKNOWN — nie ustalono</x:v>
      </x:c>
    </x:row>
    <x:row r="2622" ht="30" customHeight="1">
      <x:c r="A2622" s="59" t="str">
        <x:v>SUW_RADK_WOLICA_3_2024</x:v>
      </x:c>
      <x:c r="B2622" s="59" t="str">
        <x:v>current_future_scope</x:v>
      </x:c>
      <x:c r="C2622" s="59" t="str">
        <x:v>SOURCE_DEPENDENT</x:v>
      </x:c>
    </x:row>
    <x:row r="2623" ht="30" customHeight="1">
      <x:c r="A2623" s="59" t="str">
        <x:v>SUW_RADK_WOLICA_3_2024</x:v>
      </x:c>
      <x:c r="B2623" s="59" t="str">
        <x:v>value_classification_default</x:v>
      </x:c>
      <x:c r="C2623" s="59" t="str">
        <x:v>REPORTED</x:v>
      </x:c>
    </x:row>
    <x:row r="2624" ht="38" customHeight="1">
      <x:c r="A2624" s="59" t="str">
        <x:v>SUW_RADK_WOLICA_3_2024</x:v>
      </x:c>
      <x:c r="B2624" s="59" t="str">
        <x:v>automation_notes</x:v>
      </x:c>
      <x:c r="C2624" s="59" t="str">
        <x:v>Jednorazowy przegląd; brak zgody na stały scraper wynikającej z samego dostępu. Sprawdzić warunki, robots.txt i limity przed wdrożeniem.</x:v>
      </x:c>
    </x:row>
    <x:row r="2625" ht="30" customHeight="1">
      <x:c r="A2625" s="59" t="str">
        <x:v>SUW_RADK_WOLICA_3_2024</x:v>
      </x:c>
      <x:c r="B2625" s="59" t="str">
        <x:v>probe_ids</x:v>
      </x:c>
      <x:c r="C2625" s="59" t="str">
        <x:v>[ "SUW_RADK_WOLICA_3_2024" ]</x:v>
      </x:c>
    </x:row>
    <x:row r="2626" ht="30" customHeight="1">
      <x:c r="A2626" s="59" t="str">
        <x:v>SUW_RADK_WOLICA_3_2024</x:v>
      </x:c>
      <x:c r="B2626" s="59" t="str">
        <x:v>related_urls</x:v>
      </x:c>
      <x:c r="C2626" s="59" t="str">
        <x:v>[]</x:v>
      </x:c>
    </x:row>
    <x:row r="2627" ht="30" customHeight="1">
      <x:c r="A2627" s="59" t="str">
        <x:v>SUW_RADK_WOLICA_3_2024</x:v>
      </x:c>
      <x:c r="B2627" s="59" t="str">
        <x:v>source_id</x:v>
      </x:c>
      <x:c r="C2627" s="59" t="str">
        <x:v>SUW_RADK_WOLICA_3_2024</x:v>
      </x:c>
    </x:row>
    <x:row r="2628" ht="30" customHeight="1">
      <x:c r="A2628" s="59" t="str">
        <x:v>SUW_RADK_WOLICA_3_2024</x:v>
      </x:c>
      <x:c r="B2628" s="59" t="str">
        <x:v>operator</x:v>
      </x:c>
      <x:c r="C2628" s="59" t="str">
        <x:v>PGE Dystrybucja — wnioskodawca</x:v>
      </x:c>
    </x:row>
    <x:row r="2629" ht="30" customHeight="1">
      <x:c r="A2629" s="59" t="str">
        <x:v>SUW_RADK_WOLICA_3_2024</x:v>
      </x:c>
      <x:c r="B2629" s="59" t="str">
        <x:v>source_name</x:v>
      </x:c>
      <x:c r="C2629" s="59" t="str">
        <x:v>Decyzja 3/2024 — przebudowa odcinka Radkowice–Wolica</x:v>
      </x:c>
    </x:row>
    <x:row r="2630" ht="30" customHeight="1">
      <x:c r="A2630" s="59" t="str">
        <x:v>SUW_RADK_WOLICA_3_2024</x:v>
      </x:c>
      <x:c r="B2630" s="59" t="str">
        <x:v>url</x:v>
      </x:c>
      <x:c r="C2630" s="59" t="str">
        <x:v>https://bip.kielce.uw.gov.pl/download/2/33548/decprzesylnr324.pdf</x:v>
      </x:c>
    </x:row>
    <x:row r="2631" ht="30" customHeight="1">
      <x:c r="A2631" s="59" t="str">
        <x:v>SUW_RADK_WOLICA_3_2024</x:v>
      </x:c>
      <x:c r="B2631" s="59" t="str">
        <x:v>data_owner</x:v>
      </x:c>
      <x:c r="C2631" s="59" t="str">
        <x:v>Wojewoda Świętokrzyski / Świętokrzyski Urząd Wojewódzki</x:v>
      </x:c>
    </x:row>
    <x:row r="2632" ht="30" customHeight="1">
      <x:c r="A2632" s="59" t="str">
        <x:v>SUW_RADK_WOLICA_3_2024</x:v>
      </x:c>
      <x:c r="B2632" s="59" t="str">
        <x:v>data_category</x:v>
      </x:c>
      <x:c r="C2632" s="59" t="str">
        <x:v>grid_investment_administrative_decision</x:v>
      </x:c>
    </x:row>
    <x:row r="2633" ht="30" customHeight="1">
      <x:c r="A2633" s="59" t="str">
        <x:v>SUW_RADK_WOLICA_3_2024</x:v>
      </x:c>
      <x:c r="B2633" s="59" t="str">
        <x:v>data_format</x:v>
      </x:c>
      <x:c r="C2633" s="59" t="str">
        <x:v>[ "PDF" ]</x:v>
      </x:c>
    </x:row>
    <x:row r="2634" ht="30" customHeight="1">
      <x:c r="A2634" s="59" t="str">
        <x:v>SUW_RADK_WOLICA_3_2024</x:v>
      </x:c>
      <x:c r="B2634" s="59" t="str">
        <x:v>verification_status</x:v>
      </x:c>
      <x:c r="C2634" s="59" t="str">
        <x:v>CONTENT_REVIEWED</x:v>
      </x:c>
    </x:row>
    <x:row r="2635" ht="30" customHeight="1">
      <x:c r="A2635" s="59" t="str">
        <x:v>SUW_RADK_WOLICA_3_2024</x:v>
      </x:c>
      <x:c r="B2635" s="59" t="str">
        <x:v>reliability</x:v>
      </x:c>
      <x:c r="C2635" s="59" t="str">
        <x:v>C</x:v>
      </x:c>
    </x:row>
    <x:row r="2636" ht="30" customHeight="1">
      <x:c r="A2636" s="59" t="str">
        <x:v>SUW_RADK_WOLICA_3_2024</x:v>
      </x:c>
      <x:c r="B2636" s="59" t="str">
        <x:v>priority</x:v>
      </x:c>
      <x:c r="C2636" s="59" t="str">
        <x:v>P0</x:v>
      </x:c>
    </x:row>
    <x:row r="2637" ht="30" customHeight="1">
      <x:c r="A2637" s="59" t="str">
        <x:v>SUW_RADK_WOLICA_3_2024</x:v>
      </x:c>
      <x:c r="B2637" s="59" t="str">
        <x:v>key_fields</x:v>
      </x:c>
      <x:c r="C2637" s="59" t="str">
        <x:v>[ "relacja linii", "napięcie", "wnioskodawca", "parametry planowanego odcinka", "data decyzji" ]</x:v>
      </x:c>
    </x:row>
    <x:row r="2638" ht="30" customHeight="1">
      <x:c r="A2638" s="59" t="str">
        <x:v>SUW_RADK_WOLICA_3_2024</x:v>
      </x:c>
      <x:c r="B2638" s="59" t="str">
        <x:v>potential_application</x:v>
      </x:c>
      <x:c r="C2638" s="59" t="str">
        <x:v>Historyczny dowód relacji 110 kV i osobny rekord inwestycji</x:v>
      </x:c>
    </x:row>
    <x:row r="2639" ht="38" customHeight="1">
      <x:c r="A2639" s="59" t="str">
        <x:v>SUW_RADK_WOLICA_3_2024</x:v>
      </x:c>
      <x:c r="B2639" s="59" t="str">
        <x:v>known_limitations</x:v>
      </x:c>
      <x:c r="C2639" s="59" t="str">
        <x:v>[ "Nie potwierdza realizacji inwestycji", "991,8 m dotyczy zakresu decyzji, nie całej linii", "Brak aktualnej obciążalności i dokładnej granicy własności PSE/PGE" ]</x:v>
      </x:c>
    </x:row>
    <x:row r="2640" ht="80" customHeight="1">
      <x:c r="A2640" s="59" t="str">
        <x:v>SUW_RADK_WOLICA_3_2024</x:v>
      </x:c>
      <x:c r="B2640" s="59" t="str">
        <x:v>evidence</x:v>
      </x:c>
      <x:c r="C2640" s="59" t="str">
        <x:v>[ { "local_path": "data/raw/research/2026-09-11/radkowice_wolica_decision_3_2024.pdf", "url": "https://bip.kielce.uw.gov.pl/download/2/33548/decprzesylnr324.pdf", "retrieval_date": "2026-09-11T13:40:11.4850806Z", "sha256": "10ef3e62e8ab57adec6170f91a1ca57fac4047fc8bf96a0fc4483bd044d2088b", "content_type": [ "application/pdf" ], "source_id": "SUW_RADK_WOLICA_3_2024", "bytes": 178281, "error": null, "http_status": 200, "manifest": "data/catalog/probe_results_radkowice_wolica_2026-09-11.json" } ]</x:v>
      </x:c>
    </x:row>
    <x:row r="2641" ht="30" customHeight="1">
      <x:c r="A2641" s="59" t="str">
        <x:v>SUW_RADK_WOLICA_3_2024</x:v>
      </x:c>
      <x:c r="B2641" s="59" t="str">
        <x:v>retrieval_date</x:v>
      </x:c>
      <x:c r="C2641" s="59" t="str">
        <x:v>[ "2026-09-11T13:40:11.4850806Z" ]</x:v>
      </x:c>
    </x:row>
    <x:row r="2642" ht="38" customHeight="1">
      <x:c r="A2642" s="59" t="str">
        <x:v>PSE_RADK_BRIDGE_NOTICE_2025</x:v>
      </x:c>
      <x:c r="B2642" s="59" t="str">
        <x:v>country</x:v>
      </x:c>
      <x:c r="C2642" s="59" t="str">
        <x:v>PL</x:v>
      </x:c>
    </x:row>
    <x:row r="2643" ht="38" customHeight="1">
      <x:c r="A2643" s="59" t="str">
        <x:v>PSE_RADK_BRIDGE_NOTICE_2025</x:v>
      </x:c>
      <x:c r="B2643" s="59" t="str">
        <x:v>geographical_scope</x:v>
      </x:c>
      <x:c r="C2643" s="59" t="str">
        <x:v>Radkowice i opisane zadanie</x:v>
      </x:c>
    </x:row>
    <x:row r="2644" ht="38" customHeight="1">
      <x:c r="A2644" s="59" t="str">
        <x:v>PSE_RADK_BRIDGE_NOTICE_2025</x:v>
      </x:c>
      <x:c r="B2644" s="59" t="str">
        <x:v>grid_voltage</x:v>
      </x:c>
      <x:c r="C2644" s="59" t="str">
        <x:v>[ "220 kV" ]</x:v>
      </x:c>
    </x:row>
    <x:row r="2645" ht="38" customHeight="1">
      <x:c r="A2645" s="59" t="str">
        <x:v>PSE_RADK_BRIDGE_NOTICE_2025</x:v>
      </x:c>
      <x:c r="B2645" s="59" t="str">
        <x:v>api_available</x:v>
      </x:c>
      <x:c r="C2645" s="59" t="str">
        <x:v>UNKNOWN</x:v>
      </x:c>
    </x:row>
    <x:row r="2646" ht="38" customHeight="1">
      <x:c r="A2646" s="59" t="str">
        <x:v>PSE_RADK_BRIDGE_NOTICE_2025</x:v>
      </x:c>
      <x:c r="B2646" s="59" t="str">
        <x:v>gis_available</x:v>
      </x:c>
      <x:c r="C2646" s="59" t="str">
        <x:v>UNKNOWN</x:v>
      </x:c>
    </x:row>
    <x:row r="2647" ht="38" customHeight="1">
      <x:c r="A2647" s="59" t="str">
        <x:v>PSE_RADK_BRIDGE_NOTICE_2025</x:v>
      </x:c>
      <x:c r="B2647" s="59" t="str">
        <x:v>update_frequency</x:v>
      </x:c>
      <x:c r="C2647" s="59" t="str">
        <x:v>UNKNOWN — nie ustalono gwarantowanego cyklu publikacji.</x:v>
      </x:c>
    </x:row>
    <x:row r="2648" ht="38" customHeight="1">
      <x:c r="A2648" s="59" t="str">
        <x:v>PSE_RADK_BRIDGE_NOTICE_2025</x:v>
      </x:c>
      <x:c r="B2648" s="59" t="str">
        <x:v>historical_data</x:v>
      </x:c>
      <x:c r="C2648" s="59" t="str">
        <x:v>UNKNOWN — własne snapshoty od 10.09.2026, jeśli zapisano próbkę.</x:v>
      </x:c>
    </x:row>
    <x:row r="2649" ht="38" customHeight="1">
      <x:c r="A2649" s="59" t="str">
        <x:v>PSE_RADK_BRIDGE_NOTICE_2025</x:v>
      </x:c>
      <x:c r="B2649" s="59" t="str">
        <x:v>authentication</x:v>
      </x:c>
      <x:c r="C2649" s="59" t="str">
        <x:v>Pobrano publicznie bez konta; HTTP 200.</x:v>
      </x:c>
    </x:row>
    <x:row r="2650" ht="38" customHeight="1">
      <x:c r="A2650" s="59" t="str">
        <x:v>PSE_RADK_BRIDGE_NOTICE_2025</x:v>
      </x:c>
      <x:c r="B2650" s="59" t="str">
        <x:v>license</x:v>
      </x:c>
      <x:c r="C2650" s="59" t="str">
        <x:v>UNKNOWN — nie potwierdzono otwartej licencji wybranego zbioru.</x:v>
      </x:c>
    </x:row>
    <x:row r="2651" ht="38" customHeight="1">
      <x:c r="A2651" s="59" t="str">
        <x:v>PSE_RADK_BRIDGE_NOTICE_2025</x:v>
      </x:c>
      <x:c r="B2651" s="59" t="str">
        <x:v>license_url</x:v>
      </x:c>
      <x:c r="C2651" s="59" t="str">
        <x:v>UNKNOWN — nie ustalono</x:v>
      </x:c>
    </x:row>
    <x:row r="2652" ht="38" customHeight="1">
      <x:c r="A2652" s="59" t="str">
        <x:v>PSE_RADK_BRIDGE_NOTICE_2025</x:v>
      </x:c>
      <x:c r="B2652" s="59" t="str">
        <x:v>commercial_use</x:v>
      </x:c>
      <x:c r="C2652" s="59" t="str">
        <x:v>UNKNOWN</x:v>
      </x:c>
    </x:row>
    <x:row r="2653" ht="38" customHeight="1">
      <x:c r="A2653" s="59" t="str">
        <x:v>PSE_RADK_BRIDGE_NOTICE_2025</x:v>
      </x:c>
      <x:c r="B2653" s="59" t="str">
        <x:v>machine_readable</x:v>
      </x:c>
      <x:c r="C2653" s="59" t="str">
        <x:v>PARTIAL — tekst dokumentu wymaga walidacji kontekstu</x:v>
      </x:c>
    </x:row>
    <x:row r="2654" ht="38" customHeight="1">
      <x:c r="A2654" s="59" t="str">
        <x:v>PSE_RADK_BRIDGE_NOTICE_2025</x:v>
      </x:c>
      <x:c r="B2654" s="59" t="str">
        <x:v>scraping_required</x:v>
      </x:c>
      <x:c r="C2654" s="59" t="str">
        <x:v>PDF download</x:v>
      </x:c>
    </x:row>
    <x:row r="2655" ht="38" customHeight="1">
      <x:c r="A2655" s="59" t="str">
        <x:v>PSE_RADK_BRIDGE_NOTICE_2025</x:v>
      </x:c>
      <x:c r="B2655" s="59" t="str">
        <x:v>data_quality_score</x:v>
      </x:c>
      <x:c r="C2655" s="59" t="str">
        <x:v>UNKNOWN — nie ustalono</x:v>
      </x:c>
    </x:row>
    <x:row r="2656" ht="38" customHeight="1">
      <x:c r="A2656" s="59" t="str">
        <x:v>PSE_RADK_BRIDGE_NOTICE_2025</x:v>
      </x:c>
      <x:c r="B2656" s="59" t="str">
        <x:v>quality_score_status</x:v>
      </x:c>
      <x:c r="C2656" s="59" t="str">
        <x:v>NOT_CALIBRATED — autorytet źródła nie jest procentem kompletności lub trafności.</x:v>
      </x:c>
    </x:row>
    <x:row r="2657" ht="38" customHeight="1">
      <x:c r="A2657" s="59" t="str">
        <x:v>PSE_RADK_BRIDGE_NOTICE_2025</x:v>
      </x:c>
      <x:c r="B2657" s="59" t="str">
        <x:v>last_verified</x:v>
      </x:c>
      <x:c r="C2657" s="60" t="n">
        <x:v>46280</x:v>
      </x:c>
    </x:row>
    <x:row r="2658" ht="38" customHeight="1">
      <x:c r="A2658" s="59" t="str">
        <x:v>PSE_RADK_BRIDGE_NOTICE_2025</x:v>
      </x:c>
      <x:c r="B2658" s="59" t="str">
        <x:v>last_successful_verification</x:v>
      </x:c>
      <x:c r="C2658" s="60" t="n">
        <x:v>46280</x:v>
      </x:c>
    </x:row>
    <x:row r="2659" ht="38" customHeight="1">
      <x:c r="A2659" s="59" t="str">
        <x:v>PSE_RADK_BRIDGE_NOTICE_2025</x:v>
      </x:c>
      <x:c r="B2659" s="59" t="str">
        <x:v>source_date</x:v>
      </x:c>
      <x:c r="C2659" s="59" t="str">
        <x:v>UNKNOWN — nie ustalono</x:v>
      </x:c>
    </x:row>
    <x:row r="2660" ht="38" customHeight="1">
      <x:c r="A2660" s="59" t="str">
        <x:v>PSE_RADK_BRIDGE_NOTICE_2025</x:v>
      </x:c>
      <x:c r="B2660" s="59" t="str">
        <x:v>publication_date</x:v>
      </x:c>
      <x:c r="C2660" s="60" t="n">
        <x:v>45747</x:v>
      </x:c>
    </x:row>
    <x:row r="2661" ht="38" customHeight="1">
      <x:c r="A2661" s="59" t="str">
        <x:v>PSE_RADK_BRIDGE_NOTICE_2025</x:v>
      </x:c>
      <x:c r="B2661" s="59" t="str">
        <x:v>source_version</x:v>
      </x:c>
      <x:c r="C2661" s="59" t="str">
        <x:v>UNKNOWN — nie ustalono</x:v>
      </x:c>
    </x:row>
    <x:row r="2662" ht="38" customHeight="1">
      <x:c r="A2662" s="59" t="str">
        <x:v>PSE_RADK_BRIDGE_NOTICE_2025</x:v>
      </x:c>
      <x:c r="B2662" s="59" t="str">
        <x:v>source_page</x:v>
      </x:c>
      <x:c r="C2662" s="59" t="str">
        <x:v>29; metadane 37</x:v>
      </x:c>
    </x:row>
    <x:row r="2663" ht="38" customHeight="1">
      <x:c r="A2663" s="59" t="str">
        <x:v>PSE_RADK_BRIDGE_NOTICE_2025</x:v>
      </x:c>
      <x:c r="B2663" s="59" t="str">
        <x:v>valid_from</x:v>
      </x:c>
      <x:c r="C2663" s="59" t="str">
        <x:v>UNKNOWN — nie ustalono</x:v>
      </x:c>
    </x:row>
    <x:row r="2664" ht="38" customHeight="1">
      <x:c r="A2664" s="59" t="str">
        <x:v>PSE_RADK_BRIDGE_NOTICE_2025</x:v>
      </x:c>
      <x:c r="B2664" s="59" t="str">
        <x:v>valid_to</x:v>
      </x:c>
      <x:c r="C2664" s="59" t="str">
        <x:v>UNKNOWN — nie ustalono</x:v>
      </x:c>
    </x:row>
    <x:row r="2665" ht="38" customHeight="1">
      <x:c r="A2665" s="59" t="str">
        <x:v>PSE_RADK_BRIDGE_NOTICE_2025</x:v>
      </x:c>
      <x:c r="B2665" s="59" t="str">
        <x:v>current_future_scope</x:v>
      </x:c>
      <x:c r="C2665" s="59" t="str">
        <x:v>SOURCE_DEPENDENT</x:v>
      </x:c>
    </x:row>
    <x:row r="2666" ht="38" customHeight="1">
      <x:c r="A2666" s="59" t="str">
        <x:v>PSE_RADK_BRIDGE_NOTICE_2025</x:v>
      </x:c>
      <x:c r="B2666" s="59" t="str">
        <x:v>value_classification_default</x:v>
      </x:c>
      <x:c r="C2666" s="59" t="str">
        <x:v>REPORTED</x:v>
      </x:c>
    </x:row>
    <x:row r="2667" ht="38" customHeight="1">
      <x:c r="A2667" s="59" t="str">
        <x:v>PSE_RADK_BRIDGE_NOTICE_2025</x:v>
      </x:c>
      <x:c r="B2667" s="59" t="str">
        <x:v>automation_notes</x:v>
      </x:c>
      <x:c r="C2667" s="59" t="str">
        <x:v>Jednorazowy snapshot z timeoutem i SHA-256. Nie ustalono API, limitów ani gwarantowanego cyklu; brak wdrożonej automatyzacji.</x:v>
      </x:c>
    </x:row>
    <x:row r="2668" ht="38" customHeight="1">
      <x:c r="A2668" s="59" t="str">
        <x:v>PSE_RADK_BRIDGE_NOTICE_2025</x:v>
      </x:c>
      <x:c r="B2668" s="59" t="str">
        <x:v>probe_ids</x:v>
      </x:c>
      <x:c r="C2668" s="59" t="str">
        <x:v>[ "PSE_RADK_BRIDGE_NOTICE_2025" ]</x:v>
      </x:c>
    </x:row>
    <x:row r="2669" ht="38" customHeight="1">
      <x:c r="A2669" s="59" t="str">
        <x:v>PSE_RADK_BRIDGE_NOTICE_2025</x:v>
      </x:c>
      <x:c r="B2669" s="59" t="str">
        <x:v>related_urls</x:v>
      </x:c>
      <x:c r="C2669" s="59" t="str">
        <x:v>[]</x:v>
      </x:c>
    </x:row>
    <x:row r="2670" ht="38" customHeight="1">
      <x:c r="A2670" s="59" t="str">
        <x:v>PSE_RADK_BRIDGE_NOTICE_2025</x:v>
      </x:c>
      <x:c r="B2670" s="59" t="str">
        <x:v>source_id</x:v>
      </x:c>
      <x:c r="C2670" s="59" t="str">
        <x:v>PSE_RADK_BRIDGE_NOTICE_2025</x:v>
      </x:c>
    </x:row>
    <x:row r="2671" ht="38" customHeight="1">
      <x:c r="A2671" s="59" t="str">
        <x:v>PSE_RADK_BRIDGE_NOTICE_2025</x:v>
      </x:c>
      <x:c r="B2671" s="59" t="str">
        <x:v>operator</x:v>
      </x:c>
      <x:c r="C2671" s="59" t="str">
        <x:v>PSE S.A.</x:v>
      </x:c>
    </x:row>
    <x:row r="2672" ht="38" customHeight="1">
      <x:c r="A2672" s="59" t="str">
        <x:v>PSE_RADK_BRIDGE_NOTICE_2025</x:v>
      </x:c>
      <x:c r="B2672" s="59" t="str">
        <x:v>source_name</x:v>
      </x:c>
      <x:c r="C2672" s="59" t="str">
        <x:v>PSE — ogłoszenie 205815-2025, pole 220 kV i most Radkowice</x:v>
      </x:c>
    </x:row>
    <x:row r="2673" ht="38" customHeight="1">
      <x:c r="A2673" s="59" t="str">
        <x:v>PSE_RADK_BRIDGE_NOTICE_2025</x:v>
      </x:c>
      <x:c r="B2673" s="59" t="str">
        <x:v>url</x:v>
      </x:c>
      <x:c r="C2673" s="59" t="str">
        <x:v>https://www.pse.pl/documents/20182/5928746423/OKRESOWE_OGLOSZENIE_ROBOTY_BUDOWLANE.pdf/883a7669-eb9a-4650-84f4-cd67502fd545?safeargs=76657273696f6e3d312e31</x:v>
      </x:c>
    </x:row>
    <x:row r="2674" ht="38" customHeight="1">
      <x:c r="A2674" s="59" t="str">
        <x:v>PSE_RADK_BRIDGE_NOTICE_2025</x:v>
      </x:c>
      <x:c r="B2674" s="59" t="str">
        <x:v>data_owner</x:v>
      </x:c>
      <x:c r="C2674" s="59" t="str">
        <x:v>PSE S.A.</x:v>
      </x:c>
    </x:row>
    <x:row r="2675" ht="38" customHeight="1">
      <x:c r="A2675" s="59" t="str">
        <x:v>PSE_RADK_BRIDGE_NOTICE_2025</x:v>
      </x:c>
      <x:c r="B2675" s="59" t="str">
        <x:v>data_category</x:v>
      </x:c>
      <x:c r="C2675" s="59" t="str">
        <x:v>grid_investments</x:v>
      </x:c>
    </x:row>
    <x:row r="2676" ht="38" customHeight="1">
      <x:c r="A2676" s="59" t="str">
        <x:v>PSE_RADK_BRIDGE_NOTICE_2025</x:v>
      </x:c>
      <x:c r="B2676" s="59" t="str">
        <x:v>data_format</x:v>
      </x:c>
      <x:c r="C2676" s="59" t="str">
        <x:v>[ "PDF" ]</x:v>
      </x:c>
    </x:row>
    <x:row r="2677" ht="38" customHeight="1">
      <x:c r="A2677" s="59" t="str">
        <x:v>PSE_RADK_BRIDGE_NOTICE_2025</x:v>
      </x:c>
      <x:c r="B2677" s="59" t="str">
        <x:v>verification_status</x:v>
      </x:c>
      <x:c r="C2677" s="59" t="str">
        <x:v>CONTENT_REVIEWED</x:v>
      </x:c>
    </x:row>
    <x:row r="2678" ht="38" customHeight="1">
      <x:c r="A2678" s="59" t="str">
        <x:v>PSE_RADK_BRIDGE_NOTICE_2025</x:v>
      </x:c>
      <x:c r="B2678" s="59" t="str">
        <x:v>reliability</x:v>
      </x:c>
      <x:c r="C2678" s="59" t="str">
        <x:v>B</x:v>
      </x:c>
    </x:row>
    <x:row r="2679" ht="38" customHeight="1">
      <x:c r="A2679" s="59" t="str">
        <x:v>PSE_RADK_BRIDGE_NOTICE_2025</x:v>
      </x:c>
      <x:c r="B2679" s="59" t="str">
        <x:v>key_fields</x:v>
      </x:c>
      <x:c r="C2679" s="59" t="str">
        <x:v>[ "nazwa zakresu", "numer ogłoszenia", "okres prognozy postępowań", "zastrzeżenie informacyjnego charakteru" ]</x:v>
      </x:c>
    </x:row>
    <x:row r="2680" ht="38" customHeight="1">
      <x:c r="A2680" s="59" t="str">
        <x:v>PSE_RADK_BRIDGE_NOTICE_2025</x:v>
      </x:c>
      <x:c r="B2680" s="59" t="str">
        <x:v>potential_application</x:v>
      </x:c>
      <x:c r="C2680" s="59" t="str">
        <x:v>Publiczny punkt odniesienia dla projektu mostu, bez obsadzenia i bez parametrów technicznych</x:v>
      </x:c>
    </x:row>
    <x:row r="2681" ht="38" customHeight="1">
      <x:c r="A2681" s="59" t="str">
        <x:v>PSE_RADK_BRIDGE_NOTICE_2025</x:v>
      </x:c>
      <x:c r="B2681" s="59" t="str">
        <x:v>known_limitations</x:v>
      </x:c>
      <x:c r="C2681" s="59" t="str">
        <x:v>[ "Prognoza zamówień, nie wynik przetargu ani dowód ukończenia", "Adres zamawiającego nie jest geometrią stacji", "Brak liczby miejsc, MW i przypisań projektów" ]</x:v>
      </x:c>
    </x:row>
    <x:row r="2682" ht="38" customHeight="1">
      <x:c r="A2682" s="59" t="str">
        <x:v>PSE_RADK_BRIDGE_NOTICE_2025</x:v>
      </x:c>
      <x:c r="B2682" s="59" t="str">
        <x:v>priority</x:v>
      </x:c>
      <x:c r="C2682" s="59" t="str">
        <x:v>P0</x:v>
      </x:c>
    </x:row>
    <x:row r="2683" ht="94" customHeight="1">
      <x:c r="A2683" s="59" t="str">
        <x:v>PSE_RADK_BRIDGE_NOTICE_2025</x:v>
      </x:c>
      <x:c r="B2683" s="59" t="str">
        <x:v>evidence</x:v>
      </x:c>
      <x:c r="C2683" s="59" t="str">
        <x:v>[ { "source_id": "PSE_RADK_BRIDGE_NOTICE_2025", "url": "https://www.pse.pl/documents/20182/5928746423/OKRESOWE_OGLOSZENIE_ROBOTY_BUDOWLANE.pdf/883a7669-eb9a-4650-84f4-cd67502fd545?safeargs=76657273696f6e3d312e31", "retrieval_date": "2026-09-15T16:30:45.003171+00:00", "local_path": "data/raw/research/2026-09-15/pse_bridge_notice_2025.pdf", "sha256": "2b85b5a12278fbf06851de098902782ccc6cfcfb5bac7dd7d960f6e0564ac86f", "bytes": 181530, "content_type": [ "application/pdf;charset=UTF-8" ], "http_status": 200, "error": null, "manifest": "data/catalog/probe_results_radkowice_followup_2026-09-15.json" } ]</x:v>
      </x:c>
    </x:row>
    <x:row r="2684" ht="38" customHeight="1">
      <x:c r="A2684" s="59" t="str">
        <x:v>PSE_RADK_BRIDGE_NOTICE_2025</x:v>
      </x:c>
      <x:c r="B2684" s="59" t="str">
        <x:v>retrieval_date</x:v>
      </x:c>
      <x:c r="C2684" s="59" t="str">
        <x:v>[ "2026-09-15T16:30:45.003171+00:00" ]</x:v>
      </x:c>
    </x:row>
    <x:row r="2685" ht="38" customHeight="1">
      <x:c r="A2685" s="59" t="str">
        <x:v>RDOS_RADK_PIASKI_NOTICE_2025</x:v>
      </x:c>
      <x:c r="B2685" s="59" t="str">
        <x:v>country</x:v>
      </x:c>
      <x:c r="C2685" s="59" t="str">
        <x:v>PL</x:v>
      </x:c>
    </x:row>
    <x:row r="2686" ht="38" customHeight="1">
      <x:c r="A2686" s="59" t="str">
        <x:v>RDOS_RADK_PIASKI_NOTICE_2025</x:v>
      </x:c>
      <x:c r="B2686" s="59" t="str">
        <x:v>geographical_scope</x:v>
      </x:c>
      <x:c r="C2686" s="59" t="str">
        <x:v>Radkowice i opisane zadanie</x:v>
      </x:c>
    </x:row>
    <x:row r="2687" ht="38" customHeight="1">
      <x:c r="A2687" s="59" t="str">
        <x:v>RDOS_RADK_PIASKI_NOTICE_2025</x:v>
      </x:c>
      <x:c r="B2687" s="59" t="str">
        <x:v>grid_voltage</x:v>
      </x:c>
      <x:c r="C2687" s="59" t="str">
        <x:v>[ "220 kV" ]</x:v>
      </x:c>
    </x:row>
    <x:row r="2688" ht="38" customHeight="1">
      <x:c r="A2688" s="59" t="str">
        <x:v>RDOS_RADK_PIASKI_NOTICE_2025</x:v>
      </x:c>
      <x:c r="B2688" s="59" t="str">
        <x:v>api_available</x:v>
      </x:c>
      <x:c r="C2688" s="59" t="str">
        <x:v>UNKNOWN</x:v>
      </x:c>
    </x:row>
    <x:row r="2689" ht="38" customHeight="1">
      <x:c r="A2689" s="59" t="str">
        <x:v>RDOS_RADK_PIASKI_NOTICE_2025</x:v>
      </x:c>
      <x:c r="B2689" s="59" t="str">
        <x:v>gis_available</x:v>
      </x:c>
      <x:c r="C2689" s="59" t="str">
        <x:v>UNKNOWN</x:v>
      </x:c>
    </x:row>
    <x:row r="2690" ht="38" customHeight="1">
      <x:c r="A2690" s="59" t="str">
        <x:v>RDOS_RADK_PIASKI_NOTICE_2025</x:v>
      </x:c>
      <x:c r="B2690" s="59" t="str">
        <x:v>update_frequency</x:v>
      </x:c>
      <x:c r="C2690" s="59" t="str">
        <x:v>UNKNOWN — nie ustalono gwarantowanego cyklu publikacji.</x:v>
      </x:c>
    </x:row>
    <x:row r="2691" ht="38" customHeight="1">
      <x:c r="A2691" s="59" t="str">
        <x:v>RDOS_RADK_PIASKI_NOTICE_2025</x:v>
      </x:c>
      <x:c r="B2691" s="59" t="str">
        <x:v>historical_data</x:v>
      </x:c>
      <x:c r="C2691" s="59" t="str">
        <x:v>UNKNOWN — własne snapshoty od 10.09.2026, jeśli zapisano próbkę.</x:v>
      </x:c>
    </x:row>
    <x:row r="2692" ht="38" customHeight="1">
      <x:c r="A2692" s="59" t="str">
        <x:v>RDOS_RADK_PIASKI_NOTICE_2025</x:v>
      </x:c>
      <x:c r="B2692" s="59" t="str">
        <x:v>authentication</x:v>
      </x:c>
      <x:c r="C2692" s="59" t="str">
        <x:v>Pobrano publicznie bez konta; HTTP 200.</x:v>
      </x:c>
    </x:row>
    <x:row r="2693" ht="38" customHeight="1">
      <x:c r="A2693" s="59" t="str">
        <x:v>RDOS_RADK_PIASKI_NOTICE_2025</x:v>
      </x:c>
      <x:c r="B2693" s="59" t="str">
        <x:v>license</x:v>
      </x:c>
      <x:c r="C2693" s="59" t="str">
        <x:v>Gov.pl: treści tekstowe CC BY-SA 4.0, zastrzeżenia dla praw osób trzecich; ocena załączników osobno.</x:v>
      </x:c>
    </x:row>
    <x:row r="2694" ht="38" customHeight="1">
      <x:c r="A2694" s="59" t="str">
        <x:v>RDOS_RADK_PIASKI_NOTICE_2025</x:v>
      </x:c>
      <x:c r="B2694" s="59" t="str">
        <x:v>license_url</x:v>
      </x:c>
      <x:c r="C2694" s="59" t="str">
        <x:v>https://www.gov.pl/web/gov/prawa-autorskie</x:v>
      </x:c>
    </x:row>
    <x:row r="2695" ht="38" customHeight="1">
      <x:c r="A2695" s="59" t="str">
        <x:v>RDOS_RADK_PIASKI_NOTICE_2025</x:v>
      </x:c>
      <x:c r="B2695" s="59" t="str">
        <x:v>commercial_use</x:v>
      </x:c>
      <x:c r="C2695" s="59" t="str">
        <x:v>REQUIRES_PERMISSION_REVIEW</x:v>
      </x:c>
    </x:row>
    <x:row r="2696" ht="38" customHeight="1">
      <x:c r="A2696" s="59" t="str">
        <x:v>RDOS_RADK_PIASKI_NOTICE_2025</x:v>
      </x:c>
      <x:c r="B2696" s="59" t="str">
        <x:v>machine_readable</x:v>
      </x:c>
      <x:c r="C2696" s="59" t="str">
        <x:v>PARTIAL — tekst dokumentu wymaga walidacji kontekstu</x:v>
      </x:c>
    </x:row>
    <x:row r="2697" ht="38" customHeight="1">
      <x:c r="A2697" s="59" t="str">
        <x:v>RDOS_RADK_PIASKI_NOTICE_2025</x:v>
      </x:c>
      <x:c r="B2697" s="59" t="str">
        <x:v>scraping_required</x:v>
      </x:c>
      <x:c r="C2697" s="59" t="str">
        <x:v>HTML parsing; brak wdrożonego cyklicznego scrapera</x:v>
      </x:c>
    </x:row>
    <x:row r="2698" ht="38" customHeight="1">
      <x:c r="A2698" s="59" t="str">
        <x:v>RDOS_RADK_PIASKI_NOTICE_2025</x:v>
      </x:c>
      <x:c r="B2698" s="59" t="str">
        <x:v>data_quality_score</x:v>
      </x:c>
      <x:c r="C2698" s="59" t="str">
        <x:v>UNKNOWN — nie ustalono</x:v>
      </x:c>
    </x:row>
    <x:row r="2699" ht="38" customHeight="1">
      <x:c r="A2699" s="59" t="str">
        <x:v>RDOS_RADK_PIASKI_NOTICE_2025</x:v>
      </x:c>
      <x:c r="B2699" s="59" t="str">
        <x:v>quality_score_status</x:v>
      </x:c>
      <x:c r="C2699" s="59" t="str">
        <x:v>NOT_CALIBRATED — autorytet źródła nie jest procentem kompletności lub trafności.</x:v>
      </x:c>
    </x:row>
    <x:row r="2700" ht="38" customHeight="1">
      <x:c r="A2700" s="59" t="str">
        <x:v>RDOS_RADK_PIASKI_NOTICE_2025</x:v>
      </x:c>
      <x:c r="B2700" s="59" t="str">
        <x:v>last_verified</x:v>
      </x:c>
      <x:c r="C2700" s="60" t="n">
        <x:v>46280</x:v>
      </x:c>
    </x:row>
    <x:row r="2701" ht="38" customHeight="1">
      <x:c r="A2701" s="59" t="str">
        <x:v>RDOS_RADK_PIASKI_NOTICE_2025</x:v>
      </x:c>
      <x:c r="B2701" s="59" t="str">
        <x:v>last_successful_verification</x:v>
      </x:c>
      <x:c r="C2701" s="60" t="n">
        <x:v>46280</x:v>
      </x:c>
    </x:row>
    <x:row r="2702" ht="38" customHeight="1">
      <x:c r="A2702" s="59" t="str">
        <x:v>RDOS_RADK_PIASKI_NOTICE_2025</x:v>
      </x:c>
      <x:c r="B2702" s="59" t="str">
        <x:v>source_date</x:v>
      </x:c>
      <x:c r="C2702" s="60" t="n">
        <x:v>45995</x:v>
      </x:c>
    </x:row>
    <x:row r="2703" ht="38" customHeight="1">
      <x:c r="A2703" s="59" t="str">
        <x:v>RDOS_RADK_PIASKI_NOTICE_2025</x:v>
      </x:c>
      <x:c r="B2703" s="59" t="str">
        <x:v>publication_date</x:v>
      </x:c>
      <x:c r="C2703" s="60" t="n">
        <x:v>46000</x:v>
      </x:c>
    </x:row>
    <x:row r="2704" ht="38" customHeight="1">
      <x:c r="A2704" s="59" t="str">
        <x:v>RDOS_RADK_PIASKI_NOTICE_2025</x:v>
      </x:c>
      <x:c r="B2704" s="59" t="str">
        <x:v>source_version</x:v>
      </x:c>
      <x:c r="C2704" s="59" t="str">
        <x:v>UNKNOWN — nie ustalono</x:v>
      </x:c>
    </x:row>
    <x:row r="2705" ht="38" customHeight="1">
      <x:c r="A2705" s="59" t="str">
        <x:v>RDOS_RADK_PIASKI_NOTICE_2025</x:v>
      </x:c>
      <x:c r="B2705" s="59" t="str">
        <x:v>source_page</x:v>
      </x:c>
      <x:c r="C2705" s="59" t="str">
        <x:v>Nagłówek i treść obwieszczenia</x:v>
      </x:c>
    </x:row>
    <x:row r="2706" ht="38" customHeight="1">
      <x:c r="A2706" s="59" t="str">
        <x:v>RDOS_RADK_PIASKI_NOTICE_2025</x:v>
      </x:c>
      <x:c r="B2706" s="59" t="str">
        <x:v>valid_from</x:v>
      </x:c>
      <x:c r="C2706" s="59" t="str">
        <x:v>UNKNOWN — nie ustalono</x:v>
      </x:c>
    </x:row>
    <x:row r="2707" ht="38" customHeight="1">
      <x:c r="A2707" s="59" t="str">
        <x:v>RDOS_RADK_PIASKI_NOTICE_2025</x:v>
      </x:c>
      <x:c r="B2707" s="59" t="str">
        <x:v>valid_to</x:v>
      </x:c>
      <x:c r="C2707" s="59" t="str">
        <x:v>UNKNOWN — nie ustalono</x:v>
      </x:c>
    </x:row>
    <x:row r="2708" ht="38" customHeight="1">
      <x:c r="A2708" s="59" t="str">
        <x:v>RDOS_RADK_PIASKI_NOTICE_2025</x:v>
      </x:c>
      <x:c r="B2708" s="59" t="str">
        <x:v>current_future_scope</x:v>
      </x:c>
      <x:c r="C2708" s="59" t="str">
        <x:v>SOURCE_DEPENDENT</x:v>
      </x:c>
    </x:row>
    <x:row r="2709" ht="38" customHeight="1">
      <x:c r="A2709" s="59" t="str">
        <x:v>RDOS_RADK_PIASKI_NOTICE_2025</x:v>
      </x:c>
      <x:c r="B2709" s="59" t="str">
        <x:v>value_classification_default</x:v>
      </x:c>
      <x:c r="C2709" s="59" t="str">
        <x:v>REPORTED</x:v>
      </x:c>
    </x:row>
    <x:row r="2710" ht="38" customHeight="1">
      <x:c r="A2710" s="59" t="str">
        <x:v>RDOS_RADK_PIASKI_NOTICE_2025</x:v>
      </x:c>
      <x:c r="B2710" s="59" t="str">
        <x:v>automation_notes</x:v>
      </x:c>
      <x:c r="C2710" s="59" t="str">
        <x:v>Jednorazowy snapshot z timeoutem i SHA-256. Nie ustalono API, limitów ani gwarantowanego cyklu; brak wdrożonej automatyzacji.</x:v>
      </x:c>
    </x:row>
    <x:row r="2711" ht="38" customHeight="1">
      <x:c r="A2711" s="59" t="str">
        <x:v>RDOS_RADK_PIASKI_NOTICE_2025</x:v>
      </x:c>
      <x:c r="B2711" s="59" t="str">
        <x:v>probe_ids</x:v>
      </x:c>
      <x:c r="C2711" s="59" t="str">
        <x:v>[ "RDOS_RADK_PIASKI_NOTICE_2025" ]</x:v>
      </x:c>
    </x:row>
    <x:row r="2712" ht="38" customHeight="1">
      <x:c r="A2712" s="59" t="str">
        <x:v>RDOS_RADK_PIASKI_NOTICE_2025</x:v>
      </x:c>
      <x:c r="B2712" s="59" t="str">
        <x:v>related_urls</x:v>
      </x:c>
      <x:c r="C2712" s="59" t="str">
        <x:v>[]</x:v>
      </x:c>
    </x:row>
    <x:row r="2713" ht="38" customHeight="1">
      <x:c r="A2713" s="59" t="str">
        <x:v>RDOS_RADK_PIASKI_NOTICE_2025</x:v>
      </x:c>
      <x:c r="B2713" s="59" t="str">
        <x:v>source_id</x:v>
      </x:c>
      <x:c r="C2713" s="59" t="str">
        <x:v>RDOS_RADK_PIASKI_NOTICE_2025</x:v>
      </x:c>
    </x:row>
    <x:row r="2714" ht="38" customHeight="1">
      <x:c r="A2714" s="59" t="str">
        <x:v>RDOS_RADK_PIASKI_NOTICE_2025</x:v>
      </x:c>
      <x:c r="B2714" s="59" t="str">
        <x:v>operator</x:v>
      </x:c>
      <x:c r="C2714" s="59" t="str">
        <x:v>RDOŚ Kielce</x:v>
      </x:c>
    </x:row>
    <x:row r="2715" ht="38" customHeight="1">
      <x:c r="A2715" s="59" t="str">
        <x:v>RDOS_RADK_PIASKI_NOTICE_2025</x:v>
      </x:c>
      <x:c r="B2715" s="59" t="str">
        <x:v>source_name</x:v>
      </x:c>
      <x:c r="C2715" s="59" t="str">
        <x:v>RDOŚ Kielce — obwieszczenie dotyczące Radkowice–Kielce Piaski</x:v>
      </x:c>
    </x:row>
    <x:row r="2716" ht="38" customHeight="1">
      <x:c r="A2716" s="59" t="str">
        <x:v>RDOS_RADK_PIASKI_NOTICE_2025</x:v>
      </x:c>
      <x:c r="B2716" s="59" t="str">
        <x:v>url</x:v>
      </x:c>
      <x:c r="C2716" s="59" t="str">
        <x:v>https://www.gov.pl/web/rdos-kielce/obwieszczenie-regionalnego-dyrektora-ochrony-srodowiska-w-kielcach-z-dnia-04122025-r-znak-woo-i42072025pjpp16</x:v>
      </x:c>
    </x:row>
    <x:row r="2717" ht="38" customHeight="1">
      <x:c r="A2717" s="59" t="str">
        <x:v>RDOS_RADK_PIASKI_NOTICE_2025</x:v>
      </x:c>
      <x:c r="B2717" s="59" t="str">
        <x:v>data_owner</x:v>
      </x:c>
      <x:c r="C2717" s="59" t="str">
        <x:v>RDOŚ Kielce</x:v>
      </x:c>
    </x:row>
    <x:row r="2718" ht="38" customHeight="1">
      <x:c r="A2718" s="59" t="str">
        <x:v>RDOS_RADK_PIASKI_NOTICE_2025</x:v>
      </x:c>
      <x:c r="B2718" s="59" t="str">
        <x:v>data_category</x:v>
      </x:c>
      <x:c r="C2718" s="59" t="str">
        <x:v>grid_investments</x:v>
      </x:c>
    </x:row>
    <x:row r="2719" ht="38" customHeight="1">
      <x:c r="A2719" s="59" t="str">
        <x:v>RDOS_RADK_PIASKI_NOTICE_2025</x:v>
      </x:c>
      <x:c r="B2719" s="59" t="str">
        <x:v>data_format</x:v>
      </x:c>
      <x:c r="C2719" s="59" t="str">
        <x:v>[ "HTML" ]</x:v>
      </x:c>
    </x:row>
    <x:row r="2720" ht="38" customHeight="1">
      <x:c r="A2720" s="59" t="str">
        <x:v>RDOS_RADK_PIASKI_NOTICE_2025</x:v>
      </x:c>
      <x:c r="B2720" s="59" t="str">
        <x:v>verification_status</x:v>
      </x:c>
      <x:c r="C2720" s="59" t="str">
        <x:v>CONTENT_REVIEWED</x:v>
      </x:c>
    </x:row>
    <x:row r="2721" ht="38" customHeight="1">
      <x:c r="A2721" s="59" t="str">
        <x:v>RDOS_RADK_PIASKI_NOTICE_2025</x:v>
      </x:c>
      <x:c r="B2721" s="59" t="str">
        <x:v>reliability</x:v>
      </x:c>
      <x:c r="C2721" s="59" t="str">
        <x:v>C</x:v>
      </x:c>
    </x:row>
    <x:row r="2722" ht="38" customHeight="1">
      <x:c r="A2722" s="59" t="str">
        <x:v>RDOS_RADK_PIASKI_NOTICE_2025</x:v>
      </x:c>
      <x:c r="B2722" s="59" t="str">
        <x:v>key_fields</x:v>
      </x:c>
      <x:c r="C2722" s="59" t="str">
        <x:v>[ "znak obwieszczenia", "znak decyzji", "nazwa przedsięwzięcia", "data obwieszczenia", "data publikacji" ]</x:v>
      </x:c>
    </x:row>
    <x:row r="2723" ht="38" customHeight="1">
      <x:c r="A2723" s="59" t="str">
        <x:v>RDOS_RADK_PIASKI_NOTICE_2025</x:v>
      </x:c>
      <x:c r="B2723" s="59" t="str">
        <x:v>potential_application</x:v>
      </x:c>
      <x:c r="C2723" s="59" t="str">
        <x:v>Potwierdzenie publicznej informacji o decyzji środowiskowej dla przebudowy 220 kV</x:v>
      </x:c>
    </x:row>
    <x:row r="2724" ht="38" customHeight="1">
      <x:c r="A2724" s="59" t="str">
        <x:v>RDOS_RADK_PIASKI_NOTICE_2025</x:v>
      </x:c>
      <x:c r="B2724" s="59" t="str">
        <x:v>known_limitations</x:v>
      </x:c>
      <x:c r="C2724" s="59" t="str">
        <x:v>[ "Nie potwierdza prawomocności, uruchomienia ani obciążalności", "Nie utożsamiać całego zadania stacji z mostem" ]</x:v>
      </x:c>
    </x:row>
    <x:row r="2725" ht="38" customHeight="1">
      <x:c r="A2725" s="59" t="str">
        <x:v>RDOS_RADK_PIASKI_NOTICE_2025</x:v>
      </x:c>
      <x:c r="B2725" s="59" t="str">
        <x:v>priority</x:v>
      </x:c>
      <x:c r="C2725" s="59" t="str">
        <x:v>P0</x:v>
      </x:c>
    </x:row>
    <x:row r="2726" ht="94" customHeight="1">
      <x:c r="A2726" s="59" t="str">
        <x:v>RDOS_RADK_PIASKI_NOTICE_2025</x:v>
      </x:c>
      <x:c r="B2726" s="59" t="str">
        <x:v>evidence</x:v>
      </x:c>
      <x:c r="C2726" s="59" t="str">
        <x:v>[ { "source_id": "RDOS_RADK_PIASKI_NOTICE_2025", "url": "https://www.gov.pl/web/rdos-kielce/obwieszczenie-regionalnego-dyrektora-ochrony-srodowiska-w-kielcach-z-dnia-04122025-r-znak-woo-i42072025pjpp16", "retrieval_date": "2026-09-15T16:30:45.228667+00:00", "local_path": "data/raw/research/2026-09-15/rdos_radkowice_piaski_2025.html", "sha256": "2cf0a68fe83e34f8ef2cdc4db84effd24d8cfad2b4ff5583e5a733de8b71a7fb", "bytes": 22474, "content_type": [ "text/html;charset=UTF-8" ], "http_status": 200, "error": null, "manifest": "data/catalog/probe_results_radkowice_followup_2026-09-15.json" } ]</x:v>
      </x:c>
    </x:row>
    <x:row r="2727" ht="38" customHeight="1">
      <x:c r="A2727" s="59" t="str">
        <x:v>RDOS_RADK_PIASKI_NOTICE_2025</x:v>
      </x:c>
      <x:c r="B2727" s="59" t="str">
        <x:v>retrieval_date</x:v>
      </x:c>
      <x:c r="C2727" s="59" t="str">
        <x:v>[ "2026-09-15T16:30:45.228667+00:00" ]</x:v>
      </x:c>
    </x:row>
    <x:row r="2728" ht="38" customHeight="1">
      <x:c r="A2728" s="59" t="str">
        <x:v>RDOS_RADK_PIASKI_DECISION_2025</x:v>
      </x:c>
      <x:c r="B2728" s="59" t="str">
        <x:v>country</x:v>
      </x:c>
      <x:c r="C2728" s="59" t="str">
        <x:v>PL</x:v>
      </x:c>
    </x:row>
    <x:row r="2729" ht="38" customHeight="1">
      <x:c r="A2729" s="59" t="str">
        <x:v>RDOS_RADK_PIASKI_DECISION_2025</x:v>
      </x:c>
      <x:c r="B2729" s="59" t="str">
        <x:v>geographical_scope</x:v>
      </x:c>
      <x:c r="C2729" s="59" t="str">
        <x:v>Radkowice i opisane zadanie</x:v>
      </x:c>
    </x:row>
    <x:row r="2730" ht="38" customHeight="1">
      <x:c r="A2730" s="59" t="str">
        <x:v>RDOS_RADK_PIASKI_DECISION_2025</x:v>
      </x:c>
      <x:c r="B2730" s="59" t="str">
        <x:v>grid_voltage</x:v>
      </x:c>
      <x:c r="C2730" s="59" t="str">
        <x:v>[ "220 kV" ]</x:v>
      </x:c>
    </x:row>
    <x:row r="2731" ht="38" customHeight="1">
      <x:c r="A2731" s="59" t="str">
        <x:v>RDOS_RADK_PIASKI_DECISION_2025</x:v>
      </x:c>
      <x:c r="B2731" s="59" t="str">
        <x:v>api_available</x:v>
      </x:c>
      <x:c r="C2731" s="59" t="str">
        <x:v>UNKNOWN</x:v>
      </x:c>
    </x:row>
    <x:row r="2732" ht="38" customHeight="1">
      <x:c r="A2732" s="59" t="str">
        <x:v>RDOS_RADK_PIASKI_DECISION_2025</x:v>
      </x:c>
      <x:c r="B2732" s="59" t="str">
        <x:v>gis_available</x:v>
      </x:c>
      <x:c r="C2732" s="59" t="str">
        <x:v>UNKNOWN</x:v>
      </x:c>
    </x:row>
    <x:row r="2733" ht="38" customHeight="1">
      <x:c r="A2733" s="59" t="str">
        <x:v>RDOS_RADK_PIASKI_DECISION_2025</x:v>
      </x:c>
      <x:c r="B2733" s="59" t="str">
        <x:v>update_frequency</x:v>
      </x:c>
      <x:c r="C2733" s="59" t="str">
        <x:v>UNKNOWN — nie ustalono gwarantowanego cyklu publikacji.</x:v>
      </x:c>
    </x:row>
    <x:row r="2734" ht="38" customHeight="1">
      <x:c r="A2734" s="59" t="str">
        <x:v>RDOS_RADK_PIASKI_DECISION_2025</x:v>
      </x:c>
      <x:c r="B2734" s="59" t="str">
        <x:v>historical_data</x:v>
      </x:c>
      <x:c r="C2734" s="59" t="str">
        <x:v>UNKNOWN — własne snapshoty od 10.09.2026, jeśli zapisano próbkę.</x:v>
      </x:c>
    </x:row>
    <x:row r="2735" ht="38" customHeight="1">
      <x:c r="A2735" s="59" t="str">
        <x:v>RDOS_RADK_PIASKI_DECISION_2025</x:v>
      </x:c>
      <x:c r="B2735" s="59" t="str">
        <x:v>authentication</x:v>
      </x:c>
      <x:c r="C2735" s="59" t="str">
        <x:v>Pobrano publicznie bez konta; HTTP 200.</x:v>
      </x:c>
    </x:row>
    <x:row r="2736" ht="38" customHeight="1">
      <x:c r="A2736" s="59" t="str">
        <x:v>RDOS_RADK_PIASKI_DECISION_2025</x:v>
      </x:c>
      <x:c r="B2736" s="59" t="str">
        <x:v>license</x:v>
      </x:c>
      <x:c r="C2736" s="59" t="str">
        <x:v>Dokument urzędowy; zasady Gov.pl zweryfikowano, zakres praw do załącznika i materiałów osób trzecich wymaga odrębnej oceny.</x:v>
      </x:c>
    </x:row>
    <x:row r="2737" ht="38" customHeight="1">
      <x:c r="A2737" s="59" t="str">
        <x:v>RDOS_RADK_PIASKI_DECISION_2025</x:v>
      </x:c>
      <x:c r="B2737" s="59" t="str">
        <x:v>license_url</x:v>
      </x:c>
      <x:c r="C2737" s="59" t="str">
        <x:v>https://www.gov.pl/web/gov/prawa-autorskie</x:v>
      </x:c>
    </x:row>
    <x:row r="2738" ht="38" customHeight="1">
      <x:c r="A2738" s="59" t="str">
        <x:v>RDOS_RADK_PIASKI_DECISION_2025</x:v>
      </x:c>
      <x:c r="B2738" s="59" t="str">
        <x:v>commercial_use</x:v>
      </x:c>
      <x:c r="C2738" s="59" t="str">
        <x:v>REQUIRES_PERMISSION_REVIEW</x:v>
      </x:c>
    </x:row>
    <x:row r="2739" ht="38" customHeight="1">
      <x:c r="A2739" s="59" t="str">
        <x:v>RDOS_RADK_PIASKI_DECISION_2025</x:v>
      </x:c>
      <x:c r="B2739" s="59" t="str">
        <x:v>machine_readable</x:v>
      </x:c>
      <x:c r="C2739" s="59" t="str">
        <x:v>PARTIAL — tekst dokumentu wymaga walidacji kontekstu</x:v>
      </x:c>
    </x:row>
    <x:row r="2740" ht="38" customHeight="1">
      <x:c r="A2740" s="59" t="str">
        <x:v>RDOS_RADK_PIASKI_DECISION_2025</x:v>
      </x:c>
      <x:c r="B2740" s="59" t="str">
        <x:v>scraping_required</x:v>
      </x:c>
      <x:c r="C2740" s="59" t="str">
        <x:v>Pobranie PDF i ekstrakcja tekstu; walidacja kontekstu i numerów stron</x:v>
      </x:c>
    </x:row>
    <x:row r="2741" ht="38" customHeight="1">
      <x:c r="A2741" s="59" t="str">
        <x:v>RDOS_RADK_PIASKI_DECISION_2025</x:v>
      </x:c>
      <x:c r="B2741" s="59" t="str">
        <x:v>data_quality_score</x:v>
      </x:c>
      <x:c r="C2741" s="59" t="str">
        <x:v>UNKNOWN — nie ustalono</x:v>
      </x:c>
    </x:row>
    <x:row r="2742" ht="38" customHeight="1">
      <x:c r="A2742" s="59" t="str">
        <x:v>RDOS_RADK_PIASKI_DECISION_2025</x:v>
      </x:c>
      <x:c r="B2742" s="59" t="str">
        <x:v>quality_score_status</x:v>
      </x:c>
      <x:c r="C2742" s="59" t="str">
        <x:v>NOT_CALIBRATED — autorytet źródła nie jest procentem kompletności lub trafności.</x:v>
      </x:c>
    </x:row>
    <x:row r="2743" ht="38" customHeight="1">
      <x:c r="A2743" s="59" t="str">
        <x:v>RDOS_RADK_PIASKI_DECISION_2025</x:v>
      </x:c>
      <x:c r="B2743" s="59" t="str">
        <x:v>last_verified</x:v>
      </x:c>
      <x:c r="C2743" s="60" t="n">
        <x:v>46280</x:v>
      </x:c>
    </x:row>
    <x:row r="2744" ht="38" customHeight="1">
      <x:c r="A2744" s="59" t="str">
        <x:v>RDOS_RADK_PIASKI_DECISION_2025</x:v>
      </x:c>
      <x:c r="B2744" s="59" t="str">
        <x:v>last_successful_verification</x:v>
      </x:c>
      <x:c r="C2744" s="60" t="n">
        <x:v>46280</x:v>
      </x:c>
    </x:row>
    <x:row r="2745" ht="38" customHeight="1">
      <x:c r="A2745" s="59" t="str">
        <x:v>RDOS_RADK_PIASKI_DECISION_2025</x:v>
      </x:c>
      <x:c r="B2745" s="59" t="str">
        <x:v>source_date</x:v>
      </x:c>
      <x:c r="C2745" s="60" t="n">
        <x:v>45995</x:v>
      </x:c>
    </x:row>
    <x:row r="2746" ht="38" customHeight="1">
      <x:c r="A2746" s="59" t="str">
        <x:v>RDOS_RADK_PIASKI_DECISION_2025</x:v>
      </x:c>
      <x:c r="B2746" s="59" t="str">
        <x:v>publication_date</x:v>
      </x:c>
      <x:c r="C2746" s="59" t="str">
        <x:v>UNKNOWN — nie ustalono</x:v>
      </x:c>
    </x:row>
    <x:row r="2747" ht="38" customHeight="1">
      <x:c r="A2747" s="59" t="str">
        <x:v>RDOS_RADK_PIASKI_DECISION_2025</x:v>
      </x:c>
      <x:c r="B2747" s="59" t="str">
        <x:v>source_version</x:v>
      </x:c>
      <x:c r="C2747" s="59" t="str">
        <x:v>UNKNOWN — nie ustalono</x:v>
      </x:c>
    </x:row>
    <x:row r="2748" ht="38" customHeight="1">
      <x:c r="A2748" s="59" t="str">
        <x:v>RDOS_RADK_PIASKI_DECISION_2025</x:v>
      </x:c>
      <x:c r="B2748" s="59" t="str">
        <x:v>source_page</x:v>
      </x:c>
      <x:c r="C2748" s="59" t="str">
        <x:v>1: znak i data; 3: planowane przełączenie przęsła</x:v>
      </x:c>
    </x:row>
    <x:row r="2749" ht="38" customHeight="1">
      <x:c r="A2749" s="59" t="str">
        <x:v>RDOS_RADK_PIASKI_DECISION_2025</x:v>
      </x:c>
      <x:c r="B2749" s="59" t="str">
        <x:v>valid_from</x:v>
      </x:c>
      <x:c r="C2749" s="59" t="str">
        <x:v>UNKNOWN — nie ustalono</x:v>
      </x:c>
    </x:row>
    <x:row r="2750" ht="38" customHeight="1">
      <x:c r="A2750" s="59" t="str">
        <x:v>RDOS_RADK_PIASKI_DECISION_2025</x:v>
      </x:c>
      <x:c r="B2750" s="59" t="str">
        <x:v>valid_to</x:v>
      </x:c>
      <x:c r="C2750" s="59" t="str">
        <x:v>UNKNOWN — nie ustalono</x:v>
      </x:c>
    </x:row>
    <x:row r="2751" ht="38" customHeight="1">
      <x:c r="A2751" s="59" t="str">
        <x:v>RDOS_RADK_PIASKI_DECISION_2025</x:v>
      </x:c>
      <x:c r="B2751" s="59" t="str">
        <x:v>current_future_scope</x:v>
      </x:c>
      <x:c r="C2751" s="59" t="str">
        <x:v>SOURCE_DEPENDENT</x:v>
      </x:c>
    </x:row>
    <x:row r="2752" ht="38" customHeight="1">
      <x:c r="A2752" s="59" t="str">
        <x:v>RDOS_RADK_PIASKI_DECISION_2025</x:v>
      </x:c>
      <x:c r="B2752" s="59" t="str">
        <x:v>value_classification_default</x:v>
      </x:c>
      <x:c r="C2752" s="59" t="str">
        <x:v>REPORTED</x:v>
      </x:c>
    </x:row>
    <x:row r="2753" ht="38" customHeight="1">
      <x:c r="A2753" s="59" t="str">
        <x:v>RDOS_RADK_PIASKI_DECISION_2025</x:v>
      </x:c>
      <x:c r="B2753" s="59" t="str">
        <x:v>automation_notes</x:v>
      </x:c>
      <x:c r="C2753" s="59" t="str">
        <x:v>Jednorazowy snapshot z timeoutem i SHA-256. Nie ustalono API, limitów ani gwarantowanego cyklu; brak wdrożonej automatyzacji.</x:v>
      </x:c>
    </x:row>
    <x:row r="2754" ht="38" customHeight="1">
      <x:c r="A2754" s="59" t="str">
        <x:v>RDOS_RADK_PIASKI_DECISION_2025</x:v>
      </x:c>
      <x:c r="B2754" s="59" t="str">
        <x:v>probe_ids</x:v>
      </x:c>
      <x:c r="C2754" s="59" t="str">
        <x:v>[ "RDOS_RADK_PIASKI_DECISION_2025" ]</x:v>
      </x:c>
    </x:row>
    <x:row r="2755" ht="38" customHeight="1">
      <x:c r="A2755" s="59" t="str">
        <x:v>RDOS_RADK_PIASKI_DECISION_2025</x:v>
      </x:c>
      <x:c r="B2755" s="59" t="str">
        <x:v>related_urls</x:v>
      </x:c>
      <x:c r="C2755" s="59" t="str">
        <x:v>[]</x:v>
      </x:c>
    </x:row>
    <x:row r="2756" ht="38" customHeight="1">
      <x:c r="A2756" s="59" t="str">
        <x:v>RDOS_RADK_PIASKI_DECISION_2025</x:v>
      </x:c>
      <x:c r="B2756" s="59" t="str">
        <x:v>source_id</x:v>
      </x:c>
      <x:c r="C2756" s="59" t="str">
        <x:v>RDOS_RADK_PIASKI_DECISION_2025</x:v>
      </x:c>
    </x:row>
    <x:row r="2757" ht="38" customHeight="1">
      <x:c r="A2757" s="59" t="str">
        <x:v>RDOS_RADK_PIASKI_DECISION_2025</x:v>
      </x:c>
      <x:c r="B2757" s="59" t="str">
        <x:v>operator</x:v>
      </x:c>
      <x:c r="C2757" s="59" t="str">
        <x:v>RDOŚ Kielce</x:v>
      </x:c>
    </x:row>
    <x:row r="2758" ht="38" customHeight="1">
      <x:c r="A2758" s="59" t="str">
        <x:v>RDOS_RADK_PIASKI_DECISION_2025</x:v>
      </x:c>
      <x:c r="B2758" s="59" t="str">
        <x:v>source_name</x:v>
      </x:c>
      <x:c r="C2758" s="59" t="str">
        <x:v>RDOŚ Kielce — pełna decyzja dla przebudowy linii Radkowice–Kielce Piaski</x:v>
      </x:c>
    </x:row>
    <x:row r="2759" ht="38" customHeight="1">
      <x:c r="A2759" s="59" t="str">
        <x:v>RDOS_RADK_PIASKI_DECISION_2025</x:v>
      </x:c>
      <x:c r="B2759" s="59" t="str">
        <x:v>url</x:v>
      </x:c>
      <x:c r="C2759" s="59" t="str">
        <x:v>https://www.gov.pl/attachment/27ef7a8e-5094-4391-be1c-7e23cb1038b2</x:v>
      </x:c>
    </x:row>
    <x:row r="2760" ht="38" customHeight="1">
      <x:c r="A2760" s="59" t="str">
        <x:v>RDOS_RADK_PIASKI_DECISION_2025</x:v>
      </x:c>
      <x:c r="B2760" s="59" t="str">
        <x:v>data_owner</x:v>
      </x:c>
      <x:c r="C2760" s="59" t="str">
        <x:v>RDOŚ Kielce</x:v>
      </x:c>
    </x:row>
    <x:row r="2761" ht="38" customHeight="1">
      <x:c r="A2761" s="59" t="str">
        <x:v>RDOS_RADK_PIASKI_DECISION_2025</x:v>
      </x:c>
      <x:c r="B2761" s="59" t="str">
        <x:v>data_category</x:v>
      </x:c>
      <x:c r="C2761" s="59" t="str">
        <x:v>grid_investments</x:v>
      </x:c>
    </x:row>
    <x:row r="2762" ht="38" customHeight="1">
      <x:c r="A2762" s="59" t="str">
        <x:v>RDOS_RADK_PIASKI_DECISION_2025</x:v>
      </x:c>
      <x:c r="B2762" s="59" t="str">
        <x:v>data_format</x:v>
      </x:c>
      <x:c r="C2762" s="59" t="str">
        <x:v>[ "PDF" ]</x:v>
      </x:c>
    </x:row>
    <x:row r="2763" ht="38" customHeight="1">
      <x:c r="A2763" s="59" t="str">
        <x:v>RDOS_RADK_PIASKI_DECISION_2025</x:v>
      </x:c>
      <x:c r="B2763" s="59" t="str">
        <x:v>verification_status</x:v>
      </x:c>
      <x:c r="C2763" s="59" t="str">
        <x:v>CONTENT_REVIEWED</x:v>
      </x:c>
    </x:row>
    <x:row r="2764" ht="38" customHeight="1">
      <x:c r="A2764" s="59" t="str">
        <x:v>RDOS_RADK_PIASKI_DECISION_2025</x:v>
      </x:c>
      <x:c r="B2764" s="59" t="str">
        <x:v>reliability</x:v>
      </x:c>
      <x:c r="C2764" s="59" t="str">
        <x:v>C</x:v>
      </x:c>
    </x:row>
    <x:row r="2765" ht="38" customHeight="1">
      <x:c r="A2765" s="59" t="str">
        <x:v>RDOS_RADK_PIASKI_DECISION_2025</x:v>
      </x:c>
      <x:c r="B2765" s="59" t="str">
        <x:v>key_fields</x:v>
      </x:c>
      <x:c r="C2765" s="59" t="str">
        <x:v>[ "znak decyzji", "data decyzji", "słup 81", "dotychczasowe pole 8", "projektowane pole 6", "około 60 m — tylko przebudowywane przęsło" ]</x:v>
      </x:c>
    </x:row>
    <x:row r="2766" ht="38" customHeight="1">
      <x:c r="A2766" s="59" t="str">
        <x:v>RDOS_RADK_PIASKI_DECISION_2025</x:v>
      </x:c>
      <x:c r="B2766" s="59" t="str">
        <x:v>potential_application</x:v>
      </x:c>
      <x:c r="C2766" s="59" t="str">
        <x:v>Dokumentacyjna topologia przyszła, rozdzielona od stanu aktualnego i mostu</x:v>
      </x:c>
    </x:row>
    <x:row r="2767" ht="38" customHeight="1">
      <x:c r="A2767" s="59" t="str">
        <x:v>RDOS_RADK_PIASKI_DECISION_2025</x:v>
      </x:c>
      <x:c r="B2767" s="59" t="str">
        <x:v>known_limitations</x:v>
      </x:c>
      <x:c r="C2767" s="59" t="str">
        <x:v>[ "Plan przebudowy, nie potwierdzenie wykonania ani prawomocności", "60 m nie oznacza długości całej linii", "Nie potwierdza parametrów mostu, jego obsadzenia ani dostępnych MW" ]</x:v>
      </x:c>
    </x:row>
    <x:row r="2768" ht="38" customHeight="1">
      <x:c r="A2768" s="59" t="str">
        <x:v>RDOS_RADK_PIASKI_DECISION_2025</x:v>
      </x:c>
      <x:c r="B2768" s="59" t="str">
        <x:v>priority</x:v>
      </x:c>
      <x:c r="C2768" s="59" t="str">
        <x:v>P0</x:v>
      </x:c>
    </x:row>
    <x:row r="2769" ht="80" customHeight="1">
      <x:c r="A2769" s="59" t="str">
        <x:v>RDOS_RADK_PIASKI_DECISION_2025</x:v>
      </x:c>
      <x:c r="B2769" s="59" t="str">
        <x:v>evidence</x:v>
      </x:c>
      <x:c r="C2769" s="59" t="str">
        <x:v>[ { "source_id": "RDOS_RADK_PIASKI_DECISION_2025", "url": "https://www.gov.pl/attachment/27ef7a8e-5094-4391-be1c-7e23cb1038b2", "retrieval_date": "2026-09-15T16:42:41.935208+00:00", "local_path": "data/raw/research/2026-09-15/rdos_radkowice_piaski_decision_2025.pdf", "sha256": "88d830c00d1b982094174c69e6018ae2e4ab4bc23e80afd1fd5c88b178ad4b3d", "bytes": 583447, "content_type": [ "application/pdf" ], "http_status": 200, "error": null, "manifest": "data/catalog/probe_results_radkowice_decision_2026-09-15.json" } ]</x:v>
      </x:c>
    </x:row>
    <x:row r="2770" ht="38" customHeight="1">
      <x:c r="A2770" s="59" t="str">
        <x:v>RDOS_RADK_PIASKI_DECISION_2025</x:v>
      </x:c>
      <x:c r="B2770" s="59" t="str">
        <x:v>retrieval_date</x:v>
      </x:c>
      <x:c r="C2770" s="59" t="str">
        <x:v>[ "2026-09-15T16:42:41.935208+00:00" ]</x:v>
      </x:c>
    </x:row>
    <x:row r="2771" ht="30" customHeight="1">
      <x:c r="A2771" s="59" t="str">
        <x:v>PSE_IMPACT_REPORT_2023</x:v>
      </x:c>
      <x:c r="B2771" s="59" t="str">
        <x:v>country</x:v>
      </x:c>
      <x:c r="C2771" s="59" t="str">
        <x:v>PL</x:v>
      </x:c>
    </x:row>
    <x:row r="2772" ht="30" customHeight="1">
      <x:c r="A2772" s="59" t="str">
        <x:v>PSE_IMPACT_REPORT_2023</x:v>
      </x:c>
      <x:c r="B2772" s="59" t="str">
        <x:v>geographical_scope</x:v>
      </x:c>
      <x:c r="C2772" s="59" t="str">
        <x:v>Polska; sprawdzona wzmianka o Radkowicach</x:v>
      </x:c>
    </x:row>
    <x:row r="2773" ht="30" customHeight="1">
      <x:c r="A2773" s="59" t="str">
        <x:v>PSE_IMPACT_REPORT_2023</x:v>
      </x:c>
      <x:c r="B2773" s="59" t="str">
        <x:v>grid_voltage</x:v>
      </x:c>
      <x:c r="C2773" s="59" t="str">
        <x:v>[ "220 kV", "110 kV" ]</x:v>
      </x:c>
    </x:row>
    <x:row r="2774" ht="30" customHeight="1">
      <x:c r="A2774" s="59" t="str">
        <x:v>PSE_IMPACT_REPORT_2023</x:v>
      </x:c>
      <x:c r="B2774" s="59" t="str">
        <x:v>api_available</x:v>
      </x:c>
      <x:c r="C2774" s="59" t="str">
        <x:v>UNKNOWN</x:v>
      </x:c>
    </x:row>
    <x:row r="2775" ht="30" customHeight="1">
      <x:c r="A2775" s="59" t="str">
        <x:v>PSE_IMPACT_REPORT_2023</x:v>
      </x:c>
      <x:c r="B2775" s="59" t="str">
        <x:v>gis_available</x:v>
      </x:c>
      <x:c r="C2775" s="59" t="str">
        <x:v>UNKNOWN</x:v>
      </x:c>
    </x:row>
    <x:row r="2776" ht="30" customHeight="1">
      <x:c r="A2776" s="59" t="str">
        <x:v>PSE_IMPACT_REPORT_2023</x:v>
      </x:c>
      <x:c r="B2776" s="59" t="str">
        <x:v>update_frequency</x:v>
      </x:c>
      <x:c r="C2776" s="59" t="str">
        <x:v>Raport roczny; brak zweryfikowanej gwarancji terminu publikacji.</x:v>
      </x:c>
    </x:row>
    <x:row r="2777" ht="30" customHeight="1">
      <x:c r="A2777" s="59" t="str">
        <x:v>PSE_IMPACT_REPORT_2023</x:v>
      </x:c>
      <x:c r="B2777" s="59" t="str">
        <x:v>historical_data</x:v>
      </x:c>
      <x:c r="C2777" s="59" t="str">
        <x:v>UNKNOWN — własne snapshoty od 10.09.2026, jeśli zapisano próbkę.</x:v>
      </x:c>
    </x:row>
    <x:row r="2778" ht="30" customHeight="1">
      <x:c r="A2778" s="59" t="str">
        <x:v>PSE_IMPACT_REPORT_2023</x:v>
      </x:c>
      <x:c r="B2778" s="59" t="str">
        <x:v>authentication</x:v>
      </x:c>
      <x:c r="C2778" s="59" t="str">
        <x:v>Publiczny PDF pobrany bez konta, HTTP 200.</x:v>
      </x:c>
    </x:row>
    <x:row r="2779" ht="30" customHeight="1">
      <x:c r="A2779" s="59" t="str">
        <x:v>PSE_IMPACT_REPORT_2023</x:v>
      </x:c>
      <x:c r="B2779" s="59" t="str">
        <x:v>license</x:v>
      </x:c>
      <x:c r="C2779" s="59" t="str">
        <x:v>UNKNOWN — nie potwierdzono otwartej licencji raportu ani prawa do jego redystrybucji.</x:v>
      </x:c>
    </x:row>
    <x:row r="2780" ht="30" customHeight="1">
      <x:c r="A2780" s="59" t="str">
        <x:v>PSE_IMPACT_REPORT_2023</x:v>
      </x:c>
      <x:c r="B2780" s="59" t="str">
        <x:v>license_url</x:v>
      </x:c>
      <x:c r="C2780" s="59" t="str">
        <x:v>UNKNOWN — nie ustalono</x:v>
      </x:c>
    </x:row>
    <x:row r="2781" ht="30" customHeight="1">
      <x:c r="A2781" s="59" t="str">
        <x:v>PSE_IMPACT_REPORT_2023</x:v>
      </x:c>
      <x:c r="B2781" s="59" t="str">
        <x:v>commercial_use</x:v>
      </x:c>
      <x:c r="C2781" s="59" t="str">
        <x:v>UNKNOWN</x:v>
      </x:c>
    </x:row>
    <x:row r="2782" ht="30" customHeight="1">
      <x:c r="A2782" s="59" t="str">
        <x:v>PSE_IMPACT_REPORT_2023</x:v>
      </x:c>
      <x:c r="B2782" s="59" t="str">
        <x:v>machine_readable</x:v>
      </x:c>
      <x:c r="C2782" s="59" t="str">
        <x:v>PARTIAL — tekst PDF; kontekst listy na poprzedniej stronie</x:v>
      </x:c>
    </x:row>
    <x:row r="2783" ht="30" customHeight="1">
      <x:c r="A2783" s="59" t="str">
        <x:v>PSE_IMPACT_REPORT_2023</x:v>
      </x:c>
      <x:c r="B2783" s="59" t="str">
        <x:v>scraping_required</x:v>
      </x:c>
      <x:c r="C2783" s="59" t="str">
        <x:v>Pobranie oficjalnego PDF, bez scrapingu HTML</x:v>
      </x:c>
    </x:row>
    <x:row r="2784" ht="30" customHeight="1">
      <x:c r="A2784" s="59" t="str">
        <x:v>PSE_IMPACT_REPORT_2023</x:v>
      </x:c>
      <x:c r="B2784" s="59" t="str">
        <x:v>data_quality_score</x:v>
      </x:c>
      <x:c r="C2784" s="59" t="str">
        <x:v>UNKNOWN — nie ustalono</x:v>
      </x:c>
    </x:row>
    <x:row r="2785" ht="30" customHeight="1">
      <x:c r="A2785" s="59" t="str">
        <x:v>PSE_IMPACT_REPORT_2023</x:v>
      </x:c>
      <x:c r="B2785" s="59" t="str">
        <x:v>quality_score_status</x:v>
      </x:c>
      <x:c r="C2785" s="59" t="str">
        <x:v>NOT_CALIBRATED — autorytet źródła nie jest procentem kompletności lub trafności.</x:v>
      </x:c>
    </x:row>
    <x:row r="2786" ht="30" customHeight="1">
      <x:c r="A2786" s="59" t="str">
        <x:v>PSE_IMPACT_REPORT_2023</x:v>
      </x:c>
      <x:c r="B2786" s="59" t="str">
        <x:v>last_verified</x:v>
      </x:c>
      <x:c r="C2786" s="60" t="n">
        <x:v>46282</x:v>
      </x:c>
    </x:row>
    <x:row r="2787" ht="30" customHeight="1">
      <x:c r="A2787" s="59" t="str">
        <x:v>PSE_IMPACT_REPORT_2023</x:v>
      </x:c>
      <x:c r="B2787" s="59" t="str">
        <x:v>last_successful_verification</x:v>
      </x:c>
      <x:c r="C2787" s="60" t="n">
        <x:v>46282</x:v>
      </x:c>
    </x:row>
    <x:row r="2788" ht="30" customHeight="1">
      <x:c r="A2788" s="59" t="str">
        <x:v>PSE_IMPACT_REPORT_2023</x:v>
      </x:c>
      <x:c r="B2788" s="59" t="str">
        <x:v>source_date</x:v>
      </x:c>
      <x:c r="C2788" s="59" t="str">
        <x:v>UNKNOWN — nie ustalono</x:v>
      </x:c>
    </x:row>
    <x:row r="2789" ht="30" customHeight="1">
      <x:c r="A2789" s="59" t="str">
        <x:v>PSE_IMPACT_REPORT_2023</x:v>
      </x:c>
      <x:c r="B2789" s="59" t="str">
        <x:v>publication_date</x:v>
      </x:c>
      <x:c r="C2789" s="59" t="str">
        <x:v>UNKNOWN — nie ustalono</x:v>
      </x:c>
    </x:row>
    <x:row r="2790" ht="30" customHeight="1">
      <x:c r="A2790" s="59" t="str">
        <x:v>PSE_IMPACT_REPORT_2023</x:v>
      </x:c>
      <x:c r="B2790" s="59" t="str">
        <x:v>source_version</x:v>
      </x:c>
      <x:c r="C2790" s="59" t="str">
        <x:v>Edycja 2024; rok raportowany 2023</x:v>
      </x:c>
    </x:row>
    <x:row r="2791" ht="30" customHeight="1">
      <x:c r="A2791" s="59" t="str">
        <x:v>PSE_IMPACT_REPORT_2023</x:v>
      </x:c>
      <x:c r="B2791" s="59" t="str">
        <x:v>source_page</x:v>
      </x:c>
      <x:c r="C2791" s="59" t="str">
        <x:v>47–48</x:v>
      </x:c>
    </x:row>
    <x:row r="2792" ht="30" customHeight="1">
      <x:c r="A2792" s="59" t="str">
        <x:v>PSE_IMPACT_REPORT_2023</x:v>
      </x:c>
      <x:c r="B2792" s="59" t="str">
        <x:v>valid_from</x:v>
      </x:c>
      <x:c r="C2792" s="59" t="str">
        <x:v>UNKNOWN — nie ustalono</x:v>
      </x:c>
    </x:row>
    <x:row r="2793" ht="30" customHeight="1">
      <x:c r="A2793" s="59" t="str">
        <x:v>PSE_IMPACT_REPORT_2023</x:v>
      </x:c>
      <x:c r="B2793" s="59" t="str">
        <x:v>valid_to</x:v>
      </x:c>
      <x:c r="C2793" s="59" t="str">
        <x:v>UNKNOWN — nie ustalono</x:v>
      </x:c>
    </x:row>
    <x:row r="2794" ht="30" customHeight="1">
      <x:c r="A2794" s="59" t="str">
        <x:v>PSE_IMPACT_REPORT_2023</x:v>
      </x:c>
      <x:c r="B2794" s="59" t="str">
        <x:v>current_future_scope</x:v>
      </x:c>
      <x:c r="C2794" s="59" t="str">
        <x:v>SOURCE_DEPENDENT</x:v>
      </x:c>
    </x:row>
    <x:row r="2795" ht="30" customHeight="1">
      <x:c r="A2795" s="59" t="str">
        <x:v>PSE_IMPACT_REPORT_2023</x:v>
      </x:c>
      <x:c r="B2795" s="59" t="str">
        <x:v>value_classification_default</x:v>
      </x:c>
      <x:c r="C2795" s="59" t="str">
        <x:v>REPORTED</x:v>
      </x:c>
    </x:row>
    <x:row r="2796" ht="30" customHeight="1">
      <x:c r="A2796" s="59" t="str">
        <x:v>PSE_IMPACT_REPORT_2023</x:v>
      </x:c>
      <x:c r="B2796" s="59" t="str">
        <x:v>automation_notes</x:v>
      </x:c>
      <x:c r="C2796" s="59" t="str">
        <x:v>Jednorazowy GET, timeout, zachowane bajty i SHA-256. API/GIS dla tego raportu nie ustalono.</x:v>
      </x:c>
    </x:row>
    <x:row r="2797" ht="30" customHeight="1">
      <x:c r="A2797" s="59" t="str">
        <x:v>PSE_IMPACT_REPORT_2023</x:v>
      </x:c>
      <x:c r="B2797" s="59" t="str">
        <x:v>probe_ids</x:v>
      </x:c>
      <x:c r="C2797" s="59" t="str">
        <x:v>[ "PSE_IMPACT_REPORT_2023" ]</x:v>
      </x:c>
    </x:row>
    <x:row r="2798" ht="30" customHeight="1">
      <x:c r="A2798" s="59" t="str">
        <x:v>PSE_IMPACT_REPORT_2023</x:v>
      </x:c>
      <x:c r="B2798" s="59" t="str">
        <x:v>related_urls</x:v>
      </x:c>
      <x:c r="C2798" s="59" t="str">
        <x:v>[]</x:v>
      </x:c>
    </x:row>
    <x:row r="2799" ht="30" customHeight="1">
      <x:c r="A2799" s="59" t="str">
        <x:v>PSE_IMPACT_REPORT_2023</x:v>
      </x:c>
      <x:c r="B2799" s="59" t="str">
        <x:v>source_id</x:v>
      </x:c>
      <x:c r="C2799" s="59" t="str">
        <x:v>PSE_IMPACT_REPORT_2023</x:v>
      </x:c>
    </x:row>
    <x:row r="2800" ht="30" customHeight="1">
      <x:c r="A2800" s="59" t="str">
        <x:v>PSE_IMPACT_REPORT_2023</x:v>
      </x:c>
      <x:c r="B2800" s="59" t="str">
        <x:v>operator</x:v>
      </x:c>
      <x:c r="C2800" s="59" t="str">
        <x:v>PSE</x:v>
      </x:c>
    </x:row>
    <x:row r="2801" ht="30" customHeight="1">
      <x:c r="A2801" s="59" t="str">
        <x:v>PSE_IMPACT_REPORT_2023</x:v>
      </x:c>
      <x:c r="B2801" s="59" t="str">
        <x:v>source_name</x:v>
      </x:c>
      <x:c r="C2801" s="59" t="str">
        <x:v>PSE — raport wpływu za 2023 rok, edycja 2024</x:v>
      </x:c>
    </x:row>
    <x:row r="2802" ht="30" customHeight="1">
      <x:c r="A2802" s="59" t="str">
        <x:v>PSE_IMPACT_REPORT_2023</x:v>
      </x:c>
      <x:c r="B2802" s="59" t="str">
        <x:v>url</x:v>
      </x:c>
      <x:c r="C2802" s="59" t="str">
        <x:v>https://api-raport.pse.pl/uploads/PSE-Zintegrowany_Raport_Wplywu_2023.pdf</x:v>
      </x:c>
    </x:row>
    <x:row r="2803" ht="30" customHeight="1">
      <x:c r="A2803" s="59" t="str">
        <x:v>PSE_IMPACT_REPORT_2023</x:v>
      </x:c>
      <x:c r="B2803" s="59" t="str">
        <x:v>data_owner</x:v>
      </x:c>
      <x:c r="C2803" s="59" t="str">
        <x:v>PSE S.A.</x:v>
      </x:c>
    </x:row>
    <x:row r="2804" ht="30" customHeight="1">
      <x:c r="A2804" s="59" t="str">
        <x:v>PSE_IMPACT_REPORT_2023</x:v>
      </x:c>
      <x:c r="B2804" s="59" t="str">
        <x:v>data_category</x:v>
      </x:c>
      <x:c r="C2804" s="59" t="str">
        <x:v>grid_investments</x:v>
      </x:c>
    </x:row>
    <x:row r="2805" ht="30" customHeight="1">
      <x:c r="A2805" s="59" t="str">
        <x:v>PSE_IMPACT_REPORT_2023</x:v>
      </x:c>
      <x:c r="B2805" s="59" t="str">
        <x:v>data_format</x:v>
      </x:c>
      <x:c r="C2805" s="59" t="str">
        <x:v>[ "PDF" ]</x:v>
      </x:c>
    </x:row>
    <x:row r="2806" ht="30" customHeight="1">
      <x:c r="A2806" s="59" t="str">
        <x:v>PSE_IMPACT_REPORT_2023</x:v>
      </x:c>
      <x:c r="B2806" s="59" t="str">
        <x:v>verification_status</x:v>
      </x:c>
      <x:c r="C2806" s="59" t="str">
        <x:v>CONTENT_REVIEWED</x:v>
      </x:c>
    </x:row>
    <x:row r="2807" ht="30" customHeight="1">
      <x:c r="A2807" s="59" t="str">
        <x:v>PSE_IMPACT_REPORT_2023</x:v>
      </x:c>
      <x:c r="B2807" s="59" t="str">
        <x:v>reliability</x:v>
      </x:c>
      <x:c r="C2807" s="59" t="str">
        <x:v>B</x:v>
      </x:c>
    </x:row>
    <x:row r="2808" ht="30" customHeight="1">
      <x:c r="A2808" s="59" t="str">
        <x:v>PSE_IMPACT_REPORT_2023</x:v>
      </x:c>
      <x:c r="B2808" s="59" t="str">
        <x:v>key_fields</x:v>
      </x:c>
      <x:c r="C2808" s="59" t="str">
        <x:v>[ "rok raportowany", "zakończone zadania", "nazwa inwestycji" ]</x:v>
      </x:c>
    </x:row>
    <x:row r="2809" ht="30" customHeight="1">
      <x:c r="A2809" s="59" t="str">
        <x:v>PSE_IMPACT_REPORT_2023</x:v>
      </x:c>
      <x:c r="B2809" s="59" t="str">
        <x:v>potential_application</x:v>
      </x:c>
      <x:c r="C2809" s="59" t="str">
        <x:v>Porównanie historycznych deklaracji wykonania inwestycji</x:v>
      </x:c>
    </x:row>
    <x:row r="2810" ht="52" customHeight="1">
      <x:c r="A2810" s="59" t="str">
        <x:v>PSE_IMPACT_REPORT_2023</x:v>
      </x:c>
      <x:c r="B2810" s="59" t="str">
        <x:v>known_limitations</x:v>
      </x:c>
      <x:c r="C2810" s="59" t="str">
        <x:v>[ "Rok wymiany transformatora wymaga wyjaśnienia wobec portalu inwestycji wskazującego 2025.", "Podobna nazwa nie ustala identyczności zakresu; brak numeru jednostki i mocy MVA.", "Sprawdzono wskazany fragment, nie wszystkie 291 stron." ]</x:v>
      </x:c>
    </x:row>
    <x:row r="2811" ht="30" customHeight="1">
      <x:c r="A2811" s="59" t="str">
        <x:v>PSE_IMPACT_REPORT_2023</x:v>
      </x:c>
      <x:c r="B2811" s="59" t="str">
        <x:v>priority</x:v>
      </x:c>
      <x:c r="C2811" s="59" t="str">
        <x:v>P0</x:v>
      </x:c>
    </x:row>
    <x:row r="2812" ht="80" customHeight="1">
      <x:c r="A2812" s="59" t="str">
        <x:v>PSE_IMPACT_REPORT_2023</x:v>
      </x:c>
      <x:c r="B2812" s="59" t="str">
        <x:v>evidence</x:v>
      </x:c>
      <x:c r="C2812" s="59" t="str">
        <x:v>[ { "source_id": "PSE_IMPACT_REPORT_2023", "url": "https://api-raport.pse.pl/uploads/PSE-Zintegrowany_Raport_Wplywu_2023.pdf", "retrieval_date": "2026-09-17T06:40:16.437810+00:00", "local_path": "data/raw/research/2026-09-17/pse_impact_report_2023.pdf", "sha256": "13c8c0785f12291fe50be09b089f6c4111d8f0f0e593de7adcb3dab4fe22ab19", "bytes": 7334874, "content_type": [ "application/pdf" ], "http_status": 200, "error": null, "manifest": "data/catalog/probe_results_radkowice_investment_dates_2026-09-17.json" } ]</x:v>
      </x:c>
    </x:row>
    <x:row r="2813" ht="30" customHeight="1">
      <x:c r="A2813" s="59" t="str">
        <x:v>PSE_IMPACT_REPORT_2023</x:v>
      </x:c>
      <x:c r="B2813" s="59" t="str">
        <x:v>retrieval_date</x:v>
      </x:c>
      <x:c r="C2813" s="59" t="str">
        <x:v>[ "2026-09-17T06:40:16.437810+00:00" ]</x:v>
      </x:c>
    </x:row>
  </x:sheetData>
  <x:pageMargins left="0.7" right="0.7" top="0.75" bottom="0.75" header="0.3" footer="0.3"/>
  <x:tableParts count="1">
    <x:tablePart xmlns:r="http://schemas.openxmlformats.org/officeDocument/2006/relationships" r:id="R6a0a4d0826374767"/>
  </x:tableParts>
</x:worksheet>
</file>

<file path=xl/worksheets/sheet8.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0" hidden="0" customWidth="1"/>
    <x:col min="2" max="2" width="28" hidden="0" customWidth="1"/>
    <x:col min="3" max="3" width="32" hidden="0" customWidth="1"/>
    <x:col min="4" max="4" width="100" hidden="0" customWidth="1"/>
    <x:col min="5" max="5" width="75" hidden="0" customWidth="1"/>
  </x:cols>
  <x:sheetData>
    <x:row r="1">
      <x:c r="A1" s="49"/>
      <x:c r="B1" s="49"/>
      <x:c r="C1" s="49"/>
      <x:c r="D1" s="49"/>
      <x:c r="E1" s="49"/>
    </x:row>
    <x:row r="2" ht="30" customHeight="1">
      <x:c r="A2" s="50" t="str">
        <x:v>Ograniczenia wymagające dalszej pracy</x:v>
      </x:c>
      <x:c r="B2" s="49"/>
      <x:c r="C2" s="49"/>
      <x:c r="D2" s="49"/>
      <x:c r="E2" s="49"/>
    </x:row>
    <x:row r="3">
      <x:c r="A3" s="51"/>
      <x:c r="B3" s="51"/>
      <x:c r="C3" s="51"/>
      <x:c r="D3" s="51"/>
      <x:c r="E3" s="51"/>
    </x:row>
    <x:row r="4">
      <x:c r="A4" s="52" t="str">
        <x:v>Jedno źródło może mieć kilka różnych ograniczeń. Liczba wierszy nie jest liczbą unikalnych źródeł.</x:v>
      </x:c>
      <x:c r="B4" s="49"/>
      <x:c r="C4" s="49"/>
      <x:c r="D4" s="49"/>
      <x:c r="E4" s="49"/>
    </x:row>
    <x:row r="5">
      <x:c r="A5" s="49"/>
      <x:c r="B5" s="49"/>
      <x:c r="C5" s="49"/>
      <x:c r="D5" s="49"/>
      <x:c r="E5" s="49"/>
    </x:row>
    <x:row r="6" ht="34" customHeight="1">
      <x:c r="A6" s="58" t="str">
        <x:v>ID</x:v>
      </x:c>
      <x:c r="B6" s="58" t="str">
        <x:v>Obszar</x:v>
      </x:c>
      <x:c r="C6" s="58" t="str">
        <x:v>Stan</x:v>
      </x:c>
      <x:c r="D6" s="58" t="str">
        <x:v>Wyjaśnienie</x:v>
      </x:c>
      <x:c r="E6" s="58" t="str">
        <x:v>Dalsze działanie</x:v>
      </x:c>
    </x:row>
    <x:row r="7" ht="30" customHeight="1">
      <x:c r="A7" s="59" t="str">
        <x:v>PSE_API</x:v>
      </x:c>
      <x:c r="B7" s="59" t="str">
        <x:v>Prawa do wykorzystania</x:v>
      </x:c>
      <x:c r="C7" s="59" t="str">
        <x:v>UNKNOWN</x:v>
      </x:c>
      <x:c r="D7" s="59" t="str">
        <x:v>UNKNOWN — nie potwierdzono ogólnej licencji ponownego wykorzystania wszystkich serii.</x:v>
      </x:c>
      <x:c r="E7" s="59" t="str">
        <x:v>Wyjaśnić zakres przed produkcyjnym użyciem.</x:v>
      </x:c>
    </x:row>
    <x:row r="8" ht="30" customHeight="1">
      <x:c r="A8" s="59" t="str">
        <x:v>PSE_PIPELINE</x:v>
      </x:c>
      <x:c r="B8" s="59" t="str">
        <x:v>Prawa do wykorzystania</x:v>
      </x:c>
      <x:c r="C8" s="59" t="str">
        <x:v>UNKNOWN</x:v>
      </x:c>
      <x:c r="D8" s="59" t="str">
        <x:v>UNKNOWN — nie potwierdzono otwartej licencji wybranego zbioru.</x:v>
      </x:c>
      <x:c r="E8" s="59" t="str">
        <x:v>Wyjaśnić zakres przed produkcyjnym użyciem.</x:v>
      </x:c>
    </x:row>
    <x:row r="9" ht="30" customHeight="1">
      <x:c r="A9" s="59" t="str">
        <x:v>PSE_CAPACITY</x:v>
      </x:c>
      <x:c r="B9" s="59" t="str">
        <x:v>Prawa do wykorzystania</x:v>
      </x:c>
      <x:c r="C9" s="59" t="str">
        <x:v>UNKNOWN</x:v>
      </x:c>
      <x:c r="D9" s="59" t="str">
        <x:v>UNKNOWN — nie potwierdzono otwartej licencji wybranego zbioru.</x:v>
      </x:c>
      <x:c r="E9" s="59" t="str">
        <x:v>Wyjaśnić zakres przed produkcyjnym użyciem.</x:v>
      </x:c>
    </x:row>
    <x:row r="10" ht="30" customHeight="1">
      <x:c r="A10" s="59" t="str">
        <x:v>PSE_PLAN</x:v>
      </x:c>
      <x:c r="B10" s="59" t="str">
        <x:v>Prawa do wykorzystania</x:v>
      </x:c>
      <x:c r="C10" s="59" t="str">
        <x:v>UNKNOWN</x:v>
      </x:c>
      <x:c r="D10" s="59" t="str">
        <x:v>UNKNOWN — nie potwierdzono otwartej licencji wybranego zbioru.</x:v>
      </x:c>
      <x:c r="E10" s="59" t="str">
        <x:v>Wyjaśnić zakres przed produkcyjnym użyciem.</x:v>
      </x:c>
    </x:row>
    <x:row r="11" ht="38" customHeight="1">
      <x:c r="A11" s="59" t="str">
        <x:v>PSE_STRUCT_B2B</x:v>
      </x:c>
      <x:c r="B11" s="59" t="str">
        <x:v>Dostęp / treść</x:v>
      </x:c>
      <x:c r="C11" s="59" t="str">
        <x:v>DISCOVERED</x:v>
      </x:c>
      <x:c r="D11" s="59" t="str">
        <x:v>Nie potwierdzono anonimowego dostępu do danych; dokumentacja B2B nie oznacza otwartego API topologii. Bezpośredni odczyt dokumentacji nie powiódł się.</x:v>
      </x:c>
      <x:c r="E11" s="59" t="str">
        <x:v>Utrzymać oznaczenie do udanego odczytu.</x:v>
      </x:c>
    </x:row>
    <x:row r="12" ht="30" customHeight="1">
      <x:c r="A12" s="59" t="str">
        <x:v>PSE_STRUCT_B2B</x:v>
      </x:c>
      <x:c r="B12" s="59" t="str">
        <x:v>Prawa do wykorzystania</x:v>
      </x:c>
      <x:c r="C12" s="59" t="str">
        <x:v>UNKNOWN</x:v>
      </x:c>
      <x:c r="D12" s="59" t="str">
        <x:v>UNKNOWN — nie potwierdzono otwartej licencji wybranego zbioru.</x:v>
      </x:c>
      <x:c r="E12" s="59" t="str">
        <x:v>Wyjaśnić zakres przed produkcyjnym użyciem.</x:v>
      </x:c>
    </x:row>
    <x:row r="13" ht="30" customHeight="1">
      <x:c r="A13" s="59" t="str">
        <x:v>ENERGA_LANDING</x:v>
      </x:c>
      <x:c r="B13" s="59" t="str">
        <x:v>Prawa do wykorzystania</x:v>
      </x:c>
      <x:c r="C13" s="59" t="str">
        <x:v>UNKNOWN</x:v>
      </x:c>
      <x:c r="D13" s="59" t="str">
        <x:v>UNKNOWN — nie potwierdzono otwartej licencji wybranego zbioru.</x:v>
      </x:c>
      <x:c r="E13" s="59" t="str">
        <x:v>Wyjaśnić zakres przed produkcyjnym użyciem.</x:v>
      </x:c>
    </x:row>
    <x:row r="14" ht="30" customHeight="1">
      <x:c r="A14" s="59" t="str">
        <x:v>ENERGA_EXPORT</x:v>
      </x:c>
      <x:c r="B14" s="59" t="str">
        <x:v>Prawa do wykorzystania</x:v>
      </x:c>
      <x:c r="C14" s="59" t="str">
        <x:v>UNKNOWN</x:v>
      </x:c>
      <x:c r="D14" s="59" t="str">
        <x:v>UNKNOWN — nie potwierdzono otwartej licencji wybranego zbioru.</x:v>
      </x:c>
      <x:c r="E14" s="59" t="str">
        <x:v>Wyjaśnić zakres przed produkcyjnym użyciem.</x:v>
      </x:c>
    </x:row>
    <x:row r="15" ht="30" customHeight="1">
      <x:c r="A15" s="59" t="str">
        <x:v>ENERGA_IMPORT</x:v>
      </x:c>
      <x:c r="B15" s="59" t="str">
        <x:v>Prawa do wykorzystania</x:v>
      </x:c>
      <x:c r="C15" s="59" t="str">
        <x:v>UNKNOWN</x:v>
      </x:c>
      <x:c r="D15" s="59" t="str">
        <x:v>UNKNOWN — nie potwierdzono otwartej licencji wybranego zbioru.</x:v>
      </x:c>
      <x:c r="E15" s="59" t="str">
        <x:v>Wyjaśnić zakres przed produkcyjnym użyciem.</x:v>
      </x:c>
    </x:row>
    <x:row r="16" ht="30" customHeight="1">
      <x:c r="A16" s="59" t="str">
        <x:v>ENERGA_PIPELINE</x:v>
      </x:c>
      <x:c r="B16" s="59" t="str">
        <x:v>Konflikt dat</x:v>
      </x:c>
      <x:c r="C16" s="59" t="str">
        <x:v>Nierozstrzygnięty</x:v>
      </x:c>
      <x:c r="D16" s="59" t="str">
        <x:v>{"filename_date":"2026-08-31","document_header_date":"2026-06-30","resolution":"UNRESOLVED"}</x:v>
      </x:c>
      <x:c r="E16" s="59" t="str">
        <x:v>Porównać źródła; nie rozstrzygać po nazwie pliku.</x:v>
      </x:c>
    </x:row>
    <x:row r="17" ht="30" customHeight="1">
      <x:c r="A17" s="59" t="str">
        <x:v>ENERGA_PIPELINE</x:v>
      </x:c>
      <x:c r="B17" s="59" t="str">
        <x:v>Prawa do wykorzystania</x:v>
      </x:c>
      <x:c r="C17" s="59" t="str">
        <x:v>UNKNOWN</x:v>
      </x:c>
      <x:c r="D17" s="59" t="str">
        <x:v>UNKNOWN — nie potwierdzono otwartej licencji wybranego zbioru.</x:v>
      </x:c>
      <x:c r="E17" s="59" t="str">
        <x:v>Wyjaśnić zakres przed produkcyjnym użyciem.</x:v>
      </x:c>
    </x:row>
    <x:row r="18" ht="30" customHeight="1">
      <x:c r="A18" s="59" t="str">
        <x:v>ENERGA_PLAN</x:v>
      </x:c>
      <x:c r="B18" s="59" t="str">
        <x:v>Prawa do wykorzystania</x:v>
      </x:c>
      <x:c r="C18" s="59" t="str">
        <x:v>UNKNOWN</x:v>
      </x:c>
      <x:c r="D18" s="59" t="str">
        <x:v>UNKNOWN — nie potwierdzono otwartej licencji wybranego zbioru.</x:v>
      </x:c>
      <x:c r="E18" s="59" t="str">
        <x:v>Wyjaśnić zakres przed produkcyjnym użyciem.</x:v>
      </x:c>
    </x:row>
    <x:row r="19" ht="30" customHeight="1">
      <x:c r="A19" s="59" t="str">
        <x:v>ENEA_PIPELINE</x:v>
      </x:c>
      <x:c r="B19" s="59" t="str">
        <x:v>Prawa do wykorzystania</x:v>
      </x:c>
      <x:c r="C19" s="59" t="str">
        <x:v>UNKNOWN</x:v>
      </x:c>
      <x:c r="D19" s="59" t="str">
        <x:v>UNKNOWN — nie potwierdzono otwartej licencji wybranego zbioru.</x:v>
      </x:c>
      <x:c r="E19" s="59" t="str">
        <x:v>Wyjaśnić zakres przed produkcyjnym użyciem.</x:v>
      </x:c>
    </x:row>
    <x:row r="20" ht="30" customHeight="1">
      <x:c r="A20" s="59" t="str">
        <x:v>ENEA_MAP</x:v>
      </x:c>
      <x:c r="B20" s="59" t="str">
        <x:v>Prawa do wykorzystania</x:v>
      </x:c>
      <x:c r="C20" s="59" t="str">
        <x:v>UNKNOWN</x:v>
      </x:c>
      <x:c r="D20" s="59" t="str">
        <x:v>UNKNOWN — nie potwierdzono otwartej licencji wybranego zbioru.</x:v>
      </x:c>
      <x:c r="E20" s="59" t="str">
        <x:v>Wyjaśnić zakres przed produkcyjnym użyciem.</x:v>
      </x:c>
    </x:row>
    <x:row r="21" ht="30" customHeight="1">
      <x:c r="A21" s="59" t="str">
        <x:v>ENEA_PLAN</x:v>
      </x:c>
      <x:c r="B21" s="59" t="str">
        <x:v>Prawa do wykorzystania</x:v>
      </x:c>
      <x:c r="C21" s="59" t="str">
        <x:v>UNKNOWN</x:v>
      </x:c>
      <x:c r="D21" s="59" t="str">
        <x:v>UNKNOWN — nie potwierdzono otwartej licencji wybranego zbioru.</x:v>
      </x:c>
      <x:c r="E21" s="59" t="str">
        <x:v>Wyjaśnić zakres przed produkcyjnym użyciem.</x:v>
      </x:c>
    </x:row>
    <x:row r="22" ht="30" customHeight="1">
      <x:c r="A22" s="59" t="str">
        <x:v>TAURON_PIPELINE</x:v>
      </x:c>
      <x:c r="B22" s="59" t="str">
        <x:v>Prawa do wykorzystania</x:v>
      </x:c>
      <x:c r="C22" s="59" t="str">
        <x:v>UNKNOWN</x:v>
      </x:c>
      <x:c r="D22" s="59" t="str">
        <x:v>UNKNOWN — nie potwierdzono otwartej licencji wybranego zbioru.</x:v>
      </x:c>
      <x:c r="E22" s="59" t="str">
        <x:v>Wyjaśnić zakres przed produkcyjnym użyciem.</x:v>
      </x:c>
    </x:row>
    <x:row r="23" ht="30" customHeight="1">
      <x:c r="A23" s="59" t="str">
        <x:v>TAURON_MAP</x:v>
      </x:c>
      <x:c r="B23" s="59" t="str">
        <x:v>Prawa do wykorzystania</x:v>
      </x:c>
      <x:c r="C23" s="59" t="str">
        <x:v>UNKNOWN</x:v>
      </x:c>
      <x:c r="D23" s="59" t="str">
        <x:v>UNKNOWN — nie potwierdzono otwartej licencji wybranego zbioru.</x:v>
      </x:c>
      <x:c r="E23" s="59" t="str">
        <x:v>Wyjaśnić zakres przed produkcyjnym użyciem.</x:v>
      </x:c>
    </x:row>
    <x:row r="24" ht="30" customHeight="1">
      <x:c r="A24" s="59" t="str">
        <x:v>TAURON_PLAN</x:v>
      </x:c>
      <x:c r="B24" s="59" t="str">
        <x:v>Prawa do wykorzystania</x:v>
      </x:c>
      <x:c r="C24" s="59" t="str">
        <x:v>UNKNOWN</x:v>
      </x:c>
      <x:c r="D24" s="59" t="str">
        <x:v>UNKNOWN — nie potwierdzono otwartej licencji wybranego zbioru.</x:v>
      </x:c>
      <x:c r="E24" s="59" t="str">
        <x:v>Wyjaśnić zakres przed produkcyjnym użyciem.</x:v>
      </x:c>
    </x:row>
    <x:row r="25" ht="38" customHeight="1">
      <x:c r="A25" s="59" t="str">
        <x:v>STOEN_LANDING</x:v>
      </x:c>
      <x:c r="B25" s="59" t="str">
        <x:v>Prawa do wykorzystania</x:v>
      </x:c>
      <x:c r="C25" s="59" t="str">
        <x:v>REQUIRES_PERMISSION_REVIEW</x:v>
      </x:c>
      <x:c r="D25" s="59" t="str">
        <x:v>Regulamin §6: zastrzeżenia komercyjnego użycia i wyjątki; zastosowanie do zbiorów wymaga wyjaśnienia.</x:v>
      </x:c>
      <x:c r="E25" s="59" t="str">
        <x:v>Wyjaśnić zakres przed produkcyjnym użyciem.</x:v>
      </x:c>
    </x:row>
    <x:row r="26" ht="30" customHeight="1">
      <x:c r="A26" s="59" t="str">
        <x:v>STOEN_EXPORT</x:v>
      </x:c>
      <x:c r="B26" s="59" t="str">
        <x:v>Prawa do wykorzystania</x:v>
      </x:c>
      <x:c r="C26" s="59" t="str">
        <x:v>REQUIRES_PERMISSION_REVIEW</x:v>
      </x:c>
      <x:c r="D26" s="59" t="str">
        <x:v>UNKNOWN — nie potwierdzono otwartej licencji wybranego zbioru.</x:v>
      </x:c>
      <x:c r="E26" s="59" t="str">
        <x:v>Wyjaśnić zakres przed produkcyjnym użyciem.</x:v>
      </x:c>
    </x:row>
    <x:row r="27" ht="30" customHeight="1">
      <x:c r="A27" s="59" t="str">
        <x:v>STOEN_IMPORT</x:v>
      </x:c>
      <x:c r="B27" s="59" t="str">
        <x:v>Prawa do wykorzystania</x:v>
      </x:c>
      <x:c r="C27" s="59" t="str">
        <x:v>REQUIRES_PERMISSION_REVIEW</x:v>
      </x:c>
      <x:c r="D27" s="59" t="str">
        <x:v>UNKNOWN — nie potwierdzono otwartej licencji wybranego zbioru.</x:v>
      </x:c>
      <x:c r="E27" s="59" t="str">
        <x:v>Wyjaśnić zakres przed produkcyjnym użyciem.</x:v>
      </x:c>
    </x:row>
    <x:row r="28" ht="30" customHeight="1">
      <x:c r="A28" s="59" t="str">
        <x:v>STOEN_PIPELINE</x:v>
      </x:c>
      <x:c r="B28" s="59" t="str">
        <x:v>Dostęp / treść</x:v>
      </x:c>
      <x:c r="C28" s="59" t="str">
        <x:v>DISCOVERED</x:v>
      </x:c>
      <x:c r="D28" s="59" t="str">
        <x:v>Link znaleziony na oficjalnej stronie; data 30.06.2026 z nazwy, bez walidacji treści.</x:v>
      </x:c>
      <x:c r="E28" s="59" t="str">
        <x:v>Utrzymać oznaczenie do udanego odczytu.</x:v>
      </x:c>
    </x:row>
    <x:row r="29" ht="30" customHeight="1">
      <x:c r="A29" s="59" t="str">
        <x:v>STOEN_PIPELINE</x:v>
      </x:c>
      <x:c r="B29" s="59" t="str">
        <x:v>Prawa do wykorzystania</x:v>
      </x:c>
      <x:c r="C29" s="59" t="str">
        <x:v>REQUIRES_PERMISSION_REVIEW</x:v>
      </x:c>
      <x:c r="D29" s="59" t="str">
        <x:v>UNKNOWN — nie potwierdzono otwartej licencji wybranego zbioru.</x:v>
      </x:c>
      <x:c r="E29" s="59" t="str">
        <x:v>Wyjaśnić zakres przed produkcyjnym użyciem.</x:v>
      </x:c>
    </x:row>
    <x:row r="30" ht="30" customHeight="1">
      <x:c r="A30" s="59" t="str">
        <x:v>STOEN_STORAGE</x:v>
      </x:c>
      <x:c r="B30" s="59" t="str">
        <x:v>Dostęp / treść</x:v>
      </x:c>
      <x:c r="C30" s="59" t="str">
        <x:v>DISCOVERED</x:v>
      </x:c>
      <x:c r="D30" s="59" t="str">
        <x:v>Nie ustalono pól, progów wpisu ani aktualnej daty stanu.</x:v>
      </x:c>
      <x:c r="E30" s="59" t="str">
        <x:v>Utrzymać oznaczenie do udanego odczytu.</x:v>
      </x:c>
    </x:row>
    <x:row r="31" ht="30" customHeight="1">
      <x:c r="A31" s="59" t="str">
        <x:v>STOEN_STORAGE</x:v>
      </x:c>
      <x:c r="B31" s="59" t="str">
        <x:v>Prawa do wykorzystania</x:v>
      </x:c>
      <x:c r="C31" s="59" t="str">
        <x:v>REQUIRES_PERMISSION_REVIEW</x:v>
      </x:c>
      <x:c r="D31" s="59" t="str">
        <x:v>UNKNOWN — nie potwierdzono otwartej licencji wybranego zbioru.</x:v>
      </x:c>
      <x:c r="E31" s="59" t="str">
        <x:v>Wyjaśnić zakres przed produkcyjnym użyciem.</x:v>
      </x:c>
    </x:row>
    <x:row r="32" ht="30" customHeight="1">
      <x:c r="A32" s="59" t="str">
        <x:v>STOEN_PLAN</x:v>
      </x:c>
      <x:c r="B32" s="59" t="str">
        <x:v>Dostęp / treść</x:v>
      </x:c>
      <x:c r="C32" s="59" t="str">
        <x:v>DISCOVERED</x:v>
      </x:c>
      <x:c r="D32" s="59" t="str">
        <x:v>Indeks sieci opisuje plan jako uzgodniony; pełny dokument nie został zwalidowany.</x:v>
      </x:c>
      <x:c r="E32" s="59" t="str">
        <x:v>Utrzymać oznaczenie do udanego odczytu.</x:v>
      </x:c>
    </x:row>
    <x:row r="33" ht="30" customHeight="1">
      <x:c r="A33" s="59" t="str">
        <x:v>STOEN_PLAN</x:v>
      </x:c>
      <x:c r="B33" s="59" t="str">
        <x:v>Prawa do wykorzystania</x:v>
      </x:c>
      <x:c r="C33" s="59" t="str">
        <x:v>REQUIRES_PERMISSION_REVIEW</x:v>
      </x:c>
      <x:c r="D33" s="59" t="str">
        <x:v>UNKNOWN — nie potwierdzono otwartej licencji wybranego zbioru.</x:v>
      </x:c>
      <x:c r="E33" s="59" t="str">
        <x:v>Wyjaśnić zakres przed produkcyjnym użyciem.</x:v>
      </x:c>
    </x:row>
    <x:row r="34" ht="38" customHeight="1">
      <x:c r="A34" s="59" t="str">
        <x:v>PGE_LANDING</x:v>
      </x:c>
      <x:c r="B34" s="59" t="str">
        <x:v>Dostęp / treść</x:v>
      </x:c>
      <x:c r="C34" s="59" t="str">
        <x:v>BLOCKED</x:v>
      </x:c>
      <x:c r="D34" s="59" t="str">
        <x:v>HTTP 200 zawierał 346-bajtową stronę odrzucenia, nie dane. Nie wnioskować o jakości datasetu z samej blokady.</x:v>
      </x:c>
      <x:c r="E34" s="59" t="str">
        <x:v>Utrzymać oznaczenie do udanego odczytu.</x:v>
      </x:c>
    </x:row>
    <x:row r="35" ht="30" customHeight="1">
      <x:c r="A35" s="59" t="str">
        <x:v>PGE_LANDING</x:v>
      </x:c>
      <x:c r="B35" s="59" t="str">
        <x:v>Prawa do wykorzystania</x:v>
      </x:c>
      <x:c r="C35" s="59" t="str">
        <x:v>UNKNOWN</x:v>
      </x:c>
      <x:c r="D35" s="59" t="str">
        <x:v>UNKNOWN — nie potwierdzono otwartej licencji wybranego zbioru.</x:v>
      </x:c>
      <x:c r="E35" s="59" t="str">
        <x:v>Wyjaśnić zakres przed produkcyjnym użyciem.</x:v>
      </x:c>
    </x:row>
    <x:row r="36" ht="52" customHeight="1">
      <x:c r="A36" s="59" t="str">
        <x:v>PGE_EXPORT_DISCOVERY</x:v>
      </x:c>
      <x:c r="B36" s="59" t="str">
        <x:v>Dostęp / treść</x:v>
      </x:c>
      <x:c r="C36" s="59" t="str">
        <x:v>BLOCKED</x:v>
      </x:c>
      <x:c r="D36" s="59" t="str">
        <x:v>Treść i aktualność niepotwierdzone; nazwa sugeruje historyczny kwartał. 16.09.2026 bezpośredni dokument zwrócił HTTP 200 i 346 bajtów HTML zamiast PDF; brak odczytu treści. Metadane: data/catalog/pge_radkowice_access_2026-09-16.json.</x:v>
      </x:c>
      <x:c r="E36" s="59" t="str">
        <x:v>Utrzymać oznaczenie do udanego odczytu.</x:v>
      </x:c>
    </x:row>
    <x:row r="37" ht="30" customHeight="1">
      <x:c r="A37" s="59" t="str">
        <x:v>PGE_EXPORT_DISCOVERY</x:v>
      </x:c>
      <x:c r="B37" s="59" t="str">
        <x:v>Prawa do wykorzystania</x:v>
      </x:c>
      <x:c r="C37" s="59" t="str">
        <x:v>UNKNOWN</x:v>
      </x:c>
      <x:c r="D37" s="59" t="str">
        <x:v>UNKNOWN — nie potwierdzono otwartej licencji wybranego zbioru.</x:v>
      </x:c>
      <x:c r="E37" s="59" t="str">
        <x:v>Wyjaśnić zakres przed produkcyjnym użyciem.</x:v>
      </x:c>
    </x:row>
    <x:row r="38" ht="52" customHeight="1">
      <x:c r="A38" s="59" t="str">
        <x:v>PGE_PLAN_DISCOVERY</x:v>
      </x:c>
      <x:c r="B38" s="59" t="str">
        <x:v>Dostęp / treść</x:v>
      </x:c>
      <x:c r="C38" s="59" t="str">
        <x:v>BLOCKED</x:v>
      </x:c>
      <x:c r="D38" s="59" t="str">
        <x:v>Nie potwierdzono pełnego tekstu ani aktualnego statusu uzgodnienia. 16.09.2026 bezpośredni dokument zwrócił HTTP 200 i 346 bajtów HTML zamiast PDF; brak odczytu treści. Metadane: data/catalog/pge_radkowice_access_2026-09-16.json.</x:v>
      </x:c>
      <x:c r="E38" s="59" t="str">
        <x:v>Utrzymać oznaczenie do udanego odczytu.</x:v>
      </x:c>
    </x:row>
    <x:row r="39" ht="30" customHeight="1">
      <x:c r="A39" s="59" t="str">
        <x:v>PGE_PLAN_DISCOVERY</x:v>
      </x:c>
      <x:c r="B39" s="59" t="str">
        <x:v>Prawa do wykorzystania</x:v>
      </x:c>
      <x:c r="C39" s="59" t="str">
        <x:v>UNKNOWN</x:v>
      </x:c>
      <x:c r="D39" s="59" t="str">
        <x:v>UNKNOWN — nie potwierdzono otwartej licencji wybranego zbioru.</x:v>
      </x:c>
      <x:c r="E39" s="59" t="str">
        <x:v>Wyjaśnić zakres przed produkcyjnym użyciem.</x:v>
      </x:c>
    </x:row>
    <x:row r="40" ht="30" customHeight="1">
      <x:c r="A40" s="59" t="str">
        <x:v>KGHM_OSD</x:v>
      </x:c>
      <x:c r="B40" s="59" t="str">
        <x:v>Prawa do wykorzystania</x:v>
      </x:c>
      <x:c r="C40" s="59" t="str">
        <x:v>UNKNOWN</x:v>
      </x:c>
      <x:c r="D40" s="59" t="str">
        <x:v>UNKNOWN — nie potwierdzono otwartej licencji wybranego zbioru.</x:v>
      </x:c>
      <x:c r="E40" s="59" t="str">
        <x:v>Wyjaśnić zakres przed produkcyjnym użyciem.</x:v>
      </x:c>
    </x:row>
    <x:row r="41" ht="30" customHeight="1">
      <x:c r="A41" s="59" t="str">
        <x:v>URE_REGISTERS</x:v>
      </x:c>
      <x:c r="B41" s="59" t="str">
        <x:v>Prawa do wykorzystania</x:v>
      </x:c>
      <x:c r="C41" s="59" t="str">
        <x:v>UNKNOWN</x:v>
      </x:c>
      <x:c r="D41" s="59" t="str">
        <x:v>UNKNOWN — nie potwierdzono otwartej licencji wybranego zbioru.</x:v>
      </x:c>
      <x:c r="E41" s="59" t="str">
        <x:v>Wyjaśnić zakres przed produkcyjnym użyciem.</x:v>
      </x:c>
    </x:row>
    <x:row r="42" ht="30" customHeight="1">
      <x:c r="A42" s="59" t="str">
        <x:v>ENERGY_LAW_516</x:v>
      </x:c>
      <x:c r="B42" s="59" t="str">
        <x:v>Prawa do wykorzystania</x:v>
      </x:c>
      <x:c r="C42" s="59" t="str">
        <x:v>UNKNOWN</x:v>
      </x:c>
      <x:c r="D42" s="59" t="str">
        <x:v>Oficjalny akt normatywny; nie stanowi licencji na dane operatorów.</x:v>
      </x:c>
      <x:c r="E42" s="59" t="str">
        <x:v>Wyjaśnić zakres przed produkcyjnym użyciem.</x:v>
      </x:c>
    </x:row>
    <x:row r="43" ht="38" customHeight="1">
      <x:c r="A43" s="59" t="str">
        <x:v>BIP_ENV_DISCOVERY</x:v>
      </x:c>
      <x:c r="B43" s="59" t="str">
        <x:v>Dostęp / treść</x:v>
      </x:c>
      <x:c r="C43" s="59" t="str">
        <x:v>BLOCKED</x:v>
      </x:c>
      <x:c r="D43" s="59" t="str">
        <x:v>Odczyt nie powiódł się; wskazania migracji wymagają sprawdzenia. Nie potwierdzono aktualnego krajowego API ani kompletności pipeline.</x:v>
      </x:c>
      <x:c r="E43" s="59" t="str">
        <x:v>Utrzymać oznaczenie do udanego odczytu.</x:v>
      </x:c>
    </x:row>
    <x:row r="44" ht="30" customHeight="1">
      <x:c r="A44" s="59" t="str">
        <x:v>BIP_ENV_DISCOVERY</x:v>
      </x:c>
      <x:c r="B44" s="59" t="str">
        <x:v>Prawa do wykorzystania</x:v>
      </x:c>
      <x:c r="C44" s="59" t="str">
        <x:v>UNKNOWN</x:v>
      </x:c>
      <x:c r="D44" s="59" t="str">
        <x:v>UNKNOWN — nie potwierdzono otwartej licencji wybranego zbioru.</x:v>
      </x:c>
      <x:c r="E44" s="59" t="str">
        <x:v>Wyjaśnić zakres przed produkcyjnym użyciem.</x:v>
      </x:c>
    </x:row>
    <x:row r="45" ht="30" customHeight="1">
      <x:c r="A45" s="59" t="str">
        <x:v>KRS_API_DOCS</x:v>
      </x:c>
      <x:c r="B45" s="59" t="str">
        <x:v>Prawa do wykorzystania</x:v>
      </x:c>
      <x:c r="C45" s="59" t="str">
        <x:v>UNKNOWN</x:v>
      </x:c>
      <x:c r="D45" s="59" t="str">
        <x:v>UNKNOWN — nie potwierdzono otwartej licencji wybranego zbioru.</x:v>
      </x:c>
      <x:c r="E45" s="59" t="str">
        <x:v>Wyjaśnić zakres przed produkcyjnym użyciem.</x:v>
      </x:c>
    </x:row>
    <x:row r="46" ht="30" customHeight="1">
      <x:c r="A46" s="59" t="str">
        <x:v>GUGIK_EGIB</x:v>
      </x:c>
      <x:c r="B46" s="59" t="str">
        <x:v>Prawa do wykorzystania</x:v>
      </x:c>
      <x:c r="C46" s="59" t="str">
        <x:v>UNKNOWN</x:v>
      </x:c>
      <x:c r="D46" s="59" t="str">
        <x:v>UNKNOWN — nie potwierdzono otwartej licencji wybranego zbioru.</x:v>
      </x:c>
      <x:c r="E46" s="59" t="str">
        <x:v>Wyjaśnić zakres przed produkcyjnym użyciem.</x:v>
      </x:c>
    </x:row>
    <x:row r="47" ht="30" customHeight="1">
      <x:c r="A47" s="59" t="str">
        <x:v>GUGIK_BDOT</x:v>
      </x:c>
      <x:c r="B47" s="59" t="str">
        <x:v>Prawa do wykorzystania</x:v>
      </x:c>
      <x:c r="C47" s="59" t="str">
        <x:v>UNKNOWN</x:v>
      </x:c>
      <x:c r="D47" s="59" t="str">
        <x:v>UNKNOWN — nie potwierdzono otwartej licencji wybranego zbioru.</x:v>
      </x:c>
      <x:c r="E47" s="59" t="str">
        <x:v>Wyjaśnić zakres przed produkcyjnym użyciem.</x:v>
      </x:c>
    </x:row>
    <x:row r="48" ht="30" customHeight="1">
      <x:c r="A48" s="59" t="str">
        <x:v>GUGIK_BDOT_PARQUET</x:v>
      </x:c>
      <x:c r="B48" s="59" t="str">
        <x:v>Prawa do wykorzystania</x:v>
      </x:c>
      <x:c r="C48" s="59" t="str">
        <x:v>UNKNOWN</x:v>
      </x:c>
      <x:c r="D48" s="59" t="str">
        <x:v>UNKNOWN — nie potwierdzono otwartej licencji wybranego zbioru.</x:v>
      </x:c>
      <x:c r="E48" s="59" t="str">
        <x:v>Wyjaśnić zakres przed produkcyjnym użyciem.</x:v>
      </x:c>
    </x:row>
    <x:row r="49" ht="30" customHeight="1">
      <x:c r="A49" s="59" t="str">
        <x:v>GUGIK_NMT</x:v>
      </x:c>
      <x:c r="B49" s="59" t="str">
        <x:v>Prawa do wykorzystania</x:v>
      </x:c>
      <x:c r="C49" s="59" t="str">
        <x:v>UNKNOWN</x:v>
      </x:c>
      <x:c r="D49" s="59" t="str">
        <x:v>UNKNOWN — nie potwierdzono otwartej licencji wybranego zbioru.</x:v>
      </x:c>
      <x:c r="E49" s="59" t="str">
        <x:v>Wyjaśnić zakres przed produkcyjnym użyciem.</x:v>
      </x:c>
    </x:row>
    <x:row r="50" ht="30" customHeight="1">
      <x:c r="A50" s="59" t="str">
        <x:v>GUGIK_MPZP</x:v>
      </x:c>
      <x:c r="B50" s="59" t="str">
        <x:v>Prawa do wykorzystania</x:v>
      </x:c>
      <x:c r="C50" s="59" t="str">
        <x:v>UNKNOWN</x:v>
      </x:c>
      <x:c r="D50" s="59" t="str">
        <x:v>UNKNOWN — nie potwierdzono otwartej licencji wybranego zbioru.</x:v>
      </x:c>
      <x:c r="E50" s="59" t="str">
        <x:v>Wyjaśnić zakres przed produkcyjnym użyciem.</x:v>
      </x:c>
    </x:row>
    <x:row r="51" ht="30" customHeight="1">
      <x:c r="A51" s="59" t="str">
        <x:v>URBAN_REGISTER</x:v>
      </x:c>
      <x:c r="B51" s="59" t="str">
        <x:v>Prawa do wykorzystania</x:v>
      </x:c>
      <x:c r="C51" s="59" t="str">
        <x:v>UNKNOWN</x:v>
      </x:c>
      <x:c r="D51" s="59" t="str">
        <x:v>UNKNOWN — nie potwierdzono otwartej licencji wybranego zbioru.</x:v>
      </x:c>
      <x:c r="E51" s="59" t="str">
        <x:v>Wyjaśnić zakres przed produkcyjnym użyciem.</x:v>
      </x:c>
    </x:row>
    <x:row r="52" ht="30" customHeight="1">
      <x:c r="A52" s="59" t="str">
        <x:v>GDOS_GIS</x:v>
      </x:c>
      <x:c r="B52" s="59" t="str">
        <x:v>Prawa do wykorzystania</x:v>
      </x:c>
      <x:c r="C52" s="59" t="str">
        <x:v>UNKNOWN</x:v>
      </x:c>
      <x:c r="D52" s="59" t="str">
        <x:v>UNKNOWN — nie potwierdzono otwartej licencji wybranego zbioru.</x:v>
      </x:c>
      <x:c r="E52" s="59" t="str">
        <x:v>Wyjaśnić zakres przed produkcyjnym użyciem.</x:v>
      </x:c>
    </x:row>
    <x:row r="53" ht="30" customHeight="1">
      <x:c r="A53" s="59" t="str">
        <x:v>BDL_GIS</x:v>
      </x:c>
      <x:c r="B53" s="59" t="str">
        <x:v>Prawa do wykorzystania</x:v>
      </x:c>
      <x:c r="C53" s="59" t="str">
        <x:v>UNKNOWN</x:v>
      </x:c>
      <x:c r="D53" s="59" t="str">
        <x:v>UNKNOWN — nie potwierdzono otwartej licencji wybranego zbioru.</x:v>
      </x:c>
      <x:c r="E53" s="59" t="str">
        <x:v>Wyjaśnić zakres przed produkcyjnym użyciem.</x:v>
      </x:c>
    </x:row>
    <x:row r="54" ht="30" customHeight="1">
      <x:c r="A54" s="59" t="str">
        <x:v>ENTSOE_MAP</x:v>
      </x:c>
      <x:c r="B54" s="59" t="str">
        <x:v>Prawa do wykorzystania</x:v>
      </x:c>
      <x:c r="C54" s="59" t="str">
        <x:v>UNKNOWN</x:v>
      </x:c>
      <x:c r="D54" s="59" t="str">
        <x:v>UNKNOWN — nie potwierdzono otwartej licencji wybranego zbioru.</x:v>
      </x:c>
      <x:c r="E54" s="59" t="str">
        <x:v>Wyjaśnić zakres przed produkcyjnym użyciem.</x:v>
      </x:c>
    </x:row>
    <x:row r="55" ht="30" customHeight="1">
      <x:c r="A55" s="59" t="str">
        <x:v>MATPOWER_POLAND</x:v>
      </x:c>
      <x:c r="B55" s="59" t="str">
        <x:v>Prawa do wykorzystania</x:v>
      </x:c>
      <x:c r="C55" s="59" t="str">
        <x:v>UNKNOWN</x:v>
      </x:c>
      <x:c r="D55" s="59" t="str">
        <x:v>Sprawdzić warunki konkretnego przypadku i wersji niezależnie od biblioteki.</x:v>
      </x:c>
      <x:c r="E55" s="59" t="str">
        <x:v>Wyjaśnić zakres przed produkcyjnym użyciem.</x:v>
      </x:c>
    </x:row>
    <x:row r="56" ht="30" customHeight="1">
      <x:c r="A56" s="59" t="str">
        <x:v>PANDAPOWER</x:v>
      </x:c>
      <x:c r="B56" s="59" t="str">
        <x:v>Prawa do wykorzystania</x:v>
      </x:c>
      <x:c r="C56" s="59" t="str">
        <x:v>UNKNOWN</x:v>
      </x:c>
      <x:c r="D56" s="59" t="str">
        <x:v>Wymagana kontrola pliku LICENSE przypiętej wersji przed wdrożeniem.</x:v>
      </x:c>
      <x:c r="E56" s="59" t="str">
        <x:v>Wyjaśnić zakres przed produkcyjnym użyciem.</x:v>
      </x:c>
    </x:row>
    <x:row r="57" ht="30" customHeight="1">
      <x:c r="A57" s="59" t="str">
        <x:v>MATPOWER_LIBRARY</x:v>
      </x:c>
      <x:c r="B57" s="59" t="str">
        <x:v>Prawa do wykorzystania</x:v>
      </x:c>
      <x:c r="C57" s="59" t="str">
        <x:v>UNKNOWN</x:v>
      </x:c>
      <x:c r="D57" s="59" t="str">
        <x:v>Kontrola licencji konkretnej wersji i danych wymagana przed użyciem.</x:v>
      </x:c>
      <x:c r="E57" s="59" t="str">
        <x:v>Wyjaśnić zakres przed produkcyjnym użyciem.</x:v>
      </x:c>
    </x:row>
    <x:row r="58" ht="30" customHeight="1">
      <x:c r="A58" s="59" t="str">
        <x:v>POWERMODELS</x:v>
      </x:c>
      <x:c r="B58" s="59" t="str">
        <x:v>Prawa do wykorzystania</x:v>
      </x:c>
      <x:c r="C58" s="59" t="str">
        <x:v>UNKNOWN</x:v>
      </x:c>
      <x:c r="D58" s="59" t="str">
        <x:v>Kontrola LICENSE przypiętej wersji przed wdrożeniem.</x:v>
      </x:c>
      <x:c r="E58" s="59" t="str">
        <x:v>Wyjaśnić zakres przed produkcyjnym użyciem.</x:v>
      </x:c>
    </x:row>
    <x:row r="59" ht="30" customHeight="1">
      <x:c r="A59" s="59" t="str">
        <x:v>EMBER_API</x:v>
      </x:c>
      <x:c r="B59" s="59" t="str">
        <x:v>Prawa do wykorzystania</x:v>
      </x:c>
      <x:c r="C59" s="59" t="str">
        <x:v>UNKNOWN</x:v>
      </x:c>
      <x:c r="D59" s="59" t="str">
        <x:v>UNKNOWN — sprawdzić regulamin konkretnego produktu API.</x:v>
      </x:c>
      <x:c r="E59" s="59" t="str">
        <x:v>Wyjaśnić zakres przed produkcyjnym użyciem.</x:v>
      </x:c>
    </x:row>
    <x:row r="60" ht="38" customHeight="1">
      <x:c r="A60" s="59" t="str">
        <x:v>JRC_IDEES</x:v>
      </x:c>
      <x:c r="B60" s="59" t="str">
        <x:v>Prawa do wykorzystania</x:v>
      </x:c>
      <x:c r="C60" s="59" t="str">
        <x:v>UNKNOWN</x:v>
      </x:c>
      <x:c r="D60" s="59" t="str">
        <x:v>Do sprawdzenia warunki konkretnej paczki; nie przenosić licencji publikacji na wszystkie wejścia.</x:v>
      </x:c>
      <x:c r="E60" s="59" t="str">
        <x:v>Wyjaśnić zakres przed produkcyjnym użyciem.</x:v>
      </x:c>
    </x:row>
    <x:row r="61" ht="30" customHeight="1">
      <x:c r="A61" s="59" t="str">
        <x:v>PSE_INVESTMENTS_RADK</x:v>
      </x:c>
      <x:c r="B61" s="59" t="str">
        <x:v>Prawa do wykorzystania</x:v>
      </x:c>
      <x:c r="C61" s="59" t="str">
        <x:v>UNKNOWN</x:v>
      </x:c>
      <x:c r="D61" s="59" t="str">
        <x:v>UNKNOWN — nie potwierdzono otwartej licencji wybranego zbioru.</x:v>
      </x:c>
      <x:c r="E61" s="59" t="str">
        <x:v>Wyjaśnić zakres przed produkcyjnym użyciem.</x:v>
      </x:c>
    </x:row>
    <x:row r="62" ht="30" customHeight="1">
      <x:c r="A62" s="59" t="str">
        <x:v>CHECINY_ENERGY_PLAN</x:v>
      </x:c>
      <x:c r="B62" s="59" t="str">
        <x:v>Prawa do wykorzystania</x:v>
      </x:c>
      <x:c r="C62" s="59" t="str">
        <x:v>UNKNOWN</x:v>
      </x:c>
      <x:c r="D62" s="59" t="str">
        <x:v>UNKNOWN — nie potwierdzono otwartej licencji wybranego zbioru.</x:v>
      </x:c>
      <x:c r="E62" s="59" t="str">
        <x:v>Wyjaśnić zakres przed produkcyjnym użyciem.</x:v>
      </x:c>
    </x:row>
    <x:row r="63" ht="30" customHeight="1">
      <x:c r="A63" s="59" t="str">
        <x:v>PSE_TARIFF_2026</x:v>
      </x:c>
      <x:c r="B63" s="59" t="str">
        <x:v>Prawa do wykorzystania</x:v>
      </x:c>
      <x:c r="C63" s="59" t="str">
        <x:v>UNKNOWN</x:v>
      </x:c>
      <x:c r="D63" s="59" t="str">
        <x:v>UNKNOWN — nie potwierdzono otwartej licencji wybranego zbioru.</x:v>
      </x:c>
      <x:c r="E63" s="59" t="str">
        <x:v>Wyjaśnić zakres przed produkcyjnym użyciem.</x:v>
      </x:c>
    </x:row>
    <x:row r="64" ht="38" customHeight="1">
      <x:c r="A64" s="59" t="str">
        <x:v>PGE_RADK_CAPACITY_ATTEMPT</x:v>
      </x:c>
      <x:c r="B64" s="59" t="str">
        <x:v>Dostęp / treść</x:v>
      </x:c>
      <x:c r="C64" s="59" t="str">
        <x:v>BLOCKED</x:v>
      </x:c>
      <x:c r="D64" s="59" t="str">
        <x:v>HTTP 200, 346 bajtów, brak sygnatury PDF; nie pobrano wartości mocy Dowód próby: data/catalog/pge_radkowice_access_2026-09-11.json</x:v>
      </x:c>
      <x:c r="E64" s="59" t="str">
        <x:v>Utrzymać oznaczenie do udanego odczytu.</x:v>
      </x:c>
    </x:row>
    <x:row r="65" ht="30" customHeight="1">
      <x:c r="A65" s="59" t="str">
        <x:v>PGE_RADK_CAPACITY_ATTEMPT</x:v>
      </x:c>
      <x:c r="B65" s="59" t="str">
        <x:v>Prawa do wykorzystania</x:v>
      </x:c>
      <x:c r="C65" s="59" t="str">
        <x:v>UNKNOWN</x:v>
      </x:c>
      <x:c r="D65" s="59" t="str">
        <x:v>UNKNOWN — nie potwierdzono otwartej licencji wybranego zbioru.</x:v>
      </x:c>
      <x:c r="E65" s="59" t="str">
        <x:v>Wyjaśnić zakres przed produkcyjnym użyciem.</x:v>
      </x:c>
    </x:row>
    <x:row r="66" ht="30" customHeight="1">
      <x:c r="A66" s="59" t="str">
        <x:v>SUW_RADK_WOLICA_3_2024</x:v>
      </x:c>
      <x:c r="B66" s="59" t="str">
        <x:v>Prawa do wykorzystania</x:v>
      </x:c>
      <x:c r="C66" s="59" t="str">
        <x:v>UNKNOWN</x:v>
      </x:c>
      <x:c r="D66" s="59" t="str">
        <x:v>UNKNOWN — nie potwierdzono otwartej licencji wybranego zbioru.</x:v>
      </x:c>
      <x:c r="E66" s="59" t="str">
        <x:v>Wyjaśnić zakres przed produkcyjnym użyciem.</x:v>
      </x:c>
    </x:row>
    <x:row r="67" ht="38" customHeight="1">
      <x:c r="A67" s="59" t="str">
        <x:v>PSE_RADK_BRIDGE_NOTICE_2025</x:v>
      </x:c>
      <x:c r="B67" s="59" t="str">
        <x:v>Prawa do wykorzystania</x:v>
      </x:c>
      <x:c r="C67" s="59" t="str">
        <x:v>UNKNOWN</x:v>
      </x:c>
      <x:c r="D67" s="59" t="str">
        <x:v>UNKNOWN — nie potwierdzono otwartej licencji wybranego zbioru.</x:v>
      </x:c>
      <x:c r="E67" s="59" t="str">
        <x:v>Wyjaśnić zakres przed produkcyjnym użyciem.</x:v>
      </x:c>
    </x:row>
    <x:row r="68" ht="38" customHeight="1">
      <x:c r="A68" s="59" t="str">
        <x:v>RDOS_RADK_PIASKI_NOTICE_2025</x:v>
      </x:c>
      <x:c r="B68" s="59" t="str">
        <x:v>Prawa do wykorzystania</x:v>
      </x:c>
      <x:c r="C68" s="59" t="str">
        <x:v>REQUIRES_PERMISSION_REVIEW</x:v>
      </x:c>
      <x:c r="D68" s="59" t="str">
        <x:v>Gov.pl: treści tekstowe CC BY-SA 4.0, zastrzeżenia dla praw osób trzecich; ocena załączników osobno.</x:v>
      </x:c>
      <x:c r="E68" s="59" t="str">
        <x:v>Wyjaśnić zakres przed produkcyjnym użyciem.</x:v>
      </x:c>
    </x:row>
    <x:row r="69" ht="38" customHeight="1">
      <x:c r="A69" s="59" t="str">
        <x:v>RDOS_RADK_PIASKI_DECISION_2025</x:v>
      </x:c>
      <x:c r="B69" s="59" t="str">
        <x:v>Prawa do wykorzystania</x:v>
      </x:c>
      <x:c r="C69" s="59" t="str">
        <x:v>REQUIRES_PERMISSION_REVIEW</x:v>
      </x:c>
      <x:c r="D69" s="59" t="str">
        <x:v>Dokument urzędowy; zasady Gov.pl zweryfikowano, zakres praw do załącznika i materiałów osób trzecich wymaga odrębnej oceny.</x:v>
      </x:c>
      <x:c r="E69" s="59" t="str">
        <x:v>Wyjaśnić zakres przed produkcyjnym użyciem.</x:v>
      </x:c>
    </x:row>
    <x:row r="70" ht="30" customHeight="1">
      <x:c r="A70" s="59" t="str">
        <x:v>PSE_IMPACT_REPORT_2023</x:v>
      </x:c>
      <x:c r="B70" s="59" t="str">
        <x:v>Prawa do wykorzystania</x:v>
      </x:c>
      <x:c r="C70" s="59" t="str">
        <x:v>UNKNOWN</x:v>
      </x:c>
      <x:c r="D70" s="59" t="str">
        <x:v>UNKNOWN — nie potwierdzono otwartej licencji raportu ani prawa do jego redystrybucji.</x:v>
      </x:c>
      <x:c r="E70" s="59" t="str">
        <x:v>Wyjaśnić zakres przed produkcyjnym użyciem.</x:v>
      </x:c>
    </x:row>
    <x:row r="71" ht="38" customHeight="1">
      <x:c r="A71" s="59" t="str">
        <x:v>KSE-008</x:v>
      </x:c>
      <x:c r="B71" s="59" t="str">
        <x:v>Zadanie</x:v>
      </x:c>
      <x:c r="C71" s="59" t="str">
        <x:v>Zrobione</x:v>
      </x:c>
      <x:c r="D71" s="59" t="str">
        <x:v>Konflikt dat pozostaje nierozstrzygnięty; ukończono kontrolę i kwarantannę.</x:v>
      </x:c>
      <x:c r="E71" s="59" t="str">
        <x:v>Utrzymać kwarantannę do uzyskania spójnej publikacji lub wyjaśnienia operatora.</x:v>
      </x:c>
    </x:row>
    <x:row r="72" ht="38" customHeight="1">
      <x:c r="A72" s="59" t="str">
        <x:v>KSE-009</x:v>
      </x:c>
      <x:c r="B72" s="59" t="str">
        <x:v>Zadanie</x:v>
      </x:c>
      <x:c r="C72" s="59" t="str">
        <x:v>Zagrożone</x:v>
      </x:c>
      <x:c r="D72" s="59" t="str">
        <x:v>HTTP 200 zwracał stronę odrzucenia zamiast danych.</x:v>
      </x:c>
      <x:c r="E72" s="59" t="str">
        <x:v>16.09 ponownie otrzymano HTML zamiast dwóch PDF. Konkretna pomoc zapisana jako NEED-011; nadal bez danych mocy PGE w modelu.</x:v>
      </x:c>
    </x:row>
    <x:row r="73" ht="38" customHeight="1">
      <x:c r="A73" s="59" t="str">
        <x:v>KSE-010</x:v>
      </x:c>
      <x:c r="B73" s="59" t="str">
        <x:v>Zadanie</x:v>
      </x:c>
      <x:c r="C73" s="59" t="str">
        <x:v>Do zrobienia</x:v>
      </x:c>
      <x:c r="D73" s="59" t="str">
        <x:v>Publiczny dostęp nie rozstrzyga komercyjnego wykorzystania; zastrzeżenia Stoen.</x:v>
      </x:c>
      <x:c r="E73" s="59" t="str">
        <x:v>Sprawdzić podstawę wykorzystania XLSX PSE, portalu inwestycji i BIP Chęcin dla pilota Radkowic.</x:v>
      </x:c>
    </x:row>
    <x:row r="74" ht="38" customHeight="1">
      <x:c r="A74" s="59" t="str">
        <x:v>KSE-011</x:v>
      </x:c>
      <x:c r="B74" s="59" t="str">
        <x:v>Zadanie</x:v>
      </x:c>
      <x:c r="C74" s="59" t="str">
        <x:v>Do zrobienia</x:v>
      </x:c>
      <x:c r="D74" s="59" t="str">
        <x:v>Dostarczenie klucza nie jest dowodem jego działania; test jeszcze niewykonany.</x:v>
      </x:c>
      <x:c r="E74" s="59" t="str">
        <x:v>W odrębnym kroku wykonać małe zapytanie z lokalnym poświadczeniem, bez logowania tokenu.</x:v>
      </x:c>
    </x:row>
    <x:row r="75" ht="38" customHeight="1">
      <x:c r="A75" s="59" t="str">
        <x:v>KSE-013</x:v>
      </x:c>
      <x:c r="B75" s="59" t="str">
        <x:v>Zadanie</x:v>
      </x:c>
      <x:c r="C75" s="59" t="str">
        <x:v>W toku</x:v>
      </x:c>
      <x:c r="D75" s="59" t="str">
        <x:v>Brak potwierdzonych granic własności i kompletnego pipeline PGE; prawa źródeł nadal otwarte.</x:v>
      </x:c>
      <x:c r="E75" s="59" t="str">
        <x:v>Potwierdzić granice PSE/PGE i prawa źródeł; relacja 110 kV Radkowice–Wolica ma dowód administracyjny.</x:v>
      </x:c>
    </x:row>
    <x:row r="76" ht="52" customHeight="1">
      <x:c r="A76" s="59" t="str">
        <x:v>KSE-029</x:v>
      </x:c>
      <x:c r="B76" s="59" t="str">
        <x:v>Zadanie</x:v>
      </x:c>
      <x:c r="C76" s="59" t="str">
        <x:v>Do zrobienia</x:v>
      </x:c>
      <x:c r="D76" s="59" t="str">
        <x:v>Publiczne dane mogą nie wystarczyć; brak gwarancji osiągalności etapu.</x:v>
      </x:c>
      <x:c r="E76" s="59" t="str">
        <x:v>Ekspertyza wpływu nie będzie dostępna od użytkownika w tym pilocie. Oceniać inne źródła parametrów; nie uzależniać ewidencji i modelu dokumentacyjnego od power-flow.</x:v>
      </x:c>
    </x:row>
    <x:row r="77" ht="52" customHeight="1">
      <x:c r="A77" s="59" t="str">
        <x:v>KSE-033</x:v>
      </x:c>
      <x:c r="B77" s="59" t="str">
        <x:v>Zadanie</x:v>
      </x:c>
      <x:c r="C77" s="59" t="str">
        <x:v>W toku</x:v>
      </x:c>
      <x:c r="D77" s="59" t="str">
        <x:v>Brak ekspertyzy wpływu nie blokuje ewidencji. Brak danych sieciowych wyklucza wyliczanie rezerwy MW i częstości ograniczeń.</x:v>
      </x:c>
      <x:c r="E77" s="59" t="str">
        <x:v>Uwzględnić prywatny przegląd schematów i etapów, rozstrzygnąć rewizje oraz przypisania pól (NEED-013). Nie przenosić relacji projektowych do bieżącego modelu bez dowodu wykonania.</x:v>
      </x:c>
    </x:row>
    <x:row r="78" ht="38" customHeight="1">
      <x:c r="A78" s="59" t="str">
        <x:v>KSE-034</x:v>
      </x:c>
      <x:c r="B78" s="59" t="str">
        <x:v>Zadanie</x:v>
      </x:c>
      <x:c r="C78" s="59" t="str">
        <x:v>Zrobione</x:v>
      </x:c>
      <x:c r="D78" s="59" t="str">
        <x:v>Pilot jakościowy, nie pełne MVP. Automatyczne potwierdzenie pobrania JSON w Codex nieudane; tekst raportu dostępny w widoku.</x:v>
      </x:c>
      <x:c r="E78" s="59" t="str">
        <x:v>Test użytkownika i rozwój pokrycia danych; zweryfikować pobieranie JSON poza przeglądarką Codex.</x:v>
      </x:c>
    </x:row>
    <x:row r="79" ht="38" customHeight="1">
      <x:c r="A79" s="59" t="str">
        <x:v>KSE-035</x:v>
      </x:c>
      <x:c r="B79" s="59" t="str">
        <x:v>Zadanie</x:v>
      </x:c>
      <x:c r="C79" s="59" t="str">
        <x:v>Zrobione</x:v>
      </x:c>
      <x:c r="D79" s="59" t="str">
        <x:v>Nie jest pełnym audytem wykonawczym, CAD, geometrii GIS ani praw wykorzystania.</x:v>
      </x:c>
      <x:c r="E79" s="59" t="str">
        <x:v>Rozstrzygnąć rewizje i pochodzenie; kontynuować weryfikację szczegółową, bez automatycznego importu do publicznego pilota.</x:v>
      </x:c>
    </x:row>
    <x:row r="80" ht="66" customHeight="1">
      <x:c r="A80" s="59" t="str">
        <x:v>KSE-036</x:v>
      </x:c>
      <x:c r="B80" s="59" t="str">
        <x:v>Zadanie</x:v>
      </x:c>
      <x:c r="C80" s="59" t="str">
        <x:v>W toku</x:v>
      </x:c>
      <x:c r="D80" s="59" t="str">
        <x:v>Publiczne źródła składowe nie potwierdzają dokładności i licencji całego opracowania.</x:v>
      </x:c>
      <x:c r="E80" s="59" t="str">
        <x:v>Weryfikować pierwotne publikacje i legendy, w tym kolejkę linków z rejestru inwestycji; rozstrzygnąć powiązania, rozbieżności eksportów i prawa wykorzystania. Historyczne rekordy nie stanowią aktualnej bazy infrastruktury.</x:v>
      </x:c>
    </x:row>
    <x:row r="81" ht="38" customHeight="1">
      <x:c r="A81" s="59" t="str">
        <x:v>KSE-037</x:v>
      </x:c>
      <x:c r="B81" s="59" t="str">
        <x:v>Zadanie</x:v>
      </x:c>
      <x:c r="C81" s="59" t="str">
        <x:v>Zrobione</x:v>
      </x:c>
      <x:c r="D81" s="59" t="str">
        <x:v>Tożsamość zakresu i data fizycznego załączenia nadal nieustalone.</x:v>
      </x:c>
      <x:c r="E81" s="59" t="str">
        <x:v>Wyjaśnić zakres i odbiór zadania — NEED-014; rozszerzać ewidencję inwestycji.</x:v>
      </x:c>
    </x:row>
    <x:row r="82" ht="38" customHeight="1">
      <x:c r="A82" s="59" t="str">
        <x:v>KSE-038</x:v>
      </x:c>
      <x:c r="B82" s="59" t="str">
        <x:v>Zadanie</x:v>
      </x:c>
      <x:c r="C82" s="59" t="str">
        <x:v>Zrobione</x:v>
      </x:c>
      <x:c r="D82" s="59" t="str">
        <x:v>Rekordy nie są unikalnymi inwestycjami. Linki z kompilacji nie zostały zbiorczo zweryfikowane; nieznane prawa i aktualność pozostają otwarte.</x:v>
      </x:c>
      <x:c r="E82" s="59" t="str">
        <x:v>Weryfikować publikacje pierwotne z prywatnej kolejki; powiązania i bieżący status wymagają osobnych dowodów.</x:v>
      </x:c>
    </x:row>
  </x:sheetData>
  <x:pageMargins left="0.7" right="0.7" top="0.75" bottom="0.75" header="0.3" footer="0.3"/>
  <x:tableParts count="1">
    <x:tablePart xmlns:r="http://schemas.openxmlformats.org/officeDocument/2006/relationships" r:id="R4e4409a7c6e74184"/>
  </x:tableParts>
</x:worksheet>
</file>

<file path=xl/worksheets/sheet9.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42" hidden="0" customWidth="1"/>
    <x:col min="2" max="2" width="55" hidden="0" customWidth="1"/>
    <x:col min="3" max="3" width="130" hidden="0" customWidth="1"/>
  </x:cols>
  <x:sheetData>
    <x:row r="1">
      <x:c r="A1" s="49"/>
      <x:c r="B1" s="49"/>
      <x:c r="C1" s="49"/>
    </x:row>
    <x:row r="2" ht="30" customHeight="1">
      <x:c r="A2" s="50" t="str">
        <x:v>Pełne wyjaśnienia, założenia i decyzje</x:v>
      </x:c>
      <x:c r="B2" s="49"/>
      <x:c r="C2" s="49"/>
    </x:row>
    <x:row r="3">
      <x:c r="A3" s="51"/>
      <x:c r="B3" s="51"/>
      <x:c r="C3" s="51"/>
    </x:row>
    <x:row r="4">
      <x:c r="A4" s="52" t="str">
        <x:v>Filtruj po dokumencie lub sekcji. Długie akapity są dzielone na kolejne wiersze bez pomijania treści.</x:v>
      </x:c>
      <x:c r="B4" s="49"/>
      <x:c r="C4" s="49"/>
    </x:row>
    <x:row r="5">
      <x:c r="A5" s="49"/>
      <x:c r="B5" s="49"/>
      <x:c r="C5" s="49"/>
    </x:row>
    <x:row r="6" ht="34" customHeight="1">
      <x:c r="A6" s="58" t="str">
        <x:v>Dokument</x:v>
      </x:c>
      <x:c r="B6" s="58" t="str">
        <x:v>Sekcja</x:v>
      </x:c>
      <x:c r="C6" s="58" t="str">
        <x:v>Treść</x:v>
      </x:c>
    </x:row>
    <x:row r="7" ht="52" customHeight="1">
      <x:c r="A7" s="59" t="str">
        <x:v>README.md</x:v>
      </x:c>
      <x:c r="B7" s="59" t="str">
        <x:v>Grid Connection Intelligence - Polska</x:v>
      </x:c>
      <x:c r="C7" s="59" t="str">
        <x:v>Stan na 16.09.2026: pierwszy przegląd źródeł zakończony, rozwijany jest lokalny pilot dokumentacyjny Radkowic 220/110 kV. Działają narzędzia badawcze, graf dowodów, historia obserwacji, ewidencja wspólnego przyłącza i widok trzech wpisów PSE. Projekt nie zawiera aplikacji produkcyjnej ani zweryfikowanego modelu rozpływowego.</x:v>
      </x:c>
    </x:row>
    <x:row r="8" ht="38" customHeight="1">
      <x:c r="A8" s="59" t="str">
        <x:v>README.md</x:v>
      </x:c>
      <x:c r="B8" s="59" t="str">
        <x:v>Grid Connection Intelligence - Polska</x:v>
      </x:c>
      <x:c r="C8" s="59" t="str">
        <x:v>Wniosek: publiczne dane pozwalają budować audytowalny system rozpoznania sytuacji przyłączeniowej. Nie pozwalają obecnie wiarygodnie wyznaczać wolnej mocy każdego GPZ ani procentowego prawdopodobieństwa uzyskania warunków przyłączenia.</x:v>
      </x:c>
    </x:row>
    <x:row r="9" ht="38" customHeight="1">
      <x:c r="A9" s="59" t="str">
        <x:v>README.md</x:v>
      </x:c>
      <x:c r="B9" s="59" t="str">
        <x:v>Uruchom lokalną aplikację</x:v>
      </x:c>
      <x:c r="C9" s="59" t="str">
        <x:v>W PowerShell uruchom ./scripts/start_local_app.ps1, a następnie otwórz http://127.0.0.1:8787. Pilot pokazuje źródła, projekty, powiązania i ocenę przesłanek dla Radkowic. Zakres, ograniczenia i instrukcja (docs/17_local_application.md).</x:v>
      </x:c>
    </x:row>
    <x:row r="10" ht="52" customHeight="1">
      <x:c r="A10" s="59" t="str">
        <x:v>README.md</x:v>
      </x:c>
      <x:c r="B10" s="59" t="str">
        <x:v>Dokumenty</x:v>
      </x:c>
      <x:c r="C10" s="59" t="str">
        <x:v>- Rejestr TODO (TODO.md) - Raport Excel — generowanie i aktualizacja (docs/project_reporting.md) - Brakujące dokumenty i informacje (docs/15_information_requests.md) - Graf dowodów Radkowic (docs/11_radkowice_evidence_model.md) - Historia obserwacji i parametrów (docs/14_observation_history.md)</x:v>
      </x:c>
    </x:row>
    <x:row r="11" ht="94" customHeight="1">
      <x:c r="A11" s="59" t="str">
        <x:v>README.md</x:v>
      </x:c>
      <x:c r="B11" s="59" t="str">
        <x:v>Dokumenty</x:v>
      </x:c>
      <x:c r="C11" s="59" t="str">
        <x:v>- Raport badawczy i executive summary (docs/01_data_research.md) - Katalog źródeł (docs/data_sources.md) oraz wersja JSON (data/catalog/data_sources.json) - Wstępna macierz wykonalności (docs/02_feasibility_matrix.md) - Wymaganie: projekty i pipeline wybranego GPZ (docs/gpz_pipeline.md) - Kierunek architektury — do etapu 2 (docs/03_system_architecture.md) - Wymagania dla modelu danych (docs/04_data_model.md) - Granice metody oceny mocy (docs/05_grid_capacity_methodology.md) - Status metodologii scoringu (docs/06_scoring_methodology.md) - Jakość danych i walidacja (docs/07_data_quality.md) - Proponowane etapy rozwoju (docs/08_roadmap.md) -</x:v>
      </x:c>
    </x:row>
    <x:row r="12" ht="38" customHeight="1">
      <x:c r="A12" s="59" t="str">
        <x:v>README.md</x:v>
      </x:c>
      <x:c r="B12" s="59" t="str">
        <x:v>Dokumenty</x:v>
      </x:c>
      <x:c r="C12" s="59" t="str">
        <x:v>Decyzje (docs/decision_log.md) - Wyniki kontroli lokalnych (data/catalog/research_validation.json) - Pierwszy push i codzienna praca z Git (docs/git_workflow.md) - Odtwarzanie środowiska i archiwum danych (docs/reproducibility.md)</x:v>
      </x:c>
    </x:row>
    <x:row r="13" ht="80" customHeight="1">
      <x:c r="A13" s="59" t="str">
        <x:v>README.md</x:v>
      </x:c>
      <x:c r="B13" s="59" t="str">
        <x:v>Struktura</x:v>
      </x:c>
      <x:c r="C13" s="59" t="str">
        <x:v>connectors/ nie zawiera jeszcze produkcyjnego pobierania danych; obejmuje pomocniczą kontrolę dat publikacji Energi. Datowane foldery data/raw/research/ przechowują niezmieniane próbki, a data/catalog/ — katalog 64 źródeł i manifesty SHA-256. data/reference/ zawiera wersjonowane grafy, historię oraz widok pipeline Radkowic. Moduły grid_engine/ obsługują dowody, czas, konflikty i ewidencję miejsc; nie obliczają dostępnych MW. Dane prywatne pozostają osobno. Nie utworzono fikcyjnej infrastruktury poza oznaczonymi testami.</x:v>
      </x:c>
    </x:row>
    <x:row r="14" ht="30" customHeight="1">
      <x:c r="A14" s="59" t="str">
        <x:v>README.md</x:v>
      </x:c>
      <x:c r="B14" s="59" t="str">
        <x:v>Odtworzenie kontroli</x:v>
      </x:c>
      <x:c r="C14" s="59" t="str">
        <x:v>W Pythonie z pakietami pypdf i openpyxl:</x:v>
      </x:c>
    </x:row>
    <x:row r="15" ht="30" customHeight="1">
      <x:c r="A15" s="59" t="str">
        <x:v>README.md</x:v>
      </x:c>
      <x:c r="B15" s="59" t="str">
        <x:v>Odtworzenie kontroli</x:v>
      </x:c>
      <x:c r="C15" s="59" t="str">
        <x:v>python scripts/build_research_catalog.py python scripts/validate_research.py</x:v>
      </x:c>
    </x:row>
    <x:row r="16" ht="38" customHeight="1">
      <x:c r="A16" s="59" t="str">
        <x:v>README.md</x:v>
      </x:c>
      <x:c r="B16" s="59" t="str">
        <x:v>Odtworzenie kontroli</x:v>
      </x:c>
      <x:c r="C16" s="59" t="str">
        <x:v>Pierwszy skrypt generuje katalog z notatek ogólnych i pilota Radkowic. Drugi sprawdza integralność zachowanych próbek, strukturę katalogu i podstawowe formaty danych. Są to narzędzia badawcze, nie pełny pipeline produkcyjny.</x:v>
      </x:c>
    </x:row>
    <x:row r="17" ht="30" customHeight="1">
      <x:c r="A17" s="59" t="str">
        <x:v>README.md</x:v>
      </x:c>
      <x:c r="B17" s="59" t="str">
        <x:v>Odtworzenie kontroli</x:v>
      </x:c>
      <x:c r="C17" s="59" t="str">
        <x:v>Po odtworzeniu odpowiednich archiwów można uruchomić pilot:</x:v>
      </x:c>
    </x:row>
    <x:row r="18" ht="30" customHeight="1">
      <x:c r="A18" s="59" t="str">
        <x:v>README.md</x:v>
      </x:c>
      <x:c r="B18" s="59" t="str">
        <x:v>Odtworzenie kontroli</x:v>
      </x:c>
      <x:c r="C18" s="59" t="str">
        <x:v>python scripts/build_radkowice_graph.py python scripts/build_radkowice_pipeline.py python -m unittest discover -s tests</x:v>
      </x:c>
    </x:row>
    <x:row r="19" ht="52" customHeight="1">
      <x:c r="A19" s="59" t="str">
        <x:v>README.md</x:v>
      </x:c>
      <x:c r="B19" s="59" t="str">
        <x:v>Odtworzenie kontroli</x:v>
      </x:c>
      <x:c r="C19" s="59" t="str">
        <x:v>Widok pipeline dotyczy stanu dokumentu na 31.07.2026: trzech wpisów z obowiązującymi umowami. Nie potwierdza fizycznego przyłączenia, kompletności stacji ani obsadzenia mostu. Ponowienie generatora zachowuje identyczny wynik; zmienione dane lub kod wymagają osobnej wersji wyniku. Reguły i ograniczenia opisuje dokumentacja pipeline (docs/gpz_pipeline.md).</x:v>
      </x:c>
    </x:row>
    <x:row r="20" ht="52" customHeight="1">
      <x:c r="A20" s="59" t="str">
        <x:v>README.md</x:v>
      </x:c>
      <x:c r="B20" s="59" t="str">
        <x:v>Odtworzenie kontroli</x:v>
      </x:c>
      <x:c r="C20" s="59" t="str">
        <x:v>scripts/probe_research_sources.ps1 wykonuje jednorazowe próby wskazane w config/research_probes*.json. Nie uruchamiaj ich ponownie bez nowej daty i nazw snapshotów: zachowane pliki nie są nadpisywane. HTTP 200 nie oznacza poprawnych danych; w próbie PGE oznaczał stronę blokady. Skrypt nie jest cyklicznym scraperem ani obejściem zabezpieczeń.</x:v>
      </x:c>
    </x:row>
    <x:row r="21" ht="66" customHeight="1">
      <x:c r="A21" s="59" t="str">
        <x:v>README.md</x:v>
      </x:c>
      <x:c r="B21" s="59" t="str">
        <x:v>Odtworzenie kontroli</x:v>
      </x:c>
      <x:c r="C21" s="59" t="str">
        <x:v>Próbki źródłowe są lokalnym materiałem audytowym i nie są przeznaczone do publikacji w Git. Dostęp techniczny nie stanowi potwierdzenia praw do komercyjnego ponownego wykorzystania. Radkowice są obszarem eksperymentu; kwestie licencyjne, pełna architektura produkcyjna i metodologia scoringu pozostają otwarte. Nie wyznaczamy Grid Connection Score ani prawdopodobieństwa uzyskania WP. Zewnętrzna kopia archiwów wymaga potwierdzenia (NEED-010); sam push nie obejmuje surowych źródeł.</x:v>
      </x:c>
    </x:row>
    <x:row r="22" ht="38" customHeight="1">
      <x:c r="A22" s="59" t="str">
        <x:v>README.md</x:v>
      </x:c>
      <x:c r="B22" s="59" t="str">
        <x:v>Odtworzenie kontroli</x:v>
      </x:c>
      <x:c r="C22" s="59" t="str">
        <x:v>Folder _secrets/ jest lokalny i wykluczony z Git, także w podkatalogach. Nie dodawać go przez git add -f ani do archiwów źródeł; poświadczenia nie są danymi badawczymi.</x:v>
      </x:c>
    </x:row>
    <x:row r="23" ht="38" customHeight="1">
      <x:c r="A23" s="59" t="str">
        <x:v>docs/01_data_research.md</x:v>
      </x:c>
      <x:c r="B23" s="59" t="str">
        <x:v>Publiczne dane dla Grid Connection Intelligence w Polsce</x:v>
      </x:c>
      <x:c r="C23" s="59" t="str">
        <x:v>Etap 1 — raport badawczy. Data sprawdzenia źródeł: 10 września 2026 r.</x:v>
      </x:c>
    </x:row>
    <x:row r="24" ht="52" customHeight="1">
      <x:c r="A24" s="59" t="str">
        <x:v>docs/01_data_research.md</x:v>
      </x:c>
      <x:c r="B24" s="59" t="str">
        <x:v>Publiczne dane dla Grid Connection Intelligence w Polsce</x:v>
      </x:c>
      <x:c r="C24" s="59" t="str">
        <x:v>Zakres: PSE, pięciu głównych OSD, przykładowi operatorzy lokalni, źródła administracyjne, GIS, dane europejskie i modele otwarte. Raport dotyczy możliwości zbudowania systemu na podstawie źródeł dostępnych publicznie. Nie zastępuje studium przyłączeniowego operatora. Nie powstał jeszcze model konkretnej stacji, aplikacja ani wynik Grid Connection Score.</x:v>
      </x:c>
    </x:row>
    <x:row r="25" ht="66" customHeight="1">
      <x:c r="A25" s="59" t="str">
        <x:v>docs/01_data_research.md</x:v>
      </x:c>
      <x:c r="B25" s="59" t="str">
        <x:v>1. Executive summary</x:v>
      </x:c>
      <x:c r="C25" s="59" t="str">
        <x:v>Tak — można zbudować wiarygodny system rozpoznania sytuacji przyłączeniowej, pod warunkiem ograniczenia jego obietnicy do tego, co potwierdzają źródła. Dostępne są informacje o projektach, ich etapach, wskazanych miejscach przyłączenia, publikowane przez operatorów moce przyłączeniowe, inwestycje sieciowe oraz część danych systemowych. Można je połączyć z geometrią infrastruktury i uwarunkowaniami przestrzennymi. Wynik powinien wyjaśniać fakty, konflikty i niewiadome dla konkretnego projektu.</x:v>
      </x:c>
    </x:row>
    <x:row r="26" ht="66" customHeight="1">
      <x:c r="A26" s="59" t="str">
        <x:v>docs/01_data_research.md</x:v>
      </x:c>
      <x:c r="B26" s="59" t="str">
        <x:v>1. Executive summary</x:v>
      </x:c>
      <x:c r="C26" s="59" t="str">
        <x:v>Nie ma podstaw do obietnicy dokładnej wolnej mocy dowolnego GPZ ani liczbowego prawdopodobieństwa uzyskania WP. W sprawdzonych publicznych źródłach nie znaleziono kompletnego, aktualnego zestawu topologii ruchowej, parametrów elektrycznych, lokalnych profili obciążenia i ograniczeń niezbędnych do takiej oceny. Brak ten jest szczególnie dotkliwy na SN. Nie należy zamieniać niepełnej listy projektów i mocy znamionowej transformatora w pozornie dokładny bilans.</x:v>
      </x:c>
    </x:row>
    <x:row r="27" ht="30" customHeight="1">
      <x:c r="A27" s="59" t="str">
        <x:v>docs/01_data_research.md</x:v>
      </x:c>
      <x:c r="B27" s="59" t="str">
        <x:v>1. Executive summary</x:v>
      </x:c>
      <x:c r="C27" s="59" t="str">
        <x:v>Poziom sieci / Realistyczny produkt z danych publicznych / Granica dokładności</x:v>
      </x:c>
    </x:row>
    <x:row r="28" ht="52" customHeight="1">
      <x:c r="A28" s="59" t="str">
        <x:v>docs/01_data_research.md</x:v>
      </x:c>
      <x:c r="B28" s="59" t="str">
        <x:v>1. Executive summary</x:v>
      </x:c>
      <x:c r="C28" s="59" t="str">
        <x:v>SN / Rozpoznanie GPZ i udokumentowanych projektów; lokalne warunki/ograniczenia opublikowane przez OSD; analiza przestrzenna kandydatów / Zwykle brak pewnego przypisania do odpływu, aktualnego układu przełączeń, impedancji i profilu obciążenia. Ocena jakościowa, miejscami konkretna informacja operatora; bez wiarygodnej ogólnej estymacji dostępnych MW</x:v>
      </x:c>
    </x:row>
    <x:row r="29" ht="52" customHeight="1">
      <x:c r="A29" s="59" t="str">
        <x:v>docs/01_data_research.md</x:v>
      </x:c>
      <x:c r="B29" s="59" t="str">
        <x:v>1. Executive summary</x:v>
      </x:c>
      <x:c r="C29" s="59" t="str">
        <x:v>110 kV / Częściowy graf stacji i korytarzy, wskazane miejsca przyłączeń, znany pipeline, ograniczenia obszarowe i plany inwestycji / Możliwe użyteczne analizy lokalne. Niepełna topologia i parametry uniemożliwiają zagwarantowanie przepustowości linii lub transformatora. Moce dla grup stacji nie są niezależnymi mocami każdej stacji</x:v>
      </x:c>
    </x:row>
    <x:row r="30" ht="52" customHeight="1">
      <x:c r="A30" s="59" t="str">
        <x:v>docs/01_data_research.md</x:v>
      </x:c>
      <x:c r="B30" s="59" t="str">
        <x:v>1. Executive summary</x:v>
      </x:c>
      <x:c r="C30" s="59" t="str">
        <x:v>220/400 kV PSE / Najlepsza podstawa do identyfikacji węzłów, planów rozbudowy, pipeline i interpretacji raportowanych mocy dla wskazanych horyzontów / Nadal nie jest to aktualny model operacyjny. Dane systemowe i transgraniczne nie dostarczają obciążeń wszystkich wewnętrznych elementów. Ocena techniczna konkretnego przyłączenia wymaga danych/studium operatora</x:v>
      </x:c>
    </x:row>
    <x:row r="31" ht="52" customHeight="1">
      <x:c r="A31" s="59" t="str">
        <x:v>docs/01_data_research.md</x:v>
      </x:c>
      <x:c r="B31" s="59" t="str">
        <x:v>1. Executive summary</x:v>
      </x:c>
      <x:c r="C31" s="59" t="str">
        <x:v>Nie podajemy procentowej „dokładności” dla tych poziomów. Do jej zmierzenia potrzebny jest zbiór referencyjny rzeczywistych obiektów, połączeń i wyników analiz operatora. Dokładność odczytu dokumentu, kompletność pokrycia sieci i trafność oceny przyłączenia to trzy różne miary.</x:v>
      </x:c>
    </x:row>
    <x:row r="32" ht="66" customHeight="1">
      <x:c r="A32" s="59" t="str">
        <x:v>docs/01_data_research.md</x:v>
      </x:c>
      <x:c r="B32" s="59" t="str">
        <x:v>1. Executive summary</x:v>
      </x:c>
      <x:c r="C32" s="59" t="str">
        <x:v>W przeprowadzonych próbach PSE ma najsilniejszą podstawę do automatyzacji: otwarte API z dokumentacją oraz rzeczywisty plik XLSX dotyczący przyłączeń. Energa i Stoen udostępniają rozdzielone publikacje dla poboru i wytwarzania; ENEA oferuje przydatne mapy i kryteria SN; TAURON — obszerny wykaz przyłączeń. Dostęp do PGE był blokowany, dlatego jego pokrycia nie można uczciwie ocenić na równi z pobranymi dokumentami. Podstawy tych ocen opisano w rozdziałach 3–4 i w katalogu źródeł (data_sources.md).</x:v>
      </x:c>
    </x:row>
    <x:row r="33" ht="52" customHeight="1">
      <x:c r="A33" s="59" t="str">
        <x:v>docs/01_data_research.md</x:v>
      </x:c>
      <x:c r="B33" s="59" t="str">
        <x:v>1. Executive summary</x:v>
      </x:c>
      <x:c r="C33" s="59" t="str">
        <x:v>Rekomendacja: przejść następnie do wąskiego pilota dokumentacyjnego, poprzedzonego zamknięciem kwestii licencyjnych i wyborem stacji na podstawie kompletności dowodów. Na tym etapie raportować przesłanki i ryzyka; Grid Connection Score oraz prawdopodobieństwo pozostawić nieokreślone, dopóki nie powstanie uzasadniona i sprawdzona metodologia.</x:v>
      </x:c>
    </x:row>
    <x:row r="34" ht="66" customHeight="1">
      <x:c r="A34" s="59" t="str">
        <x:v>docs/01_data_research.md</x:v>
      </x:c>
      <x:c r="B34" s="59" t="str">
        <x:v>2. Jak wykonano badanie i jak czytać jego wyniki</x:v>
      </x:c>
      <x:c r="C34" s="59" t="str">
        <x:v>Sprawdzono zawartość repozytorium i reguły AGENTS.md. Następnie wyszukiwano źródła pierwotne oraz interfejsy API, REST, WMS, WFS, WMTS, ArcGIS REST, GeoJSON, JSON, CSV, XLSX, XML, HTML, PDF, BIP i repozytoria GitHub. Preferowano dokumenty operatorów i instytucji oraz dokumentację autorów narzędzi. Wynik wyszukiwarki traktowano jako wskazówkę; źródła, których treści nie udało się otworzyć, mają odrębny status.</x:v>
      </x:c>
    </x:row>
    <x:row r="35" ht="30" customHeight="1">
      <x:c r="A35" s="59" t="str">
        <x:v>docs/01_data_research.md</x:v>
      </x:c>
      <x:c r="B35" s="59" t="str">
        <x:v>2. Jak wykonano badanie i jak czytać jego wyniki</x:v>
      </x:c>
      <x:c r="C35" s="59" t="str">
        <x:v>Badanie obejmuje trzy różne rodzaje dowodu:</x:v>
      </x:c>
    </x:row>
    <x:row r="36" ht="66" customHeight="1">
      <x:c r="A36" s="59" t="str">
        <x:v>docs/01_data_research.md</x:v>
      </x:c>
      <x:c r="B36" s="59" t="str">
        <x:v>2. Jak wykonano badanie i jak czytać jego wyniki</x:v>
      </x:c>
      <x:c r="C36" s="59" t="str">
        <x:v>1. Przegląd treści: odczyt strony, dokumentu lub dokumentacji; nie dowodzi działania pobierania masowego. 2. Próba techniczna: lokalne pobranie dokumentu, GetCapabilities lub odpowiedzi API; manifest zachowuje URL, czas UTC, status HTTP, liczbę bajtów i SHA-256. 3. Kontrola semantyczna próbki: sprawdzenie, czy odpowiedź rzeczywiście zawiera spodziewane dane, oraz odczyt nagłówków, dat, pól i ograniczeń. Nie jest to walidacja wszystkich wierszy dokumentu.</x:v>
      </x:c>
    </x:row>
    <x:row r="37" ht="52" customHeight="1">
      <x:c r="A37" s="59" t="str">
        <x:v>docs/01_data_research.md</x:v>
      </x:c>
      <x:c r="B37" s="59" t="str">
        <x:v>2. Jak wykonano badanie i jak czytać jego wyniki</x:v>
      </x:c>
      <x:c r="C37" s="59" t="str">
        <x:v>Katalog rozróżnia SAMPLE_VERIFIED, CONTENT_REVIEWED, DOCUMENTATION_REVIEWED, DISCOVERED i BLOCKED. last_verified oznacza datę sprawdzenia, także nieudanego; last_successful_verification pozostaje pusty dla źródeł nieodczytanych. UNKNOWN przy API oznacza „nie potwierdzono w tym badaniu”, a nie „nie istnieje”.</x:v>
      </x:c>
    </x:row>
    <x:row r="38" ht="66" customHeight="1">
      <x:c r="A38" s="59" t="str">
        <x:v>docs/01_data_research.md</x:v>
      </x:c>
      <x:c r="B38" s="59" t="str">
        <x:v>2. Jak wykonano badanie i jak czytać jego wyniki</x:v>
      </x:c>
      <x:c r="C38" s="59" t="str">
        <x:v>W data/catalog/probe_results_*.json zachowano wyniki 29 żądań: 28 odpowiedzi HTTP 200 i jedną 404. Jedna odpowiedź 200 była blokadą PGE. Część pozostałych to dokumentacja lub plik interfejsu, a nie zbiór danych. Nie wolno interpretować tej liczby jako liczby działających connectorów. Kontrola lokalna obejmuje również próbki PDF, XLSX, JSON i XML; wynik znajduje się w data/catalog/research_validation.json.</x:v>
      </x:c>
    </x:row>
    <x:row r="39" ht="38" customHeight="1">
      <x:c r="A39" s="59" t="str">
        <x:v>docs/01_data_research.md</x:v>
      </x:c>
      <x:c r="B39" s="59" t="str">
        <x:v>2. Jak wykonano badanie i jak czytać jego wyniki</x:v>
      </x:c>
      <x:c r="C39" s="59" t="str">
        <x:v>Datę publikacji strony, datę w nazwie pliku, datę stanu wewnątrz dokumentu, okres obserwacji i datę pobrania zapisujemy osobno. Bieżąca strona może prowadzić do wcześniejszego zestawienia. Próbka API bez filtra czasu może zwrócić najstarsze rekordy.</x:v>
      </x:c>
    </x:row>
    <x:row r="40" ht="80" customHeight="1">
      <x:c r="A40" s="59" t="str">
        <x:v>docs/01_data_research.md</x:v>
      </x:c>
      <x:c r="B40" s="59" t="str">
        <x:v>3.1. Dane o podmiotach i etapach przyłączenia</x:v>
      </x:c>
      <x:c r="C40" s="59" t="str">
        <x:v>Pobrany XLSX ma w nagłówku stan na 31.07.2026. Zawiera identyfikację obiektu i wnioskodawcy, miejsce/napięcie przyłączenia, kierunki mocy oraz etapy procedury. Pole pojemności MWh nie zostało potwierdzone. Nagłówki są wielowierszowe; puste pola i „-” wymagają jawnego mapowania do braku danych. Wymiary arkusza nie są liczbą unikalnych projektów. Plik jest dobrym kandydatem na pierwszy parser po etapie badań. PSE — XLSX, sprawdzono 10.09.2026 (https://www.pse.pl/documents/20182/51490/Informacje_publikowane_zgodnie_z_Art_7_ust_8l_ustawy_PE_stan_na_31_07_2026.xlsx).</x:v>
      </x:c>
    </x:row>
    <x:row r="41" ht="66" customHeight="1">
      <x:c r="A41" s="59" t="str">
        <x:v>docs/01_data_research.md</x:v>
      </x:c>
      <x:c r="B41" s="59" t="str">
        <x:v>3.1. Dane o podmiotach i etapach przyłączenia</x:v>
      </x:c>
      <x:c r="C41" s="59" t="str">
        <x:v>Strona wykazu była oznaczona jako zaktualizowana 1 września. Rozbieżność z okresem arkusza trzeba zachować; nie jest automatycznie błędem źródła. PSE — strona wykazu, sprawdzono 10.09.2026 (https://www.pse.pl/obszary-dzialalnosci/wymiana-miedzysystemowa/informacje-ogolne/-/asset_publisher/L3RZBt9EkXoj/content/wykaz-podmiotow-ubiegajacych-sie-o-przylaczenie-do-krajowej-sieci-przesylowej/pop_up).</x:v>
      </x:c>
    </x:row>
    <x:row r="42" ht="80" customHeight="1">
      <x:c r="A42" s="59" t="str">
        <x:v>docs/01_data_research.md</x:v>
      </x:c>
      <x:c r="B42" s="59" t="str">
        <x:v>3.2. Publikowane moce przyłączeniowe</x:v>
      </x:c>
      <x:c r="C42" s="59" t="str">
        <x:v>PDF ma stan 31.08.2026, rozróżnia horyzonty i warianty uwzględniania WP OSD. Metodyka obejmuje ograniczenia sieciowe i bilansowe. Wartości dotyczą wskazanych obszarów/stacji oraz założeń publikacji, nie niezależnych rezerw do dowolnego sumowania. Nie należy ponownie odejmować pipeline już uwzględnionego w danym wariancie. Szczególnie ważne: tabela odbiorcza na s. 12 dotyczy nowych planowanych stacji w perspektywie kolejnych lat, a nie bieżącej rezerwy importowej wszystkich istniejących stacji. Przejrzano tekst i obraz odpowiedniej strony. PSE — informacja o dostępności, s. 3–4 i 12–13; sprawdzono 10.09.2026</x:v>
      </x:c>
    </x:row>
    <x:row r="43" ht="38" customHeight="1">
      <x:c r="A43" s="59" t="str">
        <x:v>docs/01_data_research.md</x:v>
      </x:c>
      <x:c r="B43" s="59" t="str">
        <x:v>3.2. Publikowane moce przyłączeniowe</x:v>
      </x:c>
      <x:c r="C43" s="59" t="str">
        <x:v>(https://www.pse.pl/documents/20182/51490/informacja_o_dostepnosci_mocy_przylaczeniowej_do_sieci_przesylowej.pdf/81835e70-c6bb-4ed1-8154-1959a45b44f1).</x:v>
      </x:c>
    </x:row>
    <x:row r="44" ht="80" customHeight="1">
      <x:c r="A44" s="59" t="str">
        <x:v>docs/01_data_research.md</x:v>
      </x:c>
      <x:c r="B44" s="59" t="str">
        <x:v>3.3. API raportowe</x:v>
      </x:c>
      <x:c r="C44" s="59" t="str">
        <x:v>Dokumentacja OpenAPI 2.0.9 i anonimowe zapytania potwierdzają dostęp do specyfikacji węzłów (specwezlow), redysponowania (poze-redoze) i przepływów (przeplywy-mocy). Pierwszy zbiór zawiera m.in. nazwy stacji, napięcia rozdzielni i kody szyn; nie dostarcza sam pełnych krawędzi sieci. Drugi rozdziela przyczyny bilansowe i sieciowe. Trzeci w pobranej próbce dotyczy przekrojów transgranicznych. Dostępne są filtrowanie, wybór kolumn i stronicowanie. Nie ustalono gwarantowanego limitu żądań ani praw do redystrybucji wszystkich serii. PSE — schemat API, sprawdzono 10.09.2026 (https://api.raporty.pse.pl/api/openapi).</x:v>
      </x:c>
    </x:row>
    <x:row r="45" ht="80" customHeight="1">
      <x:c r="A45" s="59" t="str">
        <x:v>docs/01_data_research.md</x:v>
      </x:c>
      <x:c r="B45" s="59" t="str">
        <x:v>3.3. API raportowe</x:v>
      </x:c>
      <x:c r="C45" s="59" t="str">
        <x:v>Próby $first=2 sprawdzały interfejs, nie bieżący stan KSE. Zwróciły starsze obserwacje, a pola ograniczeń w próbce miały null. Takie wartości nie oznaczają zerowego redysponowania. API udostępnia dane raportowane; określenie MEASURED wymaga dodatkowej wiedzy o pochodzeniu konkretnego pola. PSE — próbka węzłów (https://api.raporty.pse.pl/api/specwezlow?$first=2), próbka redysponowania (https://api.raporty.pse.pl/api/poze-redoze?$first=2), próbka przepływów (https://api.raporty.pse.pl/api/przeplywy-mocy?$first=2), sprawdzono 10.09.2026.</x:v>
      </x:c>
    </x:row>
    <x:row r="46" ht="66" customHeight="1">
      <x:c r="A46" s="59" t="str">
        <x:v>docs/01_data_research.md</x:v>
      </x:c>
      <x:c r="B46" s="59" t="str">
        <x:v>3.4. Topologia i przyszła sieć</x:v>
      </x:c>
      <x:c r="C46" s="59" t="str">
        <x:v>Plan rozwoju 2027–2036 dostępny w badaniu jest oznaczony jako projekt po konsultacjach. Należy przechowywać status dokumentu i osobno etapy realizacji inwestycji. Nie daje on podstaw do traktowania wszystkich zamierzeń jako istniejącej infrastruktury. PSE — projekt PRSP, sprawdzono 10.09.2026 (https://www.pse.pl/documents/20182/7102190804/PRSP_2027-2036-dokument_glowny_projekt_po_konsultacji.pdf/de2f004f-8a80-4264-907a-a38d52c5d50f).</x:v>
      </x:c>
    </x:row>
    <x:row r="47" ht="66" customHeight="1">
      <x:c r="A47" s="59" t="str">
        <x:v>docs/01_data_research.md</x:v>
      </x:c>
      <x:c r="B47" s="59" t="str">
        <x:v>3.4. Topologia i przyszła sieć</x:v>
      </x:c>
      <x:c r="C47" s="59" t="str">
        <x:v>Publiczna dokumentacja wymiany strukturalnej B2B nie jest dowodem anonimowego dostępu do operacyjnego modelu sieci. Nie potwierdzono takiego dostępu. Otwarty adres dokumentacji grid-struct-api zapisano jako wskazówkę do weryfikacji uprawnień, nie jako działający connector. PSE — dokumentacja interfejsu strukturalnego; próba dostępu 10.09.2026 (https://polskie-sieci-elektroenergetyczne.github.io/grid-struct-api/).</x:v>
      </x:c>
    </x:row>
    <x:row r="48" ht="80" customHeight="1">
      <x:c r="A48" s="59" t="str">
        <x:v>docs/01_data_research.md</x:v>
      </x:c>
      <x:c r="B48" s="59" t="str">
        <x:v>4.1. Energa-Operator</x:v>
      </x:c>
      <x:c r="C48" s="59" t="str">
        <x:v>Oficjalna strona prowadzi do osobnych publikacji dotyczących mocy wytwórczej, odbiorczej i procesu przyłączeń. To pozwala od początku rozdzielić ocenę eksportu i importu BESS. Pobrane dwa dokumenty mocy mają nagłówki z 31.08.2026. Automatyzacja: śledzenie linków HTML, archiwizacja PDF, parser tabel zachowujący nagłówki i jednostki. Nie potwierdzono otwartego API ani GIS z operacyjną topologią. Energa — stan przyłączeń, sprawdzono 10.09.2026 (https://energa-operator.pl/przylaczenie-do-sieci/informacje-o-stanie-przylaczen).</x:v>
      </x:c>
    </x:row>
    <x:row r="49" ht="66" customHeight="1">
      <x:c r="A49" s="59" t="str">
        <x:v>docs/01_data_research.md</x:v>
      </x:c>
      <x:c r="B49" s="59" t="str">
        <x:v>4.1. Energa-Operator</x:v>
      </x:c>
      <x:c r="C49" s="59" t="str">
        <x:v>Publikowane moce należy wiązać z dokładną jednostką raportowania i wariantem źródłowym. Zestawienia nie są pomiarem chwilowego wykorzystania linii czy transformatorów. Energa — moce wytwórcze (https://cdn-netpr.pl/file/mediakit/3063621/4a/informacja_o_wartosci_lacznej_dostepnej_wytworczej_mocy_przylaczeniowej_31_08_2026.pdf), moce odbiorcze (https://cdn-netpr.pl/file/mediakit/3063619/5c/informacja_o_wartosci_lacznej_dostepnej_odbiorczej_mocy_przylaczeniowej_31_08_2026.pdf), sprawdzono 10.09.2026.</x:v>
      </x:c>
    </x:row>
    <x:row r="50" ht="66" customHeight="1">
      <x:c r="A50" s="59" t="str">
        <x:v>docs/01_data_research.md</x:v>
      </x:c>
      <x:c r="B50" s="59" t="str">
        <x:v>4.1. Energa-Operator</x:v>
      </x:c>
      <x:c r="C50" s="59" t="str">
        <x:v>Konflikt do wyjaśnienia: nazwa pliku pipeline wskazuje 31.08.2026, ale nagłówek pierwszej strony i metadane odwołują się do 30.06.2026. Zachowano oba dowody. Do czasu wyjaśnienia nie wolno prezentować danych jako pewnego stanu sierpniowego. Energa — wykaz wniosków i odmów, s. 1; sprawdzono wizualnie 10.09.2026 (https://cdn-netpr.pl/file/mediakit/3063617/fa/2026_08_31_pusop_wnioski_i_odmowy_eop.pdf).</x:v>
      </x:c>
    </x:row>
    <x:row r="51" ht="52" customHeight="1">
      <x:c r="A51" s="59" t="str">
        <x:v>docs/01_data_research.md</x:v>
      </x:c>
      <x:c r="B51" s="59" t="str">
        <x:v>4.1. Energa-Operator</x:v>
      </x:c>
      <x:c r="C51" s="59" t="str">
        <x:v>Plan 2026–2031 jest opisany jako uzgodniony. Może zasilać rejestr przyszłych inwestycji, lecz planowana data nie jest potwierdzeniem oddania do ruchu. Energa — plan rozwoju i status, sprawdzono 10.09.2026 (https://energa-operator.pl/raporty-i-liczby/plan-rozwoju).</x:v>
      </x:c>
    </x:row>
    <x:row r="52" ht="66" customHeight="1">
      <x:c r="A52" s="59" t="str">
        <x:v>docs/01_data_research.md</x:v>
      </x:c>
      <x:c r="B52" s="59" t="str">
        <x:v>4.2. ENEA Operator</x:v>
      </x:c>
      <x:c r="C52" s="59" t="str">
        <x:v>Strona przyłączeń zawiera aktualizowane wykazy i kryteria SN, w tym informacje dla wybranych GPZ. Nie należy przenosić lokalnych kryteriów na całą sieć. Linki do najnowszych części wykazu odnaleziono, ale w tym etapie nie wykonano pełnej walidacji ich wierszy. ENEA — informacje o przyłączeniach, sprawdzono 10.09.2026 (https://www.operator.enea.pl/przylaczenie-do-sieci/informacje-o-przylaczeniach).</x:v>
      </x:c>
    </x:row>
    <x:row r="53" ht="80" customHeight="1">
      <x:c r="A53" s="59" t="str">
        <x:v>docs/01_data_research.md</x:v>
      </x:c>
      <x:c r="B53" s="59" t="str">
        <x:v>4.2. ENEA Operator</x:v>
      </x:c>
      <x:c r="C53" s="59" t="str">
        <x:v>Na stronie map potwierdzono osadzenia Power BI. Operator deklarował w styczniu 2026 codzienną aktualizację. Jest to przydatny interfejs analityczny, ale osadzenie nie jest udokumentowanym publicznym API ani WFS. Nie potwierdzono trwałego, dozwolonego interfejsu eksportu całego zbioru. Nie należy utożsamiać codziennej aktualizacji z telemetrią. ENEA — mapy (https://www.operator.enea.pl/przylaczone-i-dostepne-moce-oze), komunikat o aktualizacji (https://media.enea.pl/pr/863306/enea-operator-codziennie-publikuje-aktualne-dane-dotyczace-oze-dla-inwestorow), sprawdzono 10.09.2026.</x:v>
      </x:c>
    </x:row>
    <x:row r="54" ht="38" customHeight="1">
      <x:c r="A54" s="59" t="str">
        <x:v>docs/01_data_research.md</x:v>
      </x:c>
      <x:c r="B54" s="59" t="str">
        <x:v>4.2. ENEA Operator</x:v>
      </x:c>
      <x:c r="C54" s="59" t="str">
        <x:v>Plan 2026–2031 jest przedstawiony jako uzgodniony z URE. To źródło inwestycji, nie dynamicznych przepływów. ENEA — plan rozwoju, sprawdzono 10.09.2026 (https://www.operator.enea.pl/plan-rozwoju-enea-operator-na-lata-2026-2031).</x:v>
      </x:c>
    </x:row>
    <x:row r="55" ht="80" customHeight="1">
      <x:c r="A55" s="59" t="str">
        <x:v>docs/01_data_research.md</x:v>
      </x:c>
      <x:c r="B55" s="59" t="str">
        <x:v>4.3. TAURON Dystrybucja</x:v>
      </x:c>
      <x:c r="C55" s="59" t="str">
        <x:v>Pobrano rzeczywisty 99-stronicowy PDF wykazu. W próbce występują zanonimizowane oznaczenia wnioskodawców i miejsca przyłączenia jeszcze nieokreślone. Nie ma więc podstaw do obietnicy pełnej identyfikacji wszystkich SPV ani automatycznego przypisania każdego wniosku do stacji. Rozmiar dokumentu uzasadnia sprawdzanie zmian i cache zamiast wielokrotnych pobrań. TAURON — wykaz, sprawdzono 10.09.2026 (https://www.tauron-dystrybucja.pl/-/media/offer-documents/dystrybucja/przylaczenie/dostepne-moce/informacja-o-przylaczanych-obiektach-i-wydanych-odmowach.ashx).</x:v>
      </x:c>
    </x:row>
    <x:row r="56" ht="66" customHeight="1">
      <x:c r="A56" s="59" t="str">
        <x:v>docs/01_data_research.md</x:v>
      </x:c>
      <x:c r="B56" s="59" t="str">
        <x:v>4.3. TAURON Dystrybucja</x:v>
      </x:c>
      <x:c r="C56" s="59" t="str">
        <x:v>Portal dostępnych mocy i strona planu są dodatkowymi źródłami. Nie potwierdzono publicznego API do pełnego pobierania danych portalu. Wyświetlane możliwości i inwestycje wymagają odczytania właściwego scenariusza oraz zastrzeżeń operatora. TAURON — portal (https://dostepnemoce.tauron-dystrybucja.pl/), plan rozwoju (https://www.tauron-dystrybucja.pl/plan-rozwoju), sprawdzono 10.09.2026.</x:v>
      </x:c>
    </x:row>
    <x:row r="57" ht="52" customHeight="1">
      <x:c r="A57" s="59" t="str">
        <x:v>docs/01_data_research.md</x:v>
      </x:c>
      <x:c r="B57" s="59" t="str">
        <x:v>4.4. Stoen Operator</x:v>
      </x:c>
      <x:c r="C57" s="59" t="str">
        <x:v>Strona sieci udostępnia moce eksportowe i odbiorcze, wykazy procedur, rejestr magazynów oraz plan rozwoju. Pobrano PDF eksportowy III kwartału 2026 i odbiorczy z 31.08.2026. Pozostałe linki zapisano w katalogu ze słabszym statusem weryfikacji. Stoen — sieć, sprawdzono 10.09.2026 (https://www.stoen.pl/pl/strona/siec).</x:v>
      </x:c>
    </x:row>
    <x:row r="58" ht="66" customHeight="1">
      <x:c r="A58" s="59" t="str">
        <x:v>docs/01_data_research.md</x:v>
      </x:c>
      <x:c r="B58" s="59" t="str">
        <x:v>4.4. Stoen Operator</x:v>
      </x:c>
      <x:c r="C58" s="59" t="str">
        <x:v>Eksport jest opisany m.in. dla dzielnic/grup stacji i poziomów 110/15 kV. Dokument zawiera założenia dotyczące pracy źródła oraz starszych danych o małych instalacjach. Data wydania nie gwarantuje tej samej świeżości wszystkich wejść do obliczeń operatora. Stoen — eksport III kw. 2026, s. 3–5; sprawdzono 10.09.2026 (https://www.stoen.pl/files/2026-07/wielkosc-dostepnej-mocy-przylaczeniowej-zrodel-w-sieci-stoen-operator-iii-kw-2026.pdf).</x:v>
      </x:c>
    </x:row>
    <x:row r="59" ht="66" customHeight="1">
      <x:c r="A59" s="59" t="str">
        <x:v>docs/01_data_research.md</x:v>
      </x:c>
      <x:c r="B59" s="59" t="str">
        <x:v>4.4. Stoen Operator</x:v>
      </x:c>
      <x:c r="C59" s="59" t="str">
        <x:v>Występuje konkretna kwestia prawna: §6 regulaminu zastrzega komercyjne wykorzystanie informacji poza wskazanymi wyjątkami i wymaga uprzedniej zgody. Przed produkcyjnym pobieraniem/redystrybucją trzeba wyjaśnić zakres zastosowania do wybranych publikacji i ustawowego ponownego wykorzystania. W badaniu nie uzyskano takiej zgody. Stoen — regulamin, sprawdzono 10.09.2026 (https://www.stoen.pl/strona/regulamin).</x:v>
      </x:c>
    </x:row>
    <x:row r="60" ht="94" customHeight="1">
      <x:c r="A60" s="59" t="str">
        <x:v>docs/01_data_research.md</x:v>
      </x:c>
      <x:c r="B60" s="59" t="str">
        <x:v>4.5. PGE Dystrybucja</x:v>
      </x:c>
      <x:c r="C60" s="59" t="str">
        <x:v>Adres strony dostępnych mocy odpowiadał HTTP 200, ale treścią była krótka informacja o odrzuceniu działania. Zachowano ją jako dowód blokady. Wyszukiwanie wskazało PDF mocy z I kwartału 2026 i projekt planu rozwoju, lecz treści tych dokumentów nie udało się wiarygodnie odczytać. Nie potwierdzamy ich parametrów, aktualności ani możliwości automatycznego pobierania. Nie próbowano obchodzić zabezpieczeń. Następny krok to zwykły dostęp przeglądarkowy albo uzgodnienie oficjalnego kanału danych. PGE — badana strona, próba 10.09.2026 (https://pgedystrybucja.pl/przylaczenia/procedury-przylaczeniowe/dostepne-moce-dla-zrodel-wytworczych).</x:v>
      </x:c>
    </x:row>
    <x:row r="61" ht="66" customHeight="1">
      <x:c r="A61" s="59" t="str">
        <x:v>docs/01_data_research.md</x:v>
      </x:c>
      <x:c r="B61" s="59" t="str">
        <x:v>4.6. Mniejsi operatorzy i pokrycie projektów odbiorczych</x:v>
      </x:c>
      <x:c r="C61" s="59" t="str">
        <x:v>KGHM publikuje informacje o swojej działalności OSD, dostępnych mocach, przyłączeniach, odmowach i magazynach. To wartościowy przykład sieci przemysłowej, którą trzeba wiązać z nadrzędnym OSD/OSP. Nie można zakładać, że pięciu dużych OSD obejmuje wszystkie przyłączenia przemysłowe. KGHM — OSD, sprawdzono 10.09.2026 (https://kghm.com/pl/biznes/strefa-energetyczna/osd-dla-systemu-elektroenergetycznego).</x:v>
      </x:c>
    </x:row>
    <x:row r="62" ht="52" customHeight="1">
      <x:c r="A62" s="59" t="str">
        <x:v>docs/01_data_research.md</x:v>
      </x:c>
      <x:c r="B62" s="59" t="str">
        <x:v>4.6. Mniejsi operatorzy i pokrycie projektów odbiorczych</x:v>
      </x:c>
      <x:c r="C62" s="59" t="str">
        <x:v>Data center, elektrolizery i duże odbiory należy poszukiwać w wykazach odbiorczych, dokumentach administracyjnych oraz publikacjach inwestora. Anonimizacja i brak jednoznacznego pola technologii ograniczają rozpoznawalność. Brak projektu w publicznym wykazie nie dowodzi braku konkurencji o sieć.</x:v>
      </x:c>
    </x:row>
    <x:row r="63" ht="66" customHeight="1">
      <x:c r="A63" s="59" t="str">
        <x:v>docs/01_data_research.md</x:v>
      </x:c>
      <x:c r="B63" s="59" t="str">
        <x:v>5. Rejestry administracyjne i odkrywanie projektów</x:v>
      </x:c>
      <x:c r="C63" s="59" t="str">
        <x:v>BIP URE — rejestry i bazy, sprawdzono 10.09.2026 (https://bip.ure.gov.pl/bip/rejestry-i-bazy) daje punkty wejścia do rejestrów regulacyjnych, w tym małych instalacji OZE. Mogą potwierdzać podmiot lub określony status działalności. Nie są kompletną mapą połączeń projekt–GPZ. Różne progi i zakresy rejestrów wymagają zachowania ich definicji. Raporty o odmowach nie stanowią automatycznie zbioru niezależnych obserwacji do wyliczania szans pojedynczego projektu.</x:v>
      </x:c>
    </x:row>
    <x:row r="64" ht="80" customHeight="1">
      <x:c r="A64" s="59" t="str">
        <x:v>docs/01_data_research.md</x:v>
      </x:c>
      <x:c r="B64" s="59" t="str">
        <x:v>5. Rejestry administracyjne i odkrywanie projektów</x:v>
      </x:c>
      <x:c r="C64" s="59" t="str">
        <x:v>BIP gmin, RDOŚ i dokumenty środowiskowe mogą dostarczyć lokalizację, działki, nazwę inwestora i parametry zamierzenia. Obwieszczenie o wszczęciu postępowania nie potwierdza pozwolenia, WP ani realizacji. Jeden projekt może występować pod kilkoma nazwami i numerami spraw. Potrzebny jest parser konkretnego serwisu oraz ręczna kontrola dopasowań. W tym etapie nie zbudowano kompletnego indeksu BIP ani nie potwierdzono krajowego API całego pipeline. Ekoportal — punkt wejścia, dostęp w badaniu niepełny; sprawdzono 10.09.2026 (https://ekoportal.gov.pl/).</x:v>
      </x:c>
    </x:row>
    <x:row r="65" ht="52" customHeight="1">
      <x:c r="A65" s="59" t="str">
        <x:v>docs/01_data_research.md</x:v>
      </x:c>
      <x:c r="B65" s="59" t="str">
        <x:v>5. Rejestry administracyjne i odkrywanie projektów</x:v>
      </x:c>
      <x:c r="C65" s="59" t="str">
        <x:v>Publiczna dokumentacja KRS jest potencjalnym uzupełnieniem identyfikacji SPV, ale nie dowodzi związku spółki z projektem ani beneficjentem sieciowym. W tym badaniu nie wykonano zapytań o podmioty. KRS — punkt wejścia OpenAPI, sprawdzono 10.09.2026 (https://prs.ms.gov.pl/krs/openApi).</x:v>
      </x:c>
    </x:row>
    <x:row r="66" ht="80" customHeight="1">
      <x:c r="A66" s="59" t="str">
        <x:v>docs/01_data_research.md</x:v>
      </x:c>
      <x:c r="B66" s="59" t="str">
        <x:v>5. Rejestry administracyjne i odkrywanie projektów</x:v>
      </x:c>
      <x:c r="C66" s="59" t="str">
        <x:v>Nowelizacja Prawa energetycznego opublikowana w Dz.U. 2026 poz. 516 rozróżnia w treści dotyczącej aktualizacji publikacji co najmniej miesięczną częstotliwość OSP i kwartalną OSD. Nie należy wpisywać w katalogu wszystkim operatorom identycznego ustawowego cyklu miesięcznego; dodatkowo trzeba badać faktyczną praktykę. To ustalenie zakresu źródła, nie pełna opinia prawna o wszystkich obowiązkach operatorów. Dziennik Ustaw — tekst, s. 15; sprawdzono 10.09.2026 (https://dziennikustaw.gov.pl/D2026000051601.pdf).</x:v>
      </x:c>
    </x:row>
    <x:row r="67" ht="38" customHeight="1">
      <x:c r="A67" s="59" t="str">
        <x:v>docs/01_data_research.md</x:v>
      </x:c>
      <x:c r="B67" s="59" t="str">
        <x:v>6. Dane przestrzenne</x:v>
      </x:c>
      <x:c r="C67" s="59" t="str">
        <x:v>Warstwa GIS może wykluczać ewidentnie problematyczne korytarze i wspierać wybór kandydatów. Nie wyznacza samodzielnie możliwej do uzyskania służebności, warunków przekroczenia drogi ani wykonalności przyłącza.</x:v>
      </x:c>
    </x:row>
    <x:row r="68" ht="30" customHeight="1">
      <x:c r="A68" s="59" t="str">
        <x:v>docs/01_data_research.md</x:v>
      </x:c>
      <x:c r="B68" s="59" t="str">
        <x:v>6. Dane przestrzenne</x:v>
      </x:c>
      <x:c r="C68" s="59" t="str">
        <x:v>Źródło i data kontroli / Potwierdzony interfejs / zawartość / Ograniczenie</x:v>
      </x:c>
    </x:row>
    <x:row r="69" ht="66" customHeight="1">
      <x:c r="A69" s="59" t="str">
        <x:v>docs/01_data_research.md</x:v>
      </x:c>
      <x:c r="B69" s="59" t="str">
        <x:v>6. Dane przestrzenne</x:v>
      </x:c>
      <x:c r="C69" s="59" t="str">
        <x:v>GUGiK EGiB WFS (https://mapy.geoportal.gov.pl/wss/service/PZGIK/EGIB/WFS/UslugaZbiorcza?SERVICE=WFS&amp;REQUEST=GetCapabilities), 10.09.2026 / Pobrany i poprawny XML GetCapabilities WFS 2.0; geometria i identyfikacja działek/budynków w zintegrowanym zasobie / Nie potwierdzono w tej próbie GetFeature ani pełnego krajowego pobrania. Publiczna geometria nie daje informacji o właścicielu i tytule prawnym</x:v>
      </x:c>
    </x:row>
    <x:row r="70" ht="52" customHeight="1">
      <x:c r="A70" s="59" t="str">
        <x:v>docs/01_data_research.md</x:v>
      </x:c>
      <x:c r="B70" s="59" t="str">
        <x:v>6. Dane przestrzenne</x:v>
      </x:c>
      <x:c r="C70" s="59" t="str">
        <x:v>BDOT10k (https://www.geoportal.gov.pl/pl/dane/baza-danych-obiektow-topograficznych-bdot10k/), 10.09.2026 / Pakiety danych i usługa WMS do pobierania; drogi, kolej, obiekty topograficzne / Parametry sieci elektrycznej i stan łączników nie wynikają z topografii</x:v>
      </x:c>
    </x:row>
    <x:row r="71" ht="52" customHeight="1">
      <x:c r="A71" s="59" t="str">
        <x:v>docs/01_data_research.md</x:v>
      </x:c>
      <x:c r="B71" s="59" t="str">
        <x:v>6. Dane przestrzenne</x:v>
      </x:c>
      <x:c r="C71" s="59" t="str">
        <x:v>BDOT10k — GeoParquet (https://www.geoportal.gov.pl/aktualnosci/nowy-sposob-udostepniania-danych-bdot10k-w-geoportalu/), 10.09.2026 / Oficjalnie udostępniony format od kwietnia 2026, podział na klasy / Nie pobierano wielkich paczek; schemat, aktualność i kompletność poszczególnych klas wymagają sprawdzenia</x:v>
      </x:c>
    </x:row>
    <x:row r="72" ht="52" customHeight="1">
      <x:c r="A72" s="59" t="str">
        <x:v>docs/01_data_research.md</x:v>
      </x:c>
      <x:c r="B72" s="59" t="str">
        <x:v>6. Dane przestrzenne</x:v>
      </x:c>
      <x:c r="C72" s="59" t="str">
        <x:v>Ortofotomapa (https://www.geoportal.gov.pl/pl/dane/ortofotomapa-orto/), 10.09.2026 / WMS/WMTS i pobieranie; strona opisuje bezpłatne wykorzystanie / Data zdjęcia różna od daty pobrania; widoczny przewód nie potwierdza napięcia ani połączenia elektrycznego</x:v>
      </x:c>
    </x:row>
    <x:row r="73" ht="38" customHeight="1">
      <x:c r="A73" s="59" t="str">
        <x:v>docs/01_data_research.md</x:v>
      </x:c>
      <x:c r="B73" s="59" t="str">
        <x:v>6. Dane przestrzenne</x:v>
      </x:c>
      <x:c r="C73" s="59" t="str">
        <x:v>NMT (https://www.geoportal.gov.pl/pl/dane/numeryczny-model-terenu-nmt/), 10.09.2026 / Pliki wysokościowe/usługi opisane przez GUGiK / Rozdzielczość, pionowy układ odniesienia i aktualność wymagają zachowania w metadanych</x:v>
      </x:c>
    </x:row>
    <x:row r="74" ht="38" customHeight="1">
      <x:c r="A74" s="59" t="str">
        <x:v>docs/01_data_research.md</x:v>
      </x:c>
      <x:c r="B74" s="59" t="str">
        <x:v>6. Dane przestrzenne</x:v>
      </x:c>
      <x:c r="C74" s="59" t="str">
        <x:v>Integracja MPZP (https://mapy.geoportal.gov.pl/wss/ext/KrajowaIntegracjaMiejscowychPlanowZagospodarowaniaPrzestrzennego?lang=pol), 10.09.2026 / Zintegrowane prezentowanie planów / Obraz mapy nie zastępuje tekstu uchwały i ustaleń konkretnej gminy</x:v>
      </x:c>
    </x:row>
    <x:row r="75" ht="38" customHeight="1">
      <x:c r="A75" s="59" t="str">
        <x:v>docs/01_data_research.md</x:v>
      </x:c>
      <x:c r="B75" s="59" t="str">
        <x:v>6. Dane przestrzenne</x:v>
      </x:c>
      <x:c r="C75" s="59" t="str">
        <x:v>Rejestr Urbanistyczny (https://rejestr-urbanistyczny.gov.pl/published), 10.09.2026 / Otwarty interfejs strony / Nie potwierdzono kompletności, eksportu i stabilnego publicznego API; nie uznano go za gotowy krajowy connector</x:v>
      </x:c>
    </x:row>
    <x:row r="76" ht="52" customHeight="1">
      <x:c r="A76" s="59" t="str">
        <x:v>docs/01_data_research.md</x:v>
      </x:c>
      <x:c r="B76" s="59" t="str">
        <x:v>6. Dane przestrzenne</x:v>
      </x:c>
      <x:c r="C76" s="59" t="str">
        <x:v>GDOŚ WFS (https://sdi.gdos.gov.pl/wfs?SERVICE=WFS&amp;REQUEST=GetCapabilities), 10.09.2026 / Potwierdzone GetCapabilities; chronione obszary i Natura 2000 / Usługa nie zastępuje aktów ustanawiających ochronę; nie przeprowadzono walidacji wszystkich geometrii</x:v>
      </x:c>
    </x:row>
    <x:row r="77" ht="52" customHeight="1">
      <x:c r="A77" s="59" t="str">
        <x:v>docs/01_data_research.md</x:v>
      </x:c>
      <x:c r="B77" s="59" t="str">
        <x:v>6. Dane przestrzenne</x:v>
      </x:c>
      <x:c r="C77" s="59" t="str">
        <x:v>Wody Polskie — SIGW (https://www.gov.pl/web/wody-polskie/udostepnianie-danych-z-systemu-informacyjnego-gospodarowania-wodami), 10.09.2026 / Przeglądanie map/usługi i procedura uzyskania danych, w tym zagrożenie powodziowe / Dostęp do przeglądania nie oznacza dowolnego bezpłatnego pobierania każdego produktu; zakres i odpłatność zależą od sposobu udostępnienia</x:v>
      </x:c>
    </x:row>
    <x:row r="78" ht="52" customHeight="1">
      <x:c r="A78" s="59" t="str">
        <x:v>docs/01_data_research.md</x:v>
      </x:c>
      <x:c r="B78" s="59" t="str">
        <x:v>6. Dane przestrzenne</x:v>
      </x:c>
      <x:c r="C78" s="59" t="str">
        <x:v>Bank Danych o Lasach — OGC (https://www9.bdl.lasy.gov.pl/portal/uslugi-ogc?v=1), 10.09.2026 / Dokumentacja WFS, WMS i WMTS, także adresy usług ArcGIS / Nie wykonano próby masowego pobierania; własność i możliwość wyłączenia gruntu z produkcji wymagają osobnych ustaleń</x:v>
      </x:c>
    </x:row>
    <x:row r="79" ht="52" customHeight="1">
      <x:c r="A79" s="59" t="str">
        <x:v>docs/01_data_research.md</x:v>
      </x:c>
      <x:c r="B79" s="59" t="str">
        <x:v>6. Dane przestrzenne</x:v>
      </x:c>
      <x:c r="C79" s="59" t="str">
        <x:v>Trzeba zachować CRS oryginału i jawnie transformować współrzędne; w Polsce występuje m.in. EPSG:2180. EPSG:4326 może być wspólnym układem wymiany, ale pomiar odległości należy wykonywać w odpowiednim układzie metrycznym. Kolejność osi WMS/WFS zależy od wersji protokołu i CRS. WMS/WMTS prezentują obraz, WFS może udostępniać obiekty; nie są zamienne jako źródła grafu.</x:v>
      </x:c>
    </x:row>
    <x:row r="80" ht="80" customHeight="1">
      <x:c r="A80" s="59" t="str">
        <x:v>docs/01_data_research.md</x:v>
      </x:c>
      <x:c r="B80" s="59" t="str">
        <x:v>7.1. Dane systemowe</x:v>
      </x:c>
      <x:c r="C80" s="59" t="str">
        <x:v>ENTSO-E Transparency Platform oferuje dane systemowe o generacji, zapotrzebowaniu, wymianie i innych zdarzeniach. REST API wymaga tokenu; nie wykonano uwierzytelnionego zapytania. Dokumentacja z kwietnia 2026 wskazuje limit 400 żądań/minutę na token w opisanej wersji platformy. Zastosowanie: kontekst krajowy/strefowy i kontrola zgodności szeregów, nie lokalna telemetria GPZ. ENTSO-E — platforma (https://www.entsoe.eu/data/transparency-platform/), token (https://transparencyplatform.zendesk.com/hc/en-us/articles/12845911031188-How-to-get-security-token), limit</x:v>
      </x:c>
    </x:row>
    <x:row r="81" ht="30" customHeight="1">
      <x:c r="A81" s="59" t="str">
        <x:v>docs/01_data_research.md</x:v>
      </x:c>
      <x:c r="B81" s="59" t="str">
        <x:v>7.1. Dane systemowe</x:v>
      </x:c>
      <x:c r="C81" s="59" t="str">
        <x:v>(https://transparencyplatform.zendesk.com/hc/en-us/articles/12783148966036-API-Rate-Limit-Part-1), sprawdzono 10.09.2026.</x:v>
      </x:c>
    </x:row>
    <x:row r="82" ht="52" customHeight="1">
      <x:c r="A82" s="59" t="str">
        <x:v>docs/01_data_research.md</x:v>
      </x:c>
      <x:c r="B82" s="59" t="str">
        <x:v>7.1. Dane systemowe</x:v>
      </x:c>
      <x:c r="C82" s="59" t="str">
        <x:v>Warunki prawne odsyłają do listy danych dopuszczonych do ponownego wykorzystania. Nie wolno rozciągać licencji określonej kategorii na całą platformę ani na osobną mapę sieci. ENTSO-E — warunki (https://transparencyplatform.zendesk.com/hc/en-us/articles/40921911218961-Legal-Terms-and-Conditions), sprawdzono 10.09.2026.</x:v>
      </x:c>
    </x:row>
    <x:row r="83" ht="94" customHeight="1">
      <x:c r="A83" s="59" t="str">
        <x:v>docs/01_data_research.md</x:v>
      </x:c>
      <x:c r="B83" s="59" t="str">
        <x:v>7.1. Dane systemowe</x:v>
      </x:c>
      <x:c r="C83" s="59" t="str">
        <x:v>Energy-Charts udostępnia OpenAPI i działające anonimowe zapytanie v2/public_power dla country=pl; pobrano próbkę dobową. Odpowiedź v2 zawiera series i obserwacje data.timestamp/values, a także metadane CC BY 4.0 z atrybucją energy-charts.info. Nie należy przenosić tej informacji automatycznie na wszystkie pozostałe produkty. Ember ma interfejs API i rejestrację, lecz nie wykonano zapytania z kluczem. Żadne z tych źródeł nie rozwiązuje braków lokalnych przepływów. Energy-Charts — próbka z metadanymi (https://api.energy-charts.info/v2/public_power?country=pl&amp;start=2026-09-01&amp;end=2026-09-01), schemat (https://api.energy-charts.info/openapi.json),</x:v>
      </x:c>
    </x:row>
    <x:row r="84" ht="30" customHeight="1">
      <x:c r="A84" s="59" t="str">
        <x:v>docs/01_data_research.md</x:v>
      </x:c>
      <x:c r="B84" s="59" t="str">
        <x:v>7.1. Dane systemowe</x:v>
      </x:c>
      <x:c r="C84" s="59" t="str">
        <x:v>Ember — dokumentacja (https://api.ember-energy.org/v1/docs), sprawdzono 10.09.2026.</x:v>
      </x:c>
    </x:row>
    <x:row r="85" ht="66" customHeight="1">
      <x:c r="A85" s="59" t="str">
        <x:v>docs/01_data_research.md</x:v>
      </x:c>
      <x:c r="B85" s="59" t="str">
        <x:v>7.1. Dane systemowe</x:v>
      </x:c>
      <x:c r="C85" s="59" t="str">
        <x:v>Open Power System Data ma użyteczne historyczne szeregi, ale przejrzana paczka time_series jest wydaniem z 2020 r. JRC IDEES-2023 obejmuje historyczną strukturę zużycia energii, nie aktualną sieć przyłączeniową. Nie należy traktować świeżej daty publikacji metadanych jako świeżości wszystkich obserwacji. OPSD — time series (https://data.open-power-system-data.org/time_series/), JRC IDEES (https://data.jrc.ec.europa.eu/dataset/1f0b480c-6d21-4d95-897d-20c7ca33df6f), sprawdzono 10.09.2026.</x:v>
      </x:c>
    </x:row>
    <x:row r="86" ht="80" customHeight="1">
      <x:c r="A86" s="59" t="str">
        <x:v>docs/01_data_research.md</x:v>
      </x:c>
      <x:c r="B86" s="59" t="str">
        <x:v>7.1. Dane systemowe</x:v>
      </x:c>
      <x:c r="C86" s="59" t="str">
        <x:v>Copernicus może wspomóc analizę terenu, pokrycia ziemi i przyszłe modele profili, ale nie publikuje parametrów transformatorów. Dokumentacja opisuje OData i inne kanały; autoryzacja i limity zależą od usługi. Licencja produktu Sentinel, DEM i treści samego portalu nie musi być identyczna. Copernicus — OData (https://documentation.dataspace.copernicus.eu/APIs/OData.html), warunki (https://dataspace.copernicus.eu/terms-and-conditions), limity (https://documentation.dataspace.copernicus.eu/Quotas.html), sprawdzono 10.09.2026.</x:v>
      </x:c>
    </x:row>
    <x:row r="87" ht="38" customHeight="1">
      <x:c r="A87" s="59" t="str">
        <x:v>docs/01_data_research.md</x:v>
      </x:c>
      <x:c r="B87" s="59" t="str">
        <x:v>7.2. Czy istnieje gotowy model topologii Polski?</x:v>
      </x:c>
      <x:c r="C87" s="59" t="str">
        <x:v>Istnieją materiały do zbudowania grafu referencyjnego, ale w badaniu nie potwierdzono gotowego publicznego modelu odpowiadającego bieżącej polskiej sieci operacyjnej i wszystkim potrzebom przyłączeniowym.</x:v>
      </x:c>
    </x:row>
    <x:row r="88" ht="30" customHeight="1">
      <x:c r="A88" s="59" t="str">
        <x:v>docs/01_data_research.md</x:v>
      </x:c>
      <x:c r="B88" s="59" t="str">
        <x:v>7.2. Czy istnieje gotowy model topologii Polski?</x:v>
      </x:c>
      <x:c r="C88" s="59" t="str">
        <x:v>Źródło, sprawdzone 10.09.2026 / Możliwe zastosowanie / Czego nie dowodzi</x:v>
      </x:c>
    </x:row>
    <x:row r="89" ht="38" customHeight="1">
      <x:c r="A89" s="59" t="str">
        <x:v>docs/01_data_research.md</x:v>
      </x:c>
      <x:c r="B89" s="59" t="str">
        <x:v>7.2. Czy istnieje gotowy model topologii Polski?</x:v>
      </x:c>
      <x:c r="C89" s="59" t="str">
        <x:v>ENTSO-E Grid Map (https://www.entsoe.eu/data/map/downloads/) / Mapa przeglądowa sieci przesyłowej; dostępne wydanie opisane jako aktualizowane w 2024 r. / Układu ruchowego i parametrów każdego elementu w 2026 r.</x:v>
      </x:c>
    </x:row>
    <x:row r="90" ht="52" customHeight="1">
      <x:c r="A90" s="59" t="str">
        <x:v>docs/01_data_research.md</x:v>
      </x:c>
      <x:c r="B90" s="59" t="str">
        <x:v>7.2. Czy istnieje gotowy model topologii Polski?</x:v>
      </x:c>
      <x:c r="C90" s="59" t="str">
        <x:v>OpenStreetMap (https://www.openstreetmap.org/copyright), Geofabrik Polska (https://download.geofabrik.de/europe/poland.html) / Geometria obiektów i tagi; regionalny PBF zamiast agresywnego odpytywania publicznego Overpass / Kompletności, poprawności napięć, mocy transformacji lub stanu łączników; ODbL nakłada obowiązki</x:v>
      </x:c>
    </x:row>
    <x:row r="91" ht="38" customHeight="1">
      <x:c r="A91" s="59" t="str">
        <x:v>docs/01_data_research.md</x:v>
      </x:c>
      <x:c r="B91" s="59" t="str">
        <x:v>7.2. Czy istnieje gotowy model topologii Polski?</x:v>
      </x:c>
      <x:c r="C91" s="59" t="str">
        <x:v>OpenInfraMap (https://openinframap.org/about) / Czytelny podgląd warstwy energetycznej OSM / Niezależnego potwierdzenia OSM — to wizualizacja tych samych danych</x:v>
      </x:c>
    </x:row>
    <x:row r="92" ht="52" customHeight="1">
      <x:c r="A92" s="59" t="str">
        <x:v>docs/01_data_research.md</x:v>
      </x:c>
      <x:c r="B92" s="59" t="str">
        <x:v>7.2. Czy istnieje gotowy model topologii Polski?</x:v>
      </x:c>
      <x:c r="C92" s="59" t="str">
        <x:v>PyPSA-Eur (https://github.com/PyPSA/pypsa-eur), publikacja o budowie modelu z OSM (https://arxiv.org/abs/2408.17178) / Powtarzalne przygotowanie modelu europejskiego; wzorce budowania topologii i przypisywania parametrów / Że estymowane parametry są danymi polskiego operatora; zgodność agregatów nie waliduje pojedynczego GPZ</x:v>
      </x:c>
    </x:row>
    <x:row r="93" ht="52" customHeight="1">
      <x:c r="A93" s="59" t="str">
        <x:v>docs/01_data_research.md</x:v>
      </x:c>
      <x:c r="B93" s="59" t="str">
        <x:v>7.2. Czy istnieje gotowy model topologii Polski?</x:v>
      </x:c>
      <x:c r="C93" s="59" t="str">
        <x:v>MATPOWER case2383wp (https://github.com/MATPOWER/matpower/blob/master/data/case2383wp.m) / Testy algorytmów na historycznym przypadku polskiej sieci / Aktualności: opis dotyczy zimy 1999/2000, zawiera uproszczenia i agregacje; nie nadaje się na bieżącą mapę konkurencji o przyłączenie</x:v>
      </x:c>
    </x:row>
    <x:row r="94" ht="52" customHeight="1">
      <x:c r="A94" s="59" t="str">
        <x:v>docs/01_data_research.md</x:v>
      </x:c>
      <x:c r="B94" s="59" t="str">
        <x:v>7.2. Czy istnieje gotowy model topologii Polski?</x:v>
      </x:c>
      <x:c r="C94" s="59" t="str">
        <x:v>Łączenie tych danych wymaga przechowywania źródłowych identyfikatorów i pochodzenia każdej krawędzi. Geometria przecinających się linii nie oznacza ich elektrycznego połączenia. Połączenie stacji przez OSM, skorygowane na podstawie mapy operatora, nadal wymaga jawnego poziomu pewności i wskazania dowodów.</x:v>
      </x:c>
    </x:row>
    <x:row r="95" ht="38" customHeight="1">
      <x:c r="A95" s="59" t="str">
        <x:v>docs/01_data_research.md</x:v>
      </x:c>
      <x:c r="B95" s="59" t="str">
        <x:v>7.3. Biblioteki — ocena przydatności, bez dodawania zależności</x:v>
      </x:c>
      <x:c r="C95" s="59" t="str">
        <x:v>Narzędzie, sprawdzone 10.09.2026 / Zastosowanie po spełnieniu warunków / Decyzja etapu 1</x:v>
      </x:c>
    </x:row>
    <x:row r="96" ht="38" customHeight="1">
      <x:c r="A96" s="59" t="str">
        <x:v>docs/01_data_research.md</x:v>
      </x:c>
      <x:c r="B96" s="59" t="str">
        <x:v>7.3. Biblioteki — ocena przydatności, bez dodawania zależności</x:v>
      </x:c>
      <x:c r="C96" s="59" t="str">
        <x:v>pandapower (https://github.com/e2nIEE/pandapower) / Analiza rozpływów przy kompletnych parametrach i założeniach / Kandydat do późniejszej walidacji; wbudowane przykłady nie są aktualnym modelem Polski</x:v>
      </x:c>
    </x:row>
    <x:row r="97" ht="38" customHeight="1">
      <x:c r="A97" s="59" t="str">
        <x:v>docs/01_data_research.md</x:v>
      </x:c>
      <x:c r="B97" s="59" t="str">
        <x:v>7.3. Biblioteki — ocena przydatności, bez dodawania zależności</x:v>
      </x:c>
      <x:c r="C97" s="59" t="str">
        <x:v>PyPSA-Eur (https://github.com/PyPSA/pypsa-eur) / Scenariusze systemowe i przygotowanie modeli / Przeanalizować metody, zachować licencje poszczególnych danych niezależnie od kodu</x:v>
      </x:c>
    </x:row>
    <x:row r="98" ht="38" customHeight="1">
      <x:c r="A98" s="59" t="str">
        <x:v>docs/01_data_research.md</x:v>
      </x:c>
      <x:c r="B98" s="59" t="str">
        <x:v>7.3. Biblioteki — ocena przydatności, bez dodawania zależności</x:v>
      </x:c>
      <x:c r="C98" s="59" t="str">
        <x:v>GridCal / VeraGrid (https://github.com/SanPen/VeraGrid) / Narzędzia analizy sieci; repozytorium obecnie pod nazwą VeraGrid, licencja MPL-2.0 / Alternatywa do porównania dopiero z rzeczywistym przypadkiem testowym</x:v>
      </x:c>
    </x:row>
    <x:row r="99" ht="38" customHeight="1">
      <x:c r="A99" s="59" t="str">
        <x:v>docs/01_data_research.md</x:v>
      </x:c>
      <x:c r="B99" s="59" t="str">
        <x:v>7.3. Biblioteki — ocena przydatności, bez dodawania zależności</x:v>
      </x:c>
      <x:c r="C99" s="59" t="str">
        <x:v>MATPOWER (https://github.com/MATPOWER/matpower) / Referencyjne obliczenia i przypadki testowe / Benchmark, nie źródło aktualnego KSE</x:v>
      </x:c>
    </x:row>
    <x:row r="100" ht="38" customHeight="1">
      <x:c r="A100" s="59" t="str">
        <x:v>docs/01_data_research.md</x:v>
      </x:c>
      <x:c r="B100" s="59" t="str">
        <x:v>7.3. Biblioteki — ocena przydatności, bez dodawania zależności</x:v>
      </x:c>
      <x:c r="C100" s="59" t="str">
        <x:v>PowerModels.jl (https://github.com/lanl-ansi/PowerModels.jl) / Formułowanie problemów optymalizacji sieci / Dodatkowy stos Julia nie jest uzasadniony dla etapu dokumentacyjnego</x:v>
      </x:c>
    </x:row>
    <x:row r="101" ht="38" customHeight="1">
      <x:c r="A101" s="59" t="str">
        <x:v>docs/01_data_research.md</x:v>
      </x:c>
      <x:c r="B101" s="59" t="str">
        <x:v>7.3. Biblioteki — ocena przydatności, bez dodawania zależności</x:v>
      </x:c>
      <x:c r="C101" s="59" t="str">
        <x:v>Dobór solvera nie usuwa braku danych wejściowych. Warunki licencyjne kodu należy sprawdzać dla przypiętej wersji, a danych — osobno. Nie instalowano tych bibliotek ani nie uruchamiano obliczeń rozpływowych.</x:v>
      </x:c>
    </x:row>
    <x:row r="102" ht="38" customHeight="1">
      <x:c r="A102" s="59" t="str">
        <x:v>docs/01_data_research.md</x:v>
      </x:c>
      <x:c r="B102" s="59" t="str">
        <x:v>8. Czy można odtworzyć project → feeder → GPZ → 110 kV → SE PSE?</x:v>
      </x:c>
      <x:c r="C102" s="59" t="str">
        <x:v>Częściowo, dla wybranych projektów i odcinków. Nie wykazano możliwości kompletnego odtworzenia tego łańcucha w całej Polsce.</x:v>
      </x:c>
    </x:row>
    <x:row r="103" ht="38" customHeight="1">
      <x:c r="A103" s="59" t="str">
        <x:v>docs/01_data_research.md</x:v>
      </x:c>
      <x:c r="B103" s="59" t="str">
        <x:v>8. Czy można odtworzyć project → feeder → GPZ → 110 kV → SE PSE?</x:v>
      </x:c>
      <x:c r="C103" s="59" t="str">
        <x:v>Relacja / Dostępny dowód / Zasada modelowania</x:v>
      </x:c>
    </x:row>
    <x:row r="104" ht="38" customHeight="1">
      <x:c r="A104" s="59" t="str">
        <x:v>docs/01_data_research.md</x:v>
      </x:c>
      <x:c r="B104" s="59" t="str">
        <x:v>8. Czy można odtworzyć project → feeder → GPZ → 110 kV → SE PSE?</x:v>
      </x:c>
      <x:c r="C104" s="59" t="str">
        <x:v>Projekt → punkt wskazany w wykazie / Nazwa stacji/linii, napięcie, etap procedury / Relacja confirmed wyłącznie w zakresie treści dokumentu; WP nie oznacza fizycznego przyłączenia działającego projektu</x:v>
      </x:c>
    </x:row>
    <x:row r="105" ht="38" customHeight="1">
      <x:c r="A105" s="59" t="str">
        <x:v>docs/01_data_research.md</x:v>
      </x:c>
      <x:c r="B105" s="59" t="str">
        <x:v>8. Czy można odtworzyć project → feeder → GPZ → 110 kV → SE PSE?</x:v>
      </x:c>
      <x:c r="C105" s="59" t="str">
        <x:v>Projekt → odpływ SN / Niekiedy dokument lokalny lub techniczne warunki / Przy braku dokumentu unknown; najbliższy przewód nie wystarcza</x:v>
      </x:c>
    </x:row>
    <x:row r="106" ht="38" customHeight="1">
      <x:c r="A106" s="59" t="str">
        <x:v>docs/01_data_research.md</x:v>
      </x:c>
      <x:c r="B106" s="59" t="str">
        <x:v>8. Czy można odtworzyć project → feeder → GPZ → 110 kV → SE PSE?</x:v>
      </x:c>
      <x:c r="C106" s="59" t="str">
        <x:v>Odpływ → GPZ / Lokalne schematy i dane operatora, jeśli dostępne / Sam przebieg linii na mapie zwykle nie rozstrzyga układu zasilania</x:v>
      </x:c>
    </x:row>
    <x:row r="107" ht="38" customHeight="1">
      <x:c r="A107" s="59" t="str">
        <x:v>docs/01_data_research.md</x:v>
      </x:c>
      <x:c r="B107" s="59" t="str">
        <x:v>8. Czy można odtworzyć project → feeder → GPZ → 110 kV → SE PSE?</x:v>
      </x:c>
      <x:c r="C107" s="59" t="str">
        <x:v>GPZ → sieć 110 kV / Dokumenty operatora, mapy i OSM jako pomoc / Rozdzielić dowód przebiegu od połączenia elektrycznego i od bieżącego stanu łączników</x:v>
      </x:c>
    </x:row>
    <x:row r="108" ht="38" customHeight="1">
      <x:c r="A108" s="59" t="str">
        <x:v>docs/01_data_research.md</x:v>
      </x:c>
      <x:c r="B108" s="59" t="str">
        <x:v>8. Czy można odtworzyć project → feeder → GPZ → 110 kV → SE PSE?</x:v>
      </x:c>
      <x:c r="C108" s="59" t="str">
        <x:v>Sieć 110 kV → SE PSE / Wskazane stacje i transformacja, dokumenty inwestycji / Nie przypisywać wszystkich projektów do najbliższej SE PSE; możliwe wiele dróg zasilania</x:v>
      </x:c>
    </x:row>
    <x:row r="109" ht="52" customHeight="1">
      <x:c r="A109" s="59" t="str">
        <x:v>docs/01_data_research.md</x:v>
      </x:c>
      <x:c r="B109" s="59" t="str">
        <x:v>8. Czy można odtworzyć project → feeder → GPZ → 110 kV → SE PSE?</x:v>
      </x:c>
      <x:c r="C109" s="59" t="str">
        <x:v>Każda krawędź powinna posiadać typ, status pewności, źródło, daty ważności i rozróżnienie obecnego/planu. Nieznana krawędź może pozostać nieznana; graf nie musi sztucznie stać się spójny. Mapowanie nazw GPZ/SE wymaga operatora, napięcia, lokalizacji i identyfikatorów. Dopasowanie rozmyte nazwy może podpowiedzieć kandydatów, lecz nie może samo scalić obiektów.</x:v>
      </x:c>
    </x:row>
    <x:row r="110" ht="66" customHeight="1">
      <x:c r="A110" s="59" t="str">
        <x:v>docs/01_data_research.md</x:v>
      </x:c>
      <x:c r="B110" s="59" t="str">
        <x:v>Co można policzyć odpowiedzialnie</x:v>
      </x:c>
      <x:c r="C110" s="59" t="str">
        <x:v>Można agregować znaną, udokumentowaną moc projektów według potwierdzonego punktu/grupy, daty, statusu i kierunku. Warunkiem jest deduplikacja oraz rozdzielenie mocy zainstalowanej od limitu PCC. Taki agregat opisuje zakres publikacji, nie pełny rzeczywisty pipeline i nie jednoczesny przepływ. Wnioski, WP i umowy są etapami tego samego projektu, a nie zawsze osobnymi projektami do dodania.</x:v>
      </x:c>
    </x:row>
    <x:row r="111" ht="52" customHeight="1">
      <x:c r="A111" s="59" t="str">
        <x:v>docs/01_data_research.md</x:v>
      </x:c>
      <x:c r="B111" s="59" t="str">
        <x:v>Co można policzyć odpowiedzialnie</x:v>
      </x:c>
      <x:c r="C111" s="59" t="str">
        <x:v>Można odczytać raportowaną dostępność operatora razem z horyzontem i definicją. Gdy brak kompletnego modelu, nie można niezależnie odtworzyć tej wartości prostym odejmowaniem mocy. Znane odmowy są sygnałem historycznym z określonym powodem; nie dowodzą uniwersalnego zakazu przyłączenia wszystkich technologii w okolicy.</x:v>
      </x:c>
    </x:row>
    <x:row r="112" ht="52" customHeight="1">
      <x:c r="A112" s="59" t="str">
        <x:v>docs/01_data_research.md</x:v>
      </x:c>
      <x:c r="B112" s="59" t="str">
        <x:v>Czego brakuje do modelu elektrycznego</x:v>
      </x:c>
      <x:c r="C112" s="59" t="str">
        <x:v>Nie znaleziono kompletnego publicznego pokrycia impedancji, limitów sezonowych, rzeczywistych profili lokalnego poboru/generacji, nastaw regulacji, układów przełączeń i listy ograniczeń N-1. Dlatego nie potwierdzono możliwości wiarygodnego wyznaczania rzeczywistego obciążenia każdego transformatora GPZ, linii 110 kV ani lokalnego marginesu napięciowego.</x:v>
      </x:c>
    </x:row>
    <x:row r="113" ht="52" customHeight="1">
      <x:c r="A113" s="59" t="str">
        <x:v>docs/01_data_research.md</x:v>
      </x:c>
      <x:c r="B113" s="59" t="str">
        <x:v>Czego brakuje do modelu elektrycznego</x:v>
      </x:c>
      <x:c r="C113" s="59" t="str">
        <x:v>Nawet przy znanej mocy znamionowej MVA nie wolno utożsamiać jej z dostępnymi MW. Wpływ mają moc bierna, napięcie, warunki pracy, pozostała sieć i scenariusz awaryjny. Suma przyłączeń nie jest pomiarem obciążenia. Systemowy curtailment może wynikać z bilansowania KSE; nie należy przypisywać go konkretnemu GPZ bez dowodu lokalizacji i przyczyny.</x:v>
      </x:c>
    </x:row>
    <x:row r="114" ht="66" customHeight="1">
      <x:c r="A114" s="59" t="str">
        <x:v>docs/01_data_research.md</x:v>
      </x:c>
      <x:c r="B114" s="59" t="str">
        <x:v>Estymacje i ich warunki dopuszczenia</x:v>
      </x:c>
      <x:c r="C114" s="59" t="str">
        <x:v>Modele profili OZE, zastępcze profile poboru czy orientacyjne parametry linii mogą być badane jako ESTIMATED. Muszą mieć jawne wejścia, metodę, zakres zastosowania i analizę wrażliwości. Nie znaleziono podstaw do narzucenia jednego błędu procentowego takiego modelu dla całej Polski. Jeśli brakuje danych pozwalających ograniczyć wynik, poprawną odpowiedzią jest UNKNOWN, a nie arbitralnie szeroki przedział MW.</x:v>
      </x:c>
    </x:row>
    <x:row r="115" ht="52" customHeight="1">
      <x:c r="A115" s="59" t="str">
        <x:v>docs/01_data_research.md</x:v>
      </x:c>
      <x:c r="B115" s="59" t="str">
        <x:v>Estymacje i ich warunki dopuszczenia</x:v>
      </x:c>
      <x:c r="C115" s="59" t="str">
        <x:v>Warianty CONSERVATIVE i OPTIMISTIC muszą różnić się uzasadnionymi założeniami, nie dowolnym mnożnikiem wyniku. Planowana inwestycja może być scenariuszem przyszłym z datą i statusem realizacji; nie powiększa obecnej dostępności. Na tym etapie nie policzono żadnego wyniku mocy ani scoringu dla rzeczywistej stacji.</x:v>
      </x:c>
    </x:row>
    <x:row r="116" ht="80" customHeight="1">
      <x:c r="A116" s="59" t="str">
        <x:v>docs/01_data_research.md</x:v>
      </x:c>
      <x:c r="B116" s="59" t="str">
        <x:v>BESS i hybrydy</x:v>
      </x:c>
      <x:c r="C116" s="59" t="str">
        <x:v>BESS wymaga osobnych P_export_MW, P_import_MW, energy_capacity_MWh, limitów PCC oraz scenariuszy ładowania i rozładowania. Publiczne wykazy coraz lepiej rozdzielają kierunki, lecz nie potwierdzono kompletnego pokrycia MWh ani strategii pracy. MWh nie można wywnioskować z samych MW. Hybryda z ograniczeniem PCC nie ma automatycznie eksportu równego sumie mocy wszystkich urządzeń. Potencjalna elastyczność BESS jest warunkowa: wymaga akceptowalnego sposobu sterowania i warunków przyłączenia, nie uzasadnia automatycznej premii punktowej.</x:v>
      </x:c>
    </x:row>
    <x:row r="117" ht="38" customHeight="1">
      <x:c r="A117" s="59" t="str">
        <x:v>docs/01_data_research.md</x:v>
      </x:c>
      <x:c r="B117" s="59" t="str">
        <x:v>10. Licencje i możliwość automatyzacji</x:v>
      </x:c>
      <x:c r="C117" s="59" t="str">
        <x:v>Potwierdzono działanie części kanałów technicznych; nie potwierdzono kompletnego prawa do komercyjnego wykorzystania wszystkich potrzebnych danych. To dwa niezależne warunki wejścia do MVP.</x:v>
      </x:c>
    </x:row>
    <x:row r="118" ht="30" customHeight="1">
      <x:c r="A118" s="59" t="str">
        <x:v>docs/01_data_research.md</x:v>
      </x:c>
      <x:c r="B118" s="59" t="str">
        <x:v>10. Licencje i możliwość automatyzacji</x:v>
      </x:c>
      <x:c r="C118" s="59" t="str">
        <x:v>Grupa źródeł / Stan ustaleń prawnych / Konsekwencja</x:v>
      </x:c>
    </x:row>
    <x:row r="119" ht="52" customHeight="1">
      <x:c r="A119" s="59" t="str">
        <x:v>docs/01_data_research.md</x:v>
      </x:c>
      <x:c r="B119" s="59" t="str">
        <x:v>10. Licencje i możliwość automatyzacji</x:v>
      </x:c>
      <x:c r="C119" s="59" t="str">
        <x:v>PSE i OSD / Publiczne publikacje nie mają w każdym przypadku znalezionej jawnej licencji otwartych danych; Stoen zawiera konkretne zastrzeżenie regulaminowe / Ustalić podstawę ponownego wykorzystania wybranych faktów/zbiorów, automatyzacji i redystrybucji; zachować ograniczenia w rejestrze</x:v>
      </x:c>
    </x:row>
    <x:row r="120" ht="38" customHeight="1">
      <x:c r="A120" s="59" t="str">
        <x:v>docs/01_data_research.md</x:v>
      </x:c>
      <x:c r="B120" s="59" t="str">
        <x:v>10. Licencje i możliwość automatyzacji</x:v>
      </x:c>
      <x:c r="C120" s="59" t="str">
        <x:v>OSM / OpenInfraMap / Geofabrik / ODbL, obowiązki atrybucji i warunki dla baz pochodnych / Zaprojektować rozdzielenie pochodzenia; nie zakładać, że połączenie z własnymi danymi usuwa zobowiązania</x:v>
      </x:c>
    </x:row>
    <x:row r="121" ht="38" customHeight="1">
      <x:c r="A121" s="59" t="str">
        <x:v>docs/01_data_research.md</x:v>
      </x:c>
      <x:c r="B121" s="59" t="str">
        <x:v>10. Licencje i możliwość automatyzacji</x:v>
      </x:c>
      <x:c r="C121" s="59" t="str">
        <x:v>ENTSO-E / Lista dopuszczonych danych i wyjątków / Sprawdzić konkretny typ danych oraz dostawcę; mapa i API nie mają automatycznie wspólnej licencji</x:v>
      </x:c>
    </x:row>
    <x:row r="122" ht="38" customHeight="1">
      <x:c r="A122" s="59" t="str">
        <x:v>docs/01_data_research.md</x:v>
      </x:c>
      <x:c r="B122" s="59" t="str">
        <x:v>10. Licencje i możliwość automatyzacji</x:v>
      </x:c>
      <x:c r="C122" s="59" t="str">
        <x:v>GUGiK / GDOŚ / Wody Polskie / BDL / Zróżnicowane zasady produktu i dostępu; ortofotomapa ma jasny opis swobodnego użycia / Nie przenosić licencji jednej warstwy na EGiB, wszystkie produkty wodne lub dane właścicielskie</x:v>
      </x:c>
    </x:row>
    <x:row r="123" ht="38" customHeight="1">
      <x:c r="A123" s="59" t="str">
        <x:v>docs/01_data_research.md</x:v>
      </x:c>
      <x:c r="B123" s="59" t="str">
        <x:v>10. Licencje i możliwość automatyzacji</x:v>
      </x:c>
      <x:c r="C123" s="59" t="str">
        <x:v>Copernicus / Warunki produktu i usługi, osobne warunki treści portalu / Sprawdzać wybrany produkt; dostęp do konta i limit usługi nie określają same praw do danych</x:v>
      </x:c>
    </x:row>
    <x:row r="124" ht="38" customHeight="1">
      <x:c r="A124" s="59" t="str">
        <x:v>docs/01_data_research.md</x:v>
      </x:c>
      <x:c r="B124" s="59" t="str">
        <x:v>10. Licencje i możliwość automatyzacji</x:v>
      </x:c>
      <x:c r="C124" s="59" t="str">
        <x:v>Biblioteki i modele / Licencja kodu odrębna od wejściowych danych oraz konkretnego przypadku sieci / Przypiąć wersję i licencję przed zależnością produkcyjną</x:v>
      </x:c>
    </x:row>
    <x:row r="125" ht="66" customHeight="1">
      <x:c r="A125" s="59" t="str">
        <x:v>docs/01_data_research.md</x:v>
      </x:c>
      <x:c r="B125" s="59" t="str">
        <x:v>10. Licencje i możliwość automatyzacji</x:v>
      </x:c>
      <x:c r="C125" s="59" t="str">
        <x:v>Nie wysyłano wniosków o zgodę ani wiadomości do operatorów. Nie obchodzono blokad i nie wykonano masowego scrapingu. Dla źródeł bez jasnej podstawy commercial_use=UNKNOWN jest świadomą, nierozstrzygniętą pozycją rejestru, a nie dorozumianą zgodą. Przed stałym scraperem trzeba jeszcze sprawdzić regulamin, robots.txt, limity i preferowany oficjalny kanał dla konkretnej ścieżki; ten etap nie stanowi pełnego audytu prawnego.</x:v>
      </x:c>
    </x:row>
    <x:row r="126" ht="38" customHeight="1">
      <x:c r="A126" s="59" t="str">
        <x:v>docs/01_data_research.md</x:v>
      </x:c>
      <x:c r="B126" s="59" t="str">
        <x:v>11. Jak często aktualizować dane</x:v>
      </x:c>
      <x:c r="C126" s="59" t="str">
        <x:v>Poniższe okresy to proponowana polityka przyszłego systemu, a nie pomiar częstotliwości każdego źródła. Rzeczywista częstotliwość publikacji jest opisana osobno w katalogu.</x:v>
      </x:c>
    </x:row>
    <x:row r="127" ht="30" customHeight="1">
      <x:c r="A127" s="59" t="str">
        <x:v>docs/01_data_research.md</x:v>
      </x:c>
      <x:c r="B127" s="59" t="str">
        <x:v>11. Jak często aktualizować dane</x:v>
      </x:c>
      <x:c r="C127" s="59" t="str">
        <x:v>Rodzaj / Proponowane sprawdzanie / Zasada</x:v>
      </x:c>
    </x:row>
    <x:row r="128" ht="38" customHeight="1">
      <x:c r="A128" s="59" t="str">
        <x:v>docs/01_data_research.md</x:v>
      </x:c>
      <x:c r="B128" s="59" t="str">
        <x:v>11. Jak często aktualizować dane</x:v>
      </x:c>
      <x:c r="C128" s="59" t="str">
        <x:v>Wykazy przyłączeń i dostępności / Raz dziennie lekka kontrola strony/wersji, pobranie tylko po zmianie / Snapshot także wtedy, gdy nazwa pliku jest stała; nie zmieniać daty obserwacji przy samym ponownym pobraniu</x:v>
      </x:c>
    </x:row>
    <x:row r="129" ht="38" customHeight="1">
      <x:c r="A129" s="59" t="str">
        <x:v>docs/01_data_research.md</x:v>
      </x:c>
      <x:c r="B129" s="59" t="str">
        <x:v>11. Jak często aktualizować dane</x:v>
      </x:c>
      <x:c r="C129" s="59" t="str">
        <x:v>PSE / ENTSO-E szeregi / Według faktycznej rozdzielczości i potrzeb analizy, z oknem na korekty / Stronicowanie, filtry czasu, cache, retry z backoff i limity; zachować wersje skorygowanych obserwacji</x:v>
      </x:c>
    </x:row>
    <x:row r="130" ht="38" customHeight="1">
      <x:c r="A130" s="59" t="str">
        <x:v>docs/01_data_research.md</x:v>
      </x:c>
      <x:c r="B130" s="59" t="str">
        <x:v>11. Jak często aktualizować dane</x:v>
      </x:c>
      <x:c r="C130" s="59" t="str">
        <x:v>Plany rozwoju i inwestycje / Co tydzień oraz przy publikacji zmian / Osobno projekt, plan uzgodniony i potwierdzenie realizacji</x:v>
      </x:c>
    </x:row>
    <x:row r="131" ht="38" customHeight="1">
      <x:c r="A131" s="59" t="str">
        <x:v>docs/01_data_research.md</x:v>
      </x:c>
      <x:c r="B131" s="59" t="str">
        <x:v>11. Jak często aktualizować dane</x:v>
      </x:c>
      <x:c r="C131" s="59" t="str">
        <x:v>BIP dla pilota / Ostrożna kontrola wybranych serwisów, np. dzienna po uzgodnieniu dostępu / Nowe obwieszczenie nie zmienia automatycznie zaawansowania całego projektu</x:v>
      </x:c>
    </x:row>
    <x:row r="132" ht="38" customHeight="1">
      <x:c r="A132" s="59" t="str">
        <x:v>docs/01_data_research.md</x:v>
      </x:c>
      <x:c r="B132" s="59" t="str">
        <x:v>11. Jak często aktualizować dane</x:v>
      </x:c>
      <x:c r="C132" s="59" t="str">
        <x:v>OSM/GIS topografia / Według wersji dostawcy i potrzeb, zwykle okresowe snapshoty / Nie pobierać ponownie całego kraju do każdego raportu</x:v>
      </x:c>
    </x:row>
    <x:row r="133" ht="52" customHeight="1">
      <x:c r="A133" s="59" t="str">
        <x:v>docs/01_data_research.md</x:v>
      </x:c>
      <x:c r="B133" s="59" t="str">
        <x:v>11. Jak często aktualizować dane</x:v>
      </x:c>
      <x:c r="C133" s="59" t="str">
        <x:v>System historyczny można wiarygodnie rozpocząć od własnych snapshotów. Nie wolno obiecać rekonstrukcji stanu sprzed trzech miesięcy, jeżeli źródło nie zachowało tamtej wersji. Manifest pobrania i wersja metody pozwalają odtworzyć „co wiedzieliśmy”, co nie musi być identyczne z rzeczywistym stanem sieci w tej dacie.</x:v>
      </x:c>
    </x:row>
    <x:row r="134" ht="94" customHeight="1">
      <x:c r="A134" s="59" t="str">
        <x:v>docs/01_data_research.md</x:v>
      </x:c>
      <x:c r="B134" s="59" t="str">
        <x:v>12. Największe luki i sposoby ich zamykania</x:v>
      </x:c>
      <x:c r="C134" s="59" t="str">
        <x:v>1. Topologia i telemetria SN/110 kV. Najważniejsza droga to dane operatora lub dokumenty konkretnego inwestora. Geometria otwarta może wspierać hipotezy, lecz nie zastąpi tych danych. 2. Kompletność pipeline i tożsamość projektów. Potrzebne łączenie wykazów, dokumentów administracyjnych i publikacji inwestorów, z zachowaniem anonimizacji i niejednoznaczności. 3. Definicje raportowanych mocy. Przed agregacją trzeba modelować wspólne grupy ograniczeń, kierunki, warianty WP i horyzonty. Brak definicji blokuje obliczenie, nie usprawiedliwia uproszczenia. 4. Daty i aktualność. Konflikt Energi oraz różnica dat strony/arkusza PSE pokazują konieczność</x:v>
      </x:c>
    </x:row>
    <x:row r="135" ht="52" customHeight="1">
      <x:c r="A135" s="59" t="str">
        <x:v>docs/01_data_research.md</x:v>
      </x:c>
      <x:c r="B135" s="59" t="str">
        <x:v>12. Największe luki i sposoby ich zamykania</x:v>
      </x:c>
      <x:c r="C135" s="59" t="str">
        <x:v>kontroli treści. Nie wystarczy monitorować nazwy pliku. 5. Prawa i stabilność dostępu. PGE pozostaje blokadą techniczną; Stoen ma zastrzeżenia komercyjne; brak licencji wielu publikacji wymaga wyjaśnienia przed produkcją. 6. Dane referencyjne do walidacji wyniku. Bez nich nie da się obronić procentowej pewności, prawdopodobieństwa WP ani wag wyniku 0–100.</x:v>
      </x:c>
    </x:row>
    <x:row r="136" ht="66" customHeight="1">
      <x:c r="A136" s="59" t="str">
        <x:v>docs/01_data_research.md</x:v>
      </x:c>
      <x:c r="B136" s="59" t="str">
        <x:v>13. Rekomendacja po etapie 1</x:v>
      </x:c>
      <x:c r="C136" s="59" t="str">
        <x:v>Dalsza aktualizacja 11.09.2026: katalog liczy 60 pozycji po dodaniu taryfy PSE 2026 (https://www.pse.pl/documents/20182/7005343691/20260116_Tekst_Taryfy_na_2026_tekst_jednolity.pdf) i nieudanej próby dostępu do bezpośredniego PDF PGE. Model dowodów Radkowic (11_radkowice_evidence_model.md) zachowuje historyczną datę tabel taryfowych i nie wyznacza granic własności. Liczba pozycji katalogu nie jest liczbą działających kanałów danych.</x:v>
      </x:c>
    </x:row>
    <x:row r="137" ht="80" customHeight="1">
      <x:c r="A137" s="59" t="str">
        <x:v>docs/01_data_research.md</x:v>
      </x:c>
      <x:c r="B137" s="59" t="str">
        <x:v>13. Rekomendacja po etapie 1</x:v>
      </x:c>
      <x:c r="C137" s="59" t="str">
        <x:v>Aktualizacja 11.09.2026: użytkownik wskazał Radkowice. Analiza pilota (10_radkowice_pilot.md) dokumentuje trzy wiersze BESS z zachowanego XLSX PSE oraz nowe źródła: portal inwestycji PSE (https://inwestycje.pse.pl/) i BIP Chęcin (https://checiny.biuletyn.net/fls/bip_pliki/2026_03/BIPF64CD10561EC15Z/PZCEEPG_2025-2027.pdf), odczytane 11.09.2026. Rejestr rozszerzono do 58 źródeł. Wcześniejsza walidacja 56 źródeł jest historycznym wynikiem etapu 1, nie kontrolą nowych pozycji. Rekomendujemy Radkowice do dalszej pracy dokumentacyjnej; granice PSE/PGE i prawa źródeł pozostają do wyjaśnienia.</x:v>
      </x:c>
    </x:row>
    <x:row r="138" ht="66" customHeight="1">
      <x:c r="A138" s="59" t="str">
        <x:v>docs/01_data_research.md</x:v>
      </x:c>
      <x:c r="B138" s="59" t="str">
        <x:v>13. Rekomendacja po etapie 1</x:v>
      </x:c>
      <x:c r="C138" s="59" t="str">
        <x:v>Zasadne jest przygotowanie pilota evidence-based screening: wybór punktu, parametry projektu, odczyt źródeł, znane projekty według kierunku i etapu, planowane inwestycje, graf tylko z uzasadnionymi relacjami i lista braków. PSE jest dobrym początkiem warstwy pobierania; do lokalnego rozszerzenia warto rozważyć obszar Energi lub ENEA po ocenie konkretnej stacji i wyjaśnieniu dostępu/licencji. Nie wybrano jeszcze regionu na podstawie samej atrakcyjności mapy.</x:v>
      </x:c>
    </x:row>
    <x:row r="139" ht="52" customHeight="1">
      <x:c r="A139" s="59" t="str">
        <x:v>docs/01_data_research.md</x:v>
      </x:c>
      <x:c r="B139" s="59" t="str">
        <x:v>13. Rekomendacja po etapie 1</x:v>
      </x:c>
      <x:c r="C139" s="59" t="str">
        <x:v>Warunek wyboru pilota: co najmniej jedna jednoznacznie zidentyfikowana stacja, udokumentowane relacje z siecią 110 kV/PSE, kilka rzeczywistych projektów z czytelnym statusem, źródło inwestycji oraz możliwość kontroli przynajmniej części danych u źródła. Jeśli brakuje danych elektrycznych, raport nie wyświetli obliczonej rezerwy MW.</x:v>
      </x:c>
    </x:row>
    <x:row r="140" ht="66" customHeight="1">
      <x:c r="A140" s="59" t="str">
        <x:v>docs/01_data_research.md</x:v>
      </x:c>
      <x:c r="B140" s="59" t="str">
        <x:v>13. Rekomendacja po etapie 1</x:v>
      </x:c>
      <x:c r="C140" s="59" t="str">
        <x:v>Wstępne rozdzielenie możliwości zawiera macierz wykonalności (02_feasibility_matrix.md). Dalszy zakres MVP, wybór architektury i ewentualny PoC wymagają kolejnego etapu uzgodnionego z użytkownikiem. Pierwsze badanie nie uzasadnia budowy ogólnopolskiego kalkulatora prawdopodobieństwa przyłączenia. Uzasadnia budowę systemu, który rzetelnie pokazuje co wiadomo, skąd to wiadomo i czego jeszcze trzeba się dowiedzieć.</x:v>
      </x:c>
    </x:row>
    <x:row r="141" ht="52" customHeight="1">
      <x:c r="A141" s="59" t="str">
        <x:v>docs/01_data_research.md</x:v>
      </x:c>
      <x:c r="B141" s="59" t="str">
        <x:v>Uzupełnienie 11.09.2026 — linia 110 kV</x:v>
      </x:c>
      <x:c r="C141" s="59" t="str">
        <x:v>Rejestr obejmuje 61 źródeł publicznych. Decyzja 3/2024 (https://bip.kielce.uw.gov.pl/download/2/33548/decprzesylnr324.pdf) dostarczyła dowodu dla Radkowice–Wolica. Zakres i ograniczenia: badanie 110 kV (12_radkowice_110kv_research.md). Prywatne materiały użytkownika mają osobny rejestr lokalny i nie zwiększają liczby publicznych źródeł.</x:v>
      </x:c>
    </x:row>
    <x:row r="142" ht="52" customHeight="1">
      <x:c r="A142" s="59" t="str">
        <x:v>docs/01_data_research.md</x:v>
      </x:c>
      <x:c r="B142" s="59" t="str">
        <x:v>Uzupełnienie 15.09.2026</x:v>
      </x:c>
      <x:c r="C142" s="59" t="str">
        <x:v>Ponowny przegląd Radkowic (16_radkowice_public_followup.md): publiczne ogłoszenie PSE o polu 220 kV z mostem, obwieszczenie RDOŚ dotyczące linii do Kielc Piaski i ponowny odczyt statusów portalu PSE. Katalog ma 63 źródła. Nie są to dowody obsadzenia mostu, ukończenia wszystkich robót ani dostępnej mocy.</x:v>
      </x:c>
    </x:row>
    <x:row r="143" ht="80" customHeight="1">
      <x:c r="A143" s="59" t="str">
        <x:v>docs/01_data_research.md</x:v>
      </x:c>
      <x:c r="B143" s="59" t="str">
        <x:v>Pełna decyzja Radkowice–Kielce Piaski — 15.09.2026</x:v>
      </x:c>
      <x:c r="C143" s="59" t="str">
        <x:v>Dodano RDOS_RADK_PIASKI_DECISION_2025: decyzja RDOŚ z 04.12.2025 (https://www.gov.pl/attachment/27ef7a8e-5094-4391-be1c-7e23cb1038b2), s.3. Opisuje planowane przełączenie przęsła ze słupa 81 z pola 8 do 6. Długość około 60 m dotyczy odcinka robót. Nie potwierdza wykonania, parametrów mostu ani dostępnych MW. HTTP 200 bez konta, tekst PDF możliwy do ekstrakcji, SHA-256 i lokalne archiwum. Brak ustalonego API i cyklu aktualizacji; prawa do załącznika wymagają oceny. Szczegóły i ograniczenia: docs/16_radkowice_public_followup.md. Katalog: 64 źródła.</x:v>
      </x:c>
    </x:row>
    <x:row r="144" ht="94" customHeight="1">
      <x:c r="A144" s="59" t="str">
        <x:v>docs/01_data_research.md</x:v>
      </x:c>
      <x:c r="B144" s="59" t="str">
        <x:v>16.09.2026 — ponowna próba PGE i etapy wniosków PSE</x:v>
      </x:c>
      <x:c r="C144" s="59" t="str">
        <x:v>Dwa bezpośrednie adresy PGE: moce I kw. 2026 (https://pgedystrybucja.pl/content/download/71691b9fb622cdf89306ec0dc0c1ac3d/file/dostepne-moce-pge-i-kw-2026.pdf?contentId=2208&amp;inLanguage=pol-PL&amp;version=6) i projekt planu 2026–2031 (https://pgedystrybucja.pl/content/download/c7ba19647b231faa03da3cb3d03c973c/file/PGED%20projekt%20Planu%20rozwoju%202026-31%20konsultacje.pdf?contentId=22372&amp;inLanguage=pol-PL&amp;version=1) ponownie zwróciły po 346 bajtów HTML, HTTP 200, bez sygnatury PDF. Odczyt web zwrócił 502. Wyniki wyszukiwarki nie zostały uznane za treść dokumentów. Metadane próby i hashe odpowiedzi są w pge_radkowice_access_2026-09-16.json; same</x:v>
      </x:c>
    </x:row>
    <x:row r="145" ht="38" customHeight="1">
      <x:c r="A145" s="59" t="str">
        <x:v>docs/01_data_research.md</x:v>
      </x:c>
      <x:c r="B145" s="59" t="str">
        <x:v>16.09.2026 — ponowna próba PGE i etapy wniosków PSE</x:v>
      </x:c>
      <x:c r="C145" s="59" t="str">
        <x:v>odpowiedzi HTML nie są archiwizowane. Brak treści oznacza brak weryfikacji wartości, licencji i automatycznego przetwarzania. NEED-011 wskazuje te pliki do pomocy w pozyskaniu.</x:v>
      </x:c>
    </x:row>
    <x:row r="146" ht="80" customHeight="1">
      <x:c r="A146" s="59" t="str">
        <x:v>docs/01_data_research.md</x:v>
      </x:c>
      <x:c r="B146" s="59" t="str">
        <x:v>16.09.2026 — ponowna próba PGE i etapy wniosków PSE</x:v>
      </x:c>
      <x:c r="C146" s="59" t="str">
        <x:v>Oficjalna strona PSE wykazów (https://www.pse.pl/obszary-dzialalnosci/krajowy-system-elektroenergetyczny/wykaz-obiektow-planowanych-do-przylaczenia), odczyt 16.09.2026, opisuje również wnioski oczekujące na weryfikację i z potwierdzoną kompletnością. Link edytowalny prowadzi do znanego XLSX na 31.07.2026. Nie pobierano nowej kopii ani nie zakładano, że zdalne bajty są identyczne z zachowaną próbką. Strona deklaruje aktualizację informacji co najmniej raz w miesiącu; nie oznacza to aktualności każdej obserwacji w naszym lokalnym archiwum.</x:v>
      </x:c>
    </x:row>
    <x:row r="147" ht="66" customHeight="1">
      <x:c r="A147" s="59" t="str">
        <x:v>docs/01_data_research.md</x:v>
      </x:c>
      <x:c r="B147" s="59" t="str">
        <x:v>16.09.2026 — ponowna próba PGE i etapy wniosków PSE</x:v>
      </x:c>
      <x:c r="C147" s="59" t="str">
        <x:v>Lokalny audit tego XLSX wykazał: 17 wierszy „WNIOSEK w weryfikacji”, 97 „WNIOSEK kompletny - w trakcie analizy technicznej i ekonomicznej”, 1 „WNIOSEK niekompletny”. To osobne etapy, nie automatyczna kategoria wszystkich wniosków bez odpowiedzi. Ponadto 553 wiersze mają wydane WP, 195 umowy, 29 odmowy. Dziesięć niepustych wierszy bez statusu wyłączono z tych liczników. Nie są to zidentyfikowane unikalne inwestycje ani gwarancja kompletności krajowej kolejki.</x:v>
      </x:c>
    </x:row>
    <x:row r="148" ht="52" customHeight="1">
      <x:c r="A148" s="59" t="str">
        <x:v>docs/01_data_research.md</x:v>
      </x:c>
      <x:c r="B148" s="59" t="str">
        <x:v>16.09.2026 — ponowna próba PGE i etapy wniosków PSE</x:v>
      </x:c>
      <x:c r="C148" s="59" t="str">
        <x:v>Wyszukanie fragmentu „radkow” we wszystkich komórkach arkusza wskazało tylko wiersze 787, 843, 847, wszystkie z umową. Brak dodatkowego trafienia nie dowodzi braku innych projektów. ID obiektu dla tych trzech wpisów to „-”, więc nie nadaje się na kanoniczny identyfikator. Nie zmieniono grafu ani przypisań do mostu.</x:v>
      </x:c>
    </x:row>
    <x:row r="149" ht="52" customHeight="1">
      <x:c r="A149" s="59" t="str">
        <x:v>docs/01_data_research.md</x:v>
      </x:c>
      <x:c r="B149" s="59" t="str">
        <x:v>16.09.2026 — ponowna próba PGE i etapy wniosków PSE</x:v>
      </x:c>
      <x:c r="C149" s="59" t="str">
        <x:v>Skrypt audit_pse_pipeline_statuses.py zachowuje numery wierszy, hash źródła, proweniencję, formułę liczników i hash kodu w wersjonowanym wyniku pse_status_audit_2026-07-31_v1.json. Jest to badanie jednej próbki, bez cyklicznego pobierania i bez pełnego parsera wniosków. Status źródłowy oraz brak ID wymagają rozwiązania przed deduplikacją i produkcyjną klasyfikacją A/B/C.</x:v>
      </x:c>
    </x:row>
    <x:row r="150" ht="80" customHeight="1">
      <x:c r="A150" s="59" t="str">
        <x:v>docs/01_data_research.md</x:v>
      </x:c>
      <x:c r="B150" s="59" t="str">
        <x:v>17.09.2026 — daty inwestycji w źródłach PSE</x:v>
      </x:c>
      <x:c r="C150" s="59" t="str">
        <x:v>Zweryfikowano raport wpływu PSE za 2023 rok (https://api-raport.pse.pl/uploads/PSE-Zintegrowany_Raport_Wplywu_2023.pdf), s.47–48, oraz portal inwestycji (https://inwestycje.pse.pl/mapa_inwestycji_pse/). Raport zalicza wymianę transformatora Radkowice do zadań zakończonych w 2023; portal podaje 2025. Nie ustalono identyczności zakresu ani daty załączenia. Oba wskazania zachowano bez wyboru jednej daty i bez wnioskowania o dodatkowych MW. Katalog ma 65 źródeł; nie ponowiono przeglądu wszystkich pozycji.</x:v>
      </x:c>
    </x:row>
    <x:row r="151" ht="52" customHeight="1">
      <x:c r="A151" s="59" t="str">
        <x:v>docs/01_data_research.md</x:v>
      </x:c>
      <x:c r="B151" s="59" t="str">
        <x:v>17.09.2026 — daty inwestycji w źródłach PSE</x:v>
      </x:c>
      <x:c r="C151" s="59" t="str">
        <x:v>PDF i HTML pobrano bez konta, HTTP 200, zachowano SHA-256. Odczyt PDF wymaga kontekstu dwóch stron; HTML oddzielenia sekcji inwestycji. Nie ustalono API/GIS ani otwartej licencji tych publikacji. Ponowny odczyt PDF PGE przez narzędzie web zakończył się 502; wyniki wyszukiwania nie stały się danymi modelu i NEED-011 pozostaje otwarty.</x:v>
      </x:c>
    </x:row>
    <x:row r="152" ht="38" customHeight="1">
      <x:c r="A152" s="59" t="str">
        <x:v>docs/02_feasibility_matrix.md</x:v>
      </x:c>
      <x:c r="B152" s="59" t="str">
        <x:v>Wstępna macierz wykonalności</x:v>
      </x:c>
      <x:c r="C152" s="59" t="str">
        <x:v>10.09.2026 — wynik badań etapu 1; nie jest deklaracją wdrożonej funkcjonalności. Pełne dowody, daty i linki: raport (01_data_research.md) i katalog (data_sources.md). Identyfikatory poniżej odnoszą się do katalogu JSON.</x:v>
      </x:c>
    </x:row>
    <x:row r="153" ht="52" customHeight="1">
      <x:c r="A153" s="59" t="str">
        <x:v>docs/02_feasibility_matrix.md</x:v>
      </x:c>
      <x:c r="B153" s="59" t="str">
        <x:v>Wstępna macierz wykonalności</x:v>
      </x:c>
      <x:c r="C153" s="59" t="str">
        <x:v>AVAILABLE_DIRECTLY oznacza dostępność określonej informacji w zbadanym zakresie źródła, nie całego kraju ani całego poziomu napięcia. CALCULABLE wymaga wskazanych wejść i nie obejmuje imputowania braków. ESTIMABLE dopuszcza tylko jawnie warunkowy model. NOT_CURRENTLY_AVAILABLE dotyczy wiarygodnego produktu o opisanym zakresie w sprawdzonych źródłach publicznych.</x:v>
      </x:c>
    </x:row>
    <x:row r="154" ht="30" customHeight="1">
      <x:c r="A154" s="59" t="str">
        <x:v>docs/02_feasibility_matrix.md</x:v>
      </x:c>
      <x:c r="B154" s="59" t="str">
        <x:v>Wstępna macierz wykonalności</x:v>
      </x:c>
      <x:c r="C154" s="59" t="str">
        <x:v>Moduł / precyzyjnie określona wielkość / Klasa / Dowód i warunek / Ograniczenie / wynik przy braku wejść</x:v>
      </x:c>
    </x:row>
    <x:row r="155" ht="38" customHeight="1">
      <x:c r="A155" s="59" t="str">
        <x:v>docs/02_feasibility_matrix.md</x:v>
      </x:c>
      <x:c r="B155" s="59" t="str">
        <x:v>Wstępna macierz wykonalności</x:v>
      </x:c>
      <x:c r="C155" s="59" t="str">
        <x:v>Wskazane stacje, rozdzielnie i szyny w publikacji PSE / AVAILABLE_DIRECTLY / PSE_API: próbka specwezlow / Nie jest kompletnym grafem ani listą wszystkich GPZ</x:v>
      </x:c>
    </x:row>
    <x:row r="156" ht="38" customHeight="1">
      <x:c r="A156" s="59" t="str">
        <x:v>docs/02_feasibility_matrix.md</x:v>
      </x:c>
      <x:c r="B156" s="59" t="str">
        <x:v>Wstępna macierz wykonalności</x:v>
      </x:c>
      <x:c r="C156" s="59" t="str">
        <x:v>Opublikowane miejsce przyłączenia konkretnego projektu / AVAILABLE_DIRECTLY / PSE_PIPELINE, TAURON_PIPELINE; dokument wskazuje miejsce / Może być nieustalone; WP nie oznacza fizycznego przyłączenia</x:v>
      </x:c>
    </x:row>
    <x:row r="157" ht="38" customHeight="1">
      <x:c r="A157" s="59" t="str">
        <x:v>docs/02_feasibility_matrix.md</x:v>
      </x:c>
      <x:c r="B157" s="59" t="str">
        <x:v>Wstępna macierz wykonalności</x:v>
      </x:c>
      <x:c r="C157" s="59" t="str">
        <x:v>Pełna liczba wszystkich projektów na dowolnym GPZ / NOT_CURRENTLY_AVAILABLE / Nie wykazano kompletności publicznych wykazów i przypisań / Nie przedstawiać znanej części jako pełnej liczby</x:v>
      </x:c>
    </x:row>
    <x:row r="158" ht="38" customHeight="1">
      <x:c r="A158" s="59" t="str">
        <x:v>docs/02_feasibility_matrix.md</x:v>
      </x:c>
      <x:c r="B158" s="59" t="str">
        <x:v>Wstępna macierz wykonalności</x:v>
      </x:c>
      <x:c r="C158" s="59" t="str">
        <x:v>Liczba znanych projektów przypisanych dokumentem do punktu / CALCULABLE / Deduplikacja, spójny snapshot, status i pewność relacji / Raportować pokrycie i projekty nieprzypisane</x:v>
      </x:c>
    </x:row>
    <x:row r="159" ht="38" customHeight="1">
      <x:c r="A159" s="59" t="str">
        <x:v>docs/02_feasibility_matrix.md</x:v>
      </x:c>
      <x:c r="B159" s="59" t="str">
        <x:v>Wstępna macierz wykonalności</x:v>
      </x:c>
      <x:c r="C159" s="59" t="str">
        <x:v>Moc znanych projektów na tym samym punkcie / CALCULABLE / Jawne MW i definicja mocy; PSE_PIPELINE / wykazy OSD / Osobno kierunek, etap, zainstalowana moc i PCC; nie jest przepływem</x:v>
      </x:c>
    </x:row>
    <x:row r="160" ht="38" customHeight="1">
      <x:c r="A160" s="59" t="str">
        <x:v>docs/02_feasibility_matrix.md</x:v>
      </x:c>
      <x:c r="B160" s="59" t="str">
        <x:v>Wstępna macierz wykonalności</x:v>
      </x:c>
      <x:c r="C160" s="59" t="str">
        <x:v>Pełna istniejąca generacja danego GPZ / NOT_CURRENTLY_AVAILABLE / URE_REGISTERS i wykazy operatorów mają różne zakresy / Możliwy częściowy udokumentowany inwentarz</x:v>
      </x:c>
    </x:row>
    <x:row r="161" ht="38" customHeight="1">
      <x:c r="A161" s="59" t="str">
        <x:v>docs/02_feasibility_matrix.md</x:v>
      </x:c>
      <x:c r="B161" s="59" t="str">
        <x:v>Wstępna macierz wykonalności</x:v>
      </x:c>
      <x:c r="C161" s="59" t="str">
        <x:v>Wskazana przez operatora moc przyłączeniowa w jego jednostce raportowania / AVAILABLE_DIRECTLY / PSE_CAPACITY, ENERGA_EXPORT/IMPORT, STOEN_EXPORT/IMPORT / Horyzont, grupa ograniczeń, kierunek i założenia są częścią wartości</x:v>
      </x:c>
    </x:row>
    <x:row r="162" ht="38" customHeight="1">
      <x:c r="A162" s="59" t="str">
        <x:v>docs/02_feasibility_matrix.md</x:v>
      </x:c>
      <x:c r="B162" s="59" t="str">
        <x:v>Wstępna macierz wykonalności</x:v>
      </x:c>
      <x:c r="C162" s="59" t="str">
        <x:v>Niezależna bieżąca wolna moc dowolnego GPZ / NOT_CURRENTLY_AVAILABLE / Brak kompletnej topologii, lokalnych profili i parametrów / value=null, classification=UNKNOWN</x:v>
      </x:c>
    </x:row>
    <x:row r="163" ht="38" customHeight="1">
      <x:c r="A163" s="59" t="str">
        <x:v>docs/02_feasibility_matrix.md</x:v>
      </x:c>
      <x:c r="B163" s="59" t="str">
        <x:v>Wstępna macierz wykonalności</x:v>
      </x:c>
      <x:c r="C163" s="59" t="str">
        <x:v>Moc znamionowa konkretnego transformatora opisana w dokumencie / AVAILABLE_DIRECTLY / Tylko jeśli właściwy dokument podaje parametr i obiekt / Ten research nie zwalidował pełnego inwentarza; brak wartości = UNKNOWN</x:v>
      </x:c>
    </x:row>
    <x:row r="164" ht="38" customHeight="1">
      <x:c r="A164" s="59" t="str">
        <x:v>docs/02_feasibility_matrix.md</x:v>
      </x:c>
      <x:c r="B164" s="59" t="str">
        <x:v>Wstępna macierz wykonalności</x:v>
      </x:c>
      <x:c r="C164" s="59" t="str">
        <x:v>Krajowy kompletny rejestr mocy transformatorów GPZ / NOT_CURRENTLY_AVAILABLE / Nie znaleziono kompletnego otwartego zbioru w badanym zakresie / Nie wnioskować z napięcia, zdjęcia lub typowej konstrukcji</x:v>
      </x:c>
    </x:row>
    <x:row r="165" ht="38" customHeight="1">
      <x:c r="A165" s="59" t="str">
        <x:v>docs/02_feasibility_matrix.md</x:v>
      </x:c>
      <x:c r="B165" s="59" t="str">
        <x:v>Wstępna macierz wykonalności</x:v>
      </x:c>
      <x:c r="C165" s="59" t="str">
        <x:v>Rzeczywiste obciążenie dowolnego transformatora GPZ / NOT_CURRENTLY_AVAILABLE / Brak publicznego pełnego pokrycia telemetrią / Moc znamionowa i suma PV nie wystarczą</x:v>
      </x:c>
    </x:row>
    <x:row r="166" ht="38" customHeight="1">
      <x:c r="A166" s="59" t="str">
        <x:v>docs/02_feasibility_matrix.md</x:v>
      </x:c>
      <x:c r="B166" s="59" t="str">
        <x:v>Wstępna macierz wykonalności</x:v>
      </x:c>
      <x:c r="C166" s="59" t="str">
        <x:v>Obciążenie dowolnej linii 110 kV / NOT_CURRENTLY_AVAILABLE / Brak parametrów i bieżącego układu/profili / Mapy linii nie pozwalają tego wyliczyć</x:v>
      </x:c>
    </x:row>
    <x:row r="167" ht="38" customHeight="1">
      <x:c r="A167" s="59" t="str">
        <x:v>docs/02_feasibility_matrix.md</x:v>
      </x:c>
      <x:c r="B167" s="59" t="str">
        <x:v>Wstępna macierz wykonalności</x:v>
      </x:c>
      <x:c r="C167" s="59" t="str">
        <x:v>Dane o bilansie i generacji na poziomie KSE / AVAILABLE_DIRECTLY / PSE_API; Energy-Charts jako dodatkowe źródło / Nie przenosić na lokalny GPZ</x:v>
      </x:c>
    </x:row>
    <x:row r="168" ht="38" customHeight="1">
      <x:c r="A168" s="59" t="str">
        <x:v>docs/02_feasibility_matrix.md</x:v>
      </x:c>
      <x:c r="B168" s="59" t="str">
        <x:v>Wstępna macierz wykonalności</x:v>
      </x:c>
      <x:c r="C168" s="59" t="str">
        <x:v>Raportowane redysponowanie z rozróżnieniem przyczyny / AVAILABLE_DIRECTLY / PSE_API poze-redoze, schemat i próbka / Lokalizacja ograniczenia nie wynika z agregatu; null nie jest zerem</x:v>
      </x:c>
    </x:row>
    <x:row r="169" ht="38" customHeight="1">
      <x:c r="A169" s="59" t="str">
        <x:v>docs/02_feasibility_matrix.md</x:v>
      </x:c>
      <x:c r="B169" s="59" t="str">
        <x:v>Wstępna macierz wykonalności</x:v>
      </x:c>
      <x:c r="C169" s="59" t="str">
        <x:v>Congestion konkretnego elementu w dowolnej lokalizacji / NOT_CURRENTLY_AVAILABLE / Brak powszechnego lokalnego dowodu / Możliwy opis udokumentowanego ograniczenia, bez udawanej mapy przeciążeń</x:v>
      </x:c>
    </x:row>
    <x:row r="170" ht="38" customHeight="1">
      <x:c r="A170" s="59" t="str">
        <x:v>docs/02_feasibility_matrix.md</x:v>
      </x:c>
      <x:c r="B170" s="59" t="str">
        <x:v>Wstępna macierz wykonalności</x:v>
      </x:c>
      <x:c r="C170" s="59" t="str">
        <x:v>Moc eksportowa/importowa BESS jako osobne pola projektu / AVAILABLE_DIRECTLY / PSE_PIPELINE i kierunkowe wykazy w badanym zakresie / Dostępność konkretnego pola zależy od rekordu; brak MWh nie uzupełniać domysłem</x:v>
      </x:c>
    </x:row>
    <x:row r="171" ht="38" customHeight="1">
      <x:c r="A171" s="59" t="str">
        <x:v>docs/02_feasibility_matrix.md</x:v>
      </x:c>
      <x:c r="B171" s="59" t="str">
        <x:v>Wstępna macierz wykonalności</x:v>
      </x:c>
      <x:c r="C171" s="59" t="str">
        <x:v>Czas magazynowania przy znanych MWh i mocy rozładowania / CALCULABLE / MWh / MW, dodatni mianownik, jawne znaczenie mocy i pojemności / Wymaga zgodnych nominalnych/użytecznych wartości; nie oznacza profilu pracy</x:v>
      </x:c>
    </x:row>
    <x:row r="172" ht="38" customHeight="1">
      <x:c r="A172" s="59" t="str">
        <x:v>docs/02_feasibility_matrix.md</x:v>
      </x:c>
      <x:c r="B172" s="59" t="str">
        <x:v>Wstępna macierz wykonalności</x:v>
      </x:c>
      <x:c r="C172" s="59" t="str">
        <x:v>Techniczna możliwość przyłączenia dowolnego BESS / NOT_CURRENTLY_AVAILABLE / Osobne import/eksport nie zastępują pełnej analizy sieci / Możliwy screening przesłanek dla obu kierunków</x:v>
      </x:c>
    </x:row>
    <x:row r="173" ht="38" customHeight="1">
      <x:c r="A173" s="59" t="str">
        <x:v>docs/02_feasibility_matrix.md</x:v>
      </x:c>
      <x:c r="B173" s="59" t="str">
        <x:v>Wstępna macierz wykonalności</x:v>
      </x:c>
      <x:c r="C173" s="59" t="str">
        <x:v>Scenariuszowy profil generacji PV/Wind / ESTIMABLE / Potrzebne parametry instalacji, pogoda, metoda i walidacja / Jeszcze nie wdrożono ani nie zwalidowano lokalnego modelu profili</x:v>
      </x:c>
    </x:row>
    <x:row r="174" ht="38" customHeight="1">
      <x:c r="A174" s="59" t="str">
        <x:v>docs/02_feasibility_matrix.md</x:v>
      </x:c>
      <x:c r="B174" s="59" t="str">
        <x:v>Wstępna macierz wykonalności</x:v>
      </x:c>
      <x:c r="C174" s="59" t="str">
        <x:v>Zastępcza lokalizacja/relacja sieciowa / ESTIMABLE / Kilka zgodnych dowodów; wynik relacji oznaczony INFERRED / Samo najbliższe GPZ nie wystarcza; konflikt zachować</x:v>
      </x:c>
    </x:row>
    <x:row r="175" ht="38" customHeight="1">
      <x:c r="A175" s="59" t="str">
        <x:v>docs/02_feasibility_matrix.md</x:v>
      </x:c>
      <x:c r="B175" s="59" t="str">
        <x:v>Wstępna macierz wykonalności</x:v>
      </x:c>
      <x:c r="C175" s="59" t="str">
        <x:v>Pełny łańcuch project–feeder–GPZ–PSE dla każdego projektu / NOT_CURRENTLY_AVAILABLE / Fragmenty dokumentacyjne + pomocnicza geometria / Dopuszczalne nieznane odcinki grafu</x:v>
      </x:c>
    </x:row>
    <x:row r="176" ht="38" customHeight="1">
      <x:c r="A176" s="59" t="str">
        <x:v>docs/02_feasibility_matrix.md</x:v>
      </x:c>
      <x:c r="B176" s="59" t="str">
        <x:v>Wstępna macierz wykonalności</x:v>
      </x:c>
      <x:c r="C176" s="59" t="str">
        <x:v>Udokumentowane planowane inwestycje / AVAILABLE_DIRECTLY / PSE_PLAN, ENERGA_PLAN, ENEA_PLAN / Projekt/uzgodnienie/realizacja to odrębne statusy</x:v>
      </x:c>
    </x:row>
    <x:row r="177" ht="38" customHeight="1">
      <x:c r="A177" s="59" t="str">
        <x:v>docs/02_feasibility_matrix.md</x:v>
      </x:c>
      <x:c r="B177" s="59" t="str">
        <x:v>Wstępna macierz wykonalności</x:v>
      </x:c>
      <x:c r="C177" s="59" t="str">
        <x:v>Przyszła dostępna moc z konkretnego wariantu publikacji / AVAILABLE_DIRECTLY / Jeśli operator podał wartość, datę i założenia; PSE_CAPACITY / Nie wyliczać prostym dodaniem MVA inwestycji do obecnych MW</x:v>
      </x:c>
    </x:row>
    <x:row r="178" ht="38" customHeight="1">
      <x:c r="A178" s="59" t="str">
        <x:v>docs/02_feasibility_matrix.md</x:v>
      </x:c>
      <x:c r="B178" s="59" t="str">
        <x:v>Wstępna macierz wykonalności</x:v>
      </x:c>
      <x:c r="C178" s="59" t="str">
        <x:v>Przyszła fizyczna dostępność każdego punktu / NOT_CURRENTLY_AVAILABLE / Brak kompletnych przyszłych profili, topologii i realizacji planów / Możliwa narracja wariantowa, nie gwarancja</x:v>
      </x:c>
    </x:row>
    <x:row r="179" ht="38" customHeight="1">
      <x:c r="A179" s="59" t="str">
        <x:v>docs/02_feasibility_matrix.md</x:v>
      </x:c>
      <x:c r="B179" s="59" t="str">
        <x:v>Wstępna macierz wykonalności</x:v>
      </x:c>
      <x:c r="C179" s="59" t="str">
        <x:v>Potencjalne korytarze i przecięcia ograniczeń GIS / CALCULABLE / Zweryfikowana geometria, CRS i aktualne warstwy / Nie jest prawem do gruntu ani pełną wykonalnością trasy</x:v>
      </x:c>
    </x:row>
    <x:row r="180" ht="38" customHeight="1">
      <x:c r="A180" s="59" t="str">
        <x:v>docs/02_feasibility_matrix.md</x:v>
      </x:c>
      <x:c r="B180" s="59" t="str">
        <x:v>Wstępna macierz wykonalności</x:v>
      </x:c>
      <x:c r="C180" s="59" t="str">
        <x:v>Rzeczywista możliwość pozyskania trasy przyłącza / NOT_CURRENTLY_AVAILABLE / Potrzebne prawa do nieruchomości, uzgodnienia i projekt techniczny / Publiczne działki i WMS nie wystarczą</x:v>
      </x:c>
    </x:row>
    <x:row r="181" ht="38" customHeight="1">
      <x:c r="A181" s="59" t="str">
        <x:v>docs/02_feasibility_matrix.md</x:v>
      </x:c>
      <x:c r="B181" s="59" t="str">
        <x:v>Wstępna macierz wykonalności</x:v>
      </x:c>
      <x:c r="C181" s="59" t="str">
        <x:v>Grid Connection Score 0–100 o zwalidowanej trafności / NOT_CURRENTLY_AVAILABLE / Nie skalibrowano wag, celu i zbioru referencyjnego / Nie wyświetlać arbitralnej liczby</x:v>
      </x:c>
    </x:row>
    <x:row r="182" ht="38" customHeight="1">
      <x:c r="A182" s="59" t="str">
        <x:v>docs/02_feasibility_matrix.md</x:v>
      </x:c>
      <x:c r="B182" s="59" t="str">
        <x:v>Wstępna macierz wykonalności</x:v>
      </x:c>
      <x:c r="C182" s="59" t="str">
        <x:v>Procentowe prawdopodobieństwo uzyskania WP / NOT_CURRENTLY_AVAILABLE / Brak reprezentatywnych etykiet wyników i wystarczających predyktorów / Nie utożsamiać historycznego udziału odmów z szansą konkretnego projektu</x:v>
      </x:c>
    </x:row>
    <x:row r="183" ht="38" customHeight="1">
      <x:c r="A183" s="59" t="str">
        <x:v>docs/02_feasibility_matrix.md</x:v>
      </x:c>
      <x:c r="B183" s="59" t="str">
        <x:v>Wstępna macierz wykonalności</x:v>
      </x:c>
      <x:c r="C183" s="59" t="str">
        <x:v>Historia wiedzy od rozpoczęcia archiwizacji / CALCULABLE / Snapshoty, manifesty, wersje normalizacji i metody / Nie odtworzy brakujących historycznych źródeł sprzed archiwizacji</x:v>
      </x:c>
    </x:row>
    <x:row r="184" ht="38" customHeight="1">
      <x:c r="A184" s="59" t="str">
        <x:v>docs/02_feasibility_matrix.md</x:v>
      </x:c>
      <x:c r="B184" s="59" t="str">
        <x:v>Wstępna macierz wykonalności</x:v>
      </x:c>
      <x:c r="C184" s="59" t="str">
        <x:v>Najważniejsze rozróżnienie: wiarygodne przepisanie wartości operatora jest możliwe znacznie wcześniej niż wiarygodne obliczenie tej samej wielkości samodzielnie. Produkt powinien wyraźnie pokazywać, którą czynność wykonał.</x:v>
      </x:c>
    </x:row>
    <x:row r="185" ht="30" customHeight="1">
      <x:c r="A185" s="59" t="str">
        <x:v>docs/03_system_architecture.md</x:v>
      </x:c>
      <x:c r="B185" s="59" t="str">
        <x:v>Kierunek architektury po researchu</x:v>
      </x:c>
      <x:c r="C185" s="59" t="str">
        <x:v>10.09.2026 — propozycja do etapu 2, bez instalacji bazy i bez wyboru ostatecznego stosu.</x:v>
      </x:c>
    </x:row>
    <x:row r="186" ht="52" customHeight="1">
      <x:c r="A186" s="59" t="str">
        <x:v>docs/03_system_architecture.md</x:v>
      </x:c>
      <x:c r="B186" s="59" t="str">
        <x:v>Kierunek architektury po researchu</x:v>
      </x:c>
      <x:c r="C186" s="59" t="str">
        <x:v>Na etapie 1 wystarczają lokalne pliki, katalog źródeł i zachowane próbki. Dla przyszłego MVP rekomendowanym punktem wyjścia jest PostgreSQL + PostGIS i relacyjne tabele węzłów, krawędzi, obserwacji oraz dowodów. Rekomendacja wynika z potrzeby historii, spójności danych i analizy przestrzennej; nie jest wynikiem benchmarku baz.</x:v>
      </x:c>
    </x:row>
    <x:row r="187" ht="30" customHeight="1">
      <x:c r="A187" s="59" t="str">
        <x:v>docs/03_system_architecture.md</x:v>
      </x:c>
      <x:c r="B187" s="59" t="str">
        <x:v>Kierunek architektury po researchu</x:v>
      </x:c>
      <x:c r="C187" s="59" t="str">
        <x:v>Wariant / Korzyść dla projektu / Koszt / ograniczenie / Wstępna ocena</x:v>
      </x:c>
    </x:row>
    <x:row r="188" ht="38" customHeight="1">
      <x:c r="A188" s="59" t="str">
        <x:v>docs/03_system_architecture.md</x:v>
      </x:c>
      <x:c r="B188" s="59" t="str">
        <x:v>Kierunek architektury po researchu</x:v>
      </x:c>
      <x:c r="C188" s="59" t="str">
        <x:v>PostgreSQL + PostGIS / Jeden magazyn danych domenowych, źródeł, historii i geometrii; graf jako węzły/krawędzie / Złożone przejścia grafowe trzeba świadomie zaprojektować / Preferowany kandydat MVP</x:v>
      </x:c>
    </x:row>
    <x:row r="189" ht="38" customHeight="1">
      <x:c r="A189" s="59" t="str">
        <x:v>docs/03_system_architecture.md</x:v>
      </x:c>
      <x:c r="B189" s="59" t="str">
        <x:v>Kierunek architektury po researchu</x:v>
      </x:c>
      <x:c r="C189" s="59" t="str">
        <x:v>PostgreSQL + PostGIS + pgRouting / Algorytmy trasowania/analizy grafowej w tym samym środowisku / Kolejne rozszerzenie; koszt grafu nie jest modelem przepływu energii / Dodać tylko dla uzasadnionego zapytania lub warstwy trasowej</x:v>
      </x:c>
    </x:row>
    <x:row r="190" ht="38" customHeight="1">
      <x:c r="A190" s="59" t="str">
        <x:v>docs/03_system_architecture.md</x:v>
      </x:c>
      <x:c r="B190" s="59" t="str">
        <x:v>Kierunek architektury po researchu</x:v>
      </x:c>
      <x:c r="C190" s="59" t="str">
        <x:v>Neo4j / Naturalna reprezentacja węzłów i relacji z właściwościami / Wymaga oceny obsługi historii, GIS, edycji/licencji i utrzymania / Brak potrzeby wykazanej badaniem danych</x:v>
      </x:c>
    </x:row>
    <x:row r="191" ht="38" customHeight="1">
      <x:c r="A191" s="59" t="str">
        <x:v>docs/03_system_architecture.md</x:v>
      </x:c>
      <x:c r="B191" s="59" t="str">
        <x:v>Kierunek architektury po researchu</x:v>
      </x:c>
      <x:c r="C191" s="59" t="str">
        <x:v>PostgreSQL/PostGIS + Neo4j / Osobna projekcja do intensywnej eksploracji grafu / Synchronizacja dwóch magazynów, ryzyko niespójności i trudniejszy audyt / Odłożyć do czasu mierzalnej potrzeby</x:v>
      </x:c>
    </x:row>
    <x:row r="192" ht="66" customHeight="1">
      <x:c r="A192" s="59" t="str">
        <x:v>docs/03_system_architecture.md</x:v>
      </x:c>
      <x:c r="B192" s="59" t="str">
        <x:v>Kierunek architektury po researchu</x:v>
      </x:c>
      <x:c r="C192" s="59" t="str">
        <x:v>Źródła techniczne sprawdzono 10.09.2026: PostGIS — dokumentacja (https://postgis.net/documentation/getting_started/), Neo4j — model grafowy (https://neo4j.com/docs/getting-started/appendix/graphdb-concepts/). Opis pgRouting znaleziono w oficjalnej dokumentacji (https://docs.pgrouting.org/latest/en/), ale ponowny bezpośredni odczyt zwrócił 403; wersja i warunki konkretnego wdrożenia pozostają do sprawdzenia. Nie wykonano benchmarku ani przeglądu wszystkich warunków licencyjnych baz.</x:v>
      </x:c>
    </x:row>
    <x:row r="193" ht="52" customHeight="1">
      <x:c r="A193" s="59" t="str">
        <x:v>docs/03_system_architecture.md</x:v>
      </x:c>
      <x:c r="B193" s="59" t="str">
        <x:v>Przepływ danych do zaprojektowania</x:v>
      </x:c>
      <x:c r="C193" s="59" t="str">
        <x:v>Źródło → niezmieniany RAW + manifest → parser operatora → STAGING + raport błędów → normalizacja jednostek i dat → walidacja → obserwacje historyczne + dowody + konflikty → rozwiązywanie tożsamości obiektów i relacji → graf referencyjny oraz analiza projektu → raport faktów, założeń, ryzyk i niewiadomych</x:v>
      </x:c>
    </x:row>
    <x:row r="194" ht="52" customHeight="1">
      <x:c r="A194" s="59" t="str">
        <x:v>docs/03_system_architecture.md</x:v>
      </x:c>
      <x:c r="B194" s="59" t="str">
        <x:v>Przepływ danych do zaprojektowania</x:v>
      </x:c>
      <x:c r="C194" s="59" t="str">
        <x:v>Operatorowe fetch/parse/normalize/validate/store powinny pozostać w connectors/. Logika analizy nie pobiera stron. Warstwa GIS ocenia trasę i ograniczenia przestrzenne, a nie obciążenie sieci. Parametry projektu użytkownika nie nadpisują obserwacji operatora. Każdy wynik odwołuje się do snapshotu i wersji metody.</x:v>
      </x:c>
    </x:row>
    <x:row r="195" ht="52" customHeight="1">
      <x:c r="A195" s="59" t="str">
        <x:v>docs/03_system_architecture.md</x:v>
      </x:c>
      <x:c r="B195" s="59" t="str">
        <x:v>Przepływ danych do zaprojektowania</x:v>
      </x:c>
      <x:c r="C195" s="59" t="str">
        <x:v>Python jest naturalnym kandydatem dla connectorów; API można później wystawić przez FastAPI. Nie ma jeszcze potrzeby Airflow, Kafki, Kubernetes ani dodatkowego solvera. Wybór biblioteki DataFrame i mapy należy oprzeć na rzeczywistych transformacjach i skali po pilotażu. Nie utworzono frontendowego dashboardu.</x:v>
      </x:c>
    </x:row>
    <x:row r="196" ht="52" customHeight="1">
      <x:c r="A196" s="59" t="str">
        <x:v>docs/04_data_model.md</x:v>
      </x:c>
      <x:c r="B196" s="59" t="str">
        <x:v>Wymagania dla przyszłego modelu danych</x:v>
      </x:c>
      <x:c r="C196" s="59" t="str">
        <x:v>Aktualizacja 11.09.2026: powstał eksperymentalny model Radkowic (11_radkowice_evidence_model.md) i walidator grid_engine/evidence_graph.py. Celowo rozróżnia poziom napięcia od fizycznej sekcji szyn oraz relację taryfową od własności. To ograniczony graf dokumentacyjny; pełny model bazy, obserwacji, wniosków i historii nadal wymaga opracowania.</x:v>
      </x:c>
    </x:row>
    <x:row r="197" ht="30" customHeight="1">
      <x:c r="A197" s="59" t="str">
        <x:v>docs/04_data_model.md</x:v>
      </x:c>
      <x:c r="B197" s="59" t="str">
        <x:v>Wymagania dla przyszłego modelu danych</x:v>
      </x:c>
      <x:c r="C197" s="59" t="str">
        <x:v>10.09.2026 — notatka z etapu 1. To nie jest wdrożony schemat bazy.</x:v>
      </x:c>
    </x:row>
    <x:row r="198" ht="66" customHeight="1">
      <x:c r="A198" s="59" t="str">
        <x:v>docs/04_data_model.md</x:v>
      </x:c>
      <x:c r="B198" s="59" t="str">
        <x:v>Wymagania dla przyszłego modelu danych</x:v>
      </x:c>
      <x:c r="C198" s="59" t="str">
        <x:v>Minimalne obiekty domenowe: OPERATOR, SOURCE, SOURCE_SNAPSHOT, OBSERVATION, GRID_NODE, SUBSTATION/GPZ, BUS, TRANSFORMER, LINE, FEEDER, CONNECTION_POINT, PROJECT, GENERATION_ASSET, STORAGE_ASSET, DEMAND_ASSET, GRID_INVESTMENT. Potrzebna jest także jednostka CAPACITY_REPORTING_GROUP, ponieważ publikowane moce bywają wspólne dla grupy stacji. Grupa raportowa nie jest fizycznym węzłem i nie musi być identyczna z kompletną grupą ograniczeń elektrycznych.</x:v>
      </x:c>
    </x:row>
    <x:row r="199" ht="30" customHeight="1">
      <x:c r="A199" s="59" t="str">
        <x:v>docs/04_data_model.md</x:v>
      </x:c>
      <x:c r="B199" s="59" t="str">
        <x:v>Wymagania dla przyszłego modelu danych</x:v>
      </x:c>
      <x:c r="C199" s="59" t="str">
        <x:v>Obszar / Wymaganie wynikające z badań</x:v>
      </x:c>
    </x:row>
    <x:row r="200" ht="38" customHeight="1">
      <x:c r="A200" s="59" t="str">
        <x:v>docs/04_data_model.md</x:v>
      </x:c>
      <x:c r="B200" s="59" t="str">
        <x:v>Wymagania dla przyszłego modelu danych</x:v>
      </x:c>
      <x:c r="C200" s="59" t="str">
        <x:v>Tożsamość / Własny stabilny ID, identyfikatory operatora, aliasy, operator, napięcie, geometria; brak scalenia wyłącznie po podobieństwie nazwy</x:v>
      </x:c>
    </x:row>
    <x:row r="201" ht="38" customHeight="1">
      <x:c r="A201" s="59" t="str">
        <x:v>docs/04_data_model.md</x:v>
      </x:c>
      <x:c r="B201" s="59" t="str">
        <x:v>Wymagania dla przyszłego modelu danych</x:v>
      </x:c>
      <x:c r="C201" s="59" t="str">
        <x:v>Obserwacja / Wartość i jednostka, klasyfikacja REPORTED/MEASURED/CALCULATED/ESTIMATED/INFERRED/UNKNOWN, źródło i snapshot, strona/arkusz/wiersz/pole, daty</x:v>
      </x:c>
    </x:row>
    <x:row r="202" ht="38" customHeight="1">
      <x:c r="A202" s="59" t="str">
        <x:v>docs/04_data_model.md</x:v>
      </x:c>
      <x:c r="B202" s="59" t="str">
        <x:v>Wymagania dla przyszłego modelu danych</x:v>
      </x:c>
      <x:c r="C202" s="59" t="str">
        <x:v>Czas / Osobno publication_date, observation_date/source_date, retrieval_date, valid_from/to oraz moment rejestracji wiedzy; nieznane daty pozostają null</x:v>
      </x:c>
    </x:row>
    <x:row r="203" ht="30" customHeight="1">
      <x:c r="A203" s="59" t="str">
        <x:v>docs/04_data_model.md</x:v>
      </x:c>
      <x:c r="B203" s="59" t="str">
        <x:v>Wymagania dla przyszłego modelu danych</x:v>
      </x:c>
      <x:c r="C203" s="59" t="str">
        <x:v>Konflikt / Obie wersje wartości lub daty, dowody, status rozstrzygnięcia; nie nadpisywać jednej drugą</x:v>
      </x:c>
    </x:row>
    <x:row r="204" ht="30" customHeight="1">
      <x:c r="A204" s="59" t="str">
        <x:v>docs/04_data_model.md</x:v>
      </x:c>
      <x:c r="B204" s="59" t="str">
        <x:v>Wymagania dla przyszłego modelu danych</x:v>
      </x:c>
      <x:c r="C204" s="59" t="str">
        <x:v>Relacja / Obiekt początkowy/końcowy, typ, confirmed/probable/inferred/unknown, dowody, okres, stan planowany/istniejący</x:v>
      </x:c>
    </x:row>
    <x:row r="205" ht="38" customHeight="1">
      <x:c r="A205" s="59" t="str">
        <x:v>docs/04_data_model.md</x:v>
      </x:c>
      <x:c r="B205" s="59" t="str">
        <x:v>Wymagania dla przyszłego modelu danych</x:v>
      </x:c>
      <x:c r="C205" s="59" t="str">
        <x:v>Projekt / Technologie jako składniki, SPV/inwestor z dowodami, etapy procedury jako historia; nie wszystkie wpisy są osobnymi projektami</x:v>
      </x:c>
    </x:row>
    <x:row r="206" ht="38" customHeight="1">
      <x:c r="A206" s="59" t="str">
        <x:v>docs/04_data_model.md</x:v>
      </x:c>
      <x:c r="B206" s="59" t="str">
        <x:v>Wymagania dla przyszłego modelu danych</x:v>
      </x:c>
      <x:c r="C206" s="59" t="str">
        <x:v>BESS / P_export_MW, P_import_MW, energy_capacity_MWh, duration_h, PCC_export_limit_MW, PCC_import_limit_MW; brakujące pola null</x:v>
      </x:c>
    </x:row>
    <x:row r="207" ht="30" customHeight="1">
      <x:c r="A207" s="59" t="str">
        <x:v>docs/04_data_model.md</x:v>
      </x:c>
      <x:c r="B207" s="59" t="str">
        <x:v>Wymagania dla przyszłego modelu danych</x:v>
      </x:c>
      <x:c r="C207" s="59" t="str">
        <x:v>Hybryda / Składniki zainstalowane niezależnie od limitów PCC i scenariusza pracy</x:v>
      </x:c>
    </x:row>
    <x:row r="208" ht="30" customHeight="1">
      <x:c r="A208" s="59" t="str">
        <x:v>docs/04_data_model.md</x:v>
      </x:c>
      <x:c r="B208" s="59" t="str">
        <x:v>Wymagania dla przyszłego modelu danych</x:v>
      </x:c>
      <x:c r="C208" s="59" t="str">
        <x:v>Dostępność operatora / Kierunek, napięcie, grupa/stacja, horyzont, wariant WP, ograniczenia i definicja raportu</x:v>
      </x:c>
    </x:row>
    <x:row r="209" ht="38" customHeight="1">
      <x:c r="A209" s="59" t="str">
        <x:v>docs/04_data_model.md</x:v>
      </x:c>
      <x:c r="B209" s="59" t="str">
        <x:v>Wymagania dla przyszłego modelu danych</x:v>
      </x:c>
      <x:c r="C209" s="59" t="str">
        <x:v>Inwestycja / planned/under_construction/commissioned/cancelled/unknown, status dokumentu i daty oczekiwane oddzielone od rzeczywistych</x:v>
      </x:c>
    </x:row>
    <x:row r="210" ht="38" customHeight="1">
      <x:c r="A210" s="59" t="str">
        <x:v>docs/04_data_model.md</x:v>
      </x:c>
      <x:c r="B210" s="59" t="str">
        <x:v>Wymagania dla przyszłego modelu danych</x:v>
      </x:c>
      <x:c r="C210" s="59" t="str">
        <x:v>Wynik analizy / Snapshot, parametry projektu, wersja metody, konfiguracja, czas analizy, źródła wejściowe i wyjaśnienie; score i confidence odrębne</x:v>
      </x:c>
    </x:row>
    <x:row r="211" ht="38" customHeight="1">
      <x:c r="A211" s="59" t="str">
        <x:v>docs/04_data_model.md</x:v>
      </x:c>
      <x:c r="B211" s="59" t="str">
        <x:v>Wymagania dla przyszłego modelu danych</x:v>
      </x:c>
      <x:c r="C211" s="59" t="str">
        <x:v>Szczegółowy projekt SQL/API oraz walidacja kontraktów należą do etapu 2. Katalog źródeł w etapie 1 nie jest zamiennikiem modelu obserwacji technicznych.</x:v>
      </x:c>
    </x:row>
    <x:row r="212" ht="66" customHeight="1">
      <x:c r="A212" s="59" t="str">
        <x:v>docs/04_data_model.md</x:v>
      </x:c>
      <x:c r="B212" s="59" t="str">
        <x:v>Wymagania dla przyszłego modelu danych</x:v>
      </x:c>
      <x:c r="C212" s="59" t="str">
        <x:v>Wymaganie widoku pipeline GPZ (gpz_pipeline.md) dodaje odrębny CONNECTION_APPLICATION z własnym identyfikatorem i historią statusów, związany z projektem oraz wskazanym punktem przyłączenia. Status wykonania przyłączenia, eksploatacji i procedury wniosku należy przechowywać oddzielnie. Brak odpowiedzi w źródle jest UNKNOWN; nie oznacza automatycznie potwierdzonego oczekiwania na odpowiedź.</x:v>
      </x:c>
    </x:row>
    <x:row r="213" ht="52" customHeight="1">
      <x:c r="A213" s="59" t="str">
        <x:v>docs/04_data_model.md</x:v>
      </x:c>
      <x:c r="B213" s="59" t="str">
        <x:v>Prototyp wspólnego przyłącza — 11.09.2026</x:v>
      </x:c>
      <x:c r="C213" s="59" t="str">
        <x:v>Model ewidencji miejsc (13_shared_connection_model.md) rozdziela identyfikatory projektów, miejsc i przyłącza, scenariusz, kompletność danych oraz kierunkowe limity MW. Działa jako niezależna biblioteka i nie zastępuje pełnego schematu bazy, historii ani kontroli dostępu aplikacji. Wyniki elektryczne pozostają UNKNOWN.</x:v>
      </x:c>
    </x:row>
    <x:row r="214" ht="38" customHeight="1">
      <x:c r="A214" s="59" t="str">
        <x:v>docs/04_data_model.md</x:v>
      </x:c>
      <x:c r="B214" s="59" t="str">
        <x:v>Uzupełnienie historii — 2026-09-15</x:v>
      </x:c>
      <x:c r="C214" s="59" t="str">
        <x:v>Prototyp dwóch osi czasu, korekt i konfliktów opisano w historii obserwacji (14_observation_history.md). Nie zastępuje pełnego modelu bazy. Data publikacji ani pobrania nie wyznacza automatycznie okresu ważności.</x:v>
      </x:c>
    </x:row>
    <x:row r="215" ht="30" customHeight="1">
      <x:c r="A215" s="59" t="str">
        <x:v>docs/05_grid_capacity_methodology.md</x:v>
      </x:c>
      <x:c r="B215" s="59" t="str">
        <x:v>Granice metody oceny dostępności</x:v>
      </x:c>
      <x:c r="C215" s="59" t="str">
        <x:v>10.09.2026 — wymagania badawcze, brak zaimplementowanego silnika mocy.</x:v>
      </x:c>
    </x:row>
    <x:row r="216" ht="30" customHeight="1">
      <x:c r="A216" s="59" t="str">
        <x:v>docs/05_grid_capacity_methodology.md</x:v>
      </x:c>
      <x:c r="B216" s="59" t="str">
        <x:v>Granice metody oceny dostępności</x:v>
      </x:c>
      <x:c r="C216" s="59" t="str">
        <x:v>Pierwszy raport powinien oddzielać:</x:v>
      </x:c>
    </x:row>
    <x:row r="217" ht="66" customHeight="1">
      <x:c r="A217" s="59" t="str">
        <x:v>docs/05_grid_capacity_methodology.md</x:v>
      </x:c>
      <x:c r="B217" s="59" t="str">
        <x:v>Granice metody oceny dostępności</x:v>
      </x:c>
      <x:c r="C217" s="59" t="str">
        <x:v>1. Fakty: parametry i deklaracje z publikacji, wraz z datą, jednostką raportowania i zakresem. 2. Obliczenia: tylko deterministyczne wyniki z jawnych wejść, np. suma znanych unikalnych projektów w jednym kierunku i etapie. 3. Założenia i estymacje: odrębne od faktów, z metodą i analizą wrażliwości. 4. Niewiadome: brakujące połączenia, parametry, profile i nieznane pokrycie pipeline.</x:v>
      </x:c>
    </x:row>
    <x:row r="218" ht="52" customHeight="1">
      <x:c r="A218" s="59" t="str">
        <x:v>docs/05_grid_capacity_methodology.md</x:v>
      </x:c>
      <x:c r="B218" s="59" t="str">
        <x:v>Granice metody oceny dostępności</x:v>
      </x:c>
      <x:c r="C218" s="59" t="str">
        <x:v>Publikowana dostępna moc i moc znamionowa urządzeń to różne wielkości. Niedopuszczalne jest utożsamianie MVA transformatora − MW znanej generacji z wolną mocą przyłączeniową. Nie wolno też odejmować po raz drugi projektów już uwzględnionych w wariancie raportu operatora.</x:v>
      </x:c>
    </x:row>
    <x:row r="219" ht="52" customHeight="1">
      <x:c r="A219" s="59" t="str">
        <x:v>docs/05_grid_capacity_methodology.md</x:v>
      </x:c>
      <x:c r="B219" s="59" t="str">
        <x:v>Granice metody oceny dostępności</x:v>
      </x:c>
      <x:c r="C219" s="59" t="str">
        <x:v>Scenariusz opisuje osobno stan sieci (CURRENT_GRID, FUTURE_GRID + rok), wariant założeń (BASE_CASE, CONSERVATIVE, OPTIMISTIC) i kierunek BESS (CHARGING, DISCHARGING). Horyzont nie potwierdza wykonania inwestycji. Ograniczenie PCC jest niezależne od zainstalowanych składników hybrydy.</x:v>
      </x:c>
    </x:row>
    <x:row r="220" ht="52" customHeight="1">
      <x:c r="A220" s="59" t="str">
        <x:v>docs/05_grid_capacity_methodology.md</x:v>
      </x:c>
      <x:c r="B220" s="59" t="str">
        <x:v>Granice metody oceny dostępności</x:v>
      </x:c>
      <x:c r="C220" s="59" t="str">
        <x:v>Przed power-flow wymagane są co najmniej kompletne dla badanego obszaru: topologia, szyny, impedancje, limity linii, parametry transformatorów, generacja, pobór i założenia ruchowe. Analiza N-1 wymaga również jawnej listy zdarzeń i ograniczeń. Gdy te dane są niedostępne, wynik mocy pozostaje UNKNOWN, a raport może opisywać przesłanki i ryzyka.</x:v>
      </x:c>
    </x:row>
    <x:row r="221" ht="38" customHeight="1">
      <x:c r="A221" s="59" t="str">
        <x:v>docs/05_grid_capacity_methodology.md</x:v>
      </x:c>
      <x:c r="B221" s="59" t="str">
        <x:v>Granice metody oceny dostępności</x:v>
      </x:c>
      <x:c r="C221" s="59" t="str">
        <x:v>W badaniu nie ustalono parametrów pozwalających wyznaczyć wiarygodny przedział wolnej mocy dla dowolnego GPZ. Nie utworzono sztucznych zakresów MW ani współczynników zastępczych. Dowody: raport, rozdziały 3–4 i 8–9 (01_data_research.md).</x:v>
      </x:c>
    </x:row>
    <x:row r="222" ht="30" customHeight="1">
      <x:c r="A222" s="59" t="str">
        <x:v>docs/06_scoring_methodology.md</x:v>
      </x:c>
      <x:c r="B222" s="59" t="str">
        <x:v>Status Grid Connection Score</x:v>
      </x:c>
      <x:c r="C222" s="59" t="str">
        <x:v>10.09.2026 — metoda nie jest jeszcze zdefiniowana ani wdrożona.</x:v>
      </x:c>
    </x:row>
    <x:row r="223" ht="52" customHeight="1">
      <x:c r="A223" s="59" t="str">
        <x:v>docs/06_scoring_methodology.md</x:v>
      </x:c>
      <x:c r="B223" s="59" t="str">
        <x:v>Status Grid Connection Score</x:v>
      </x:c>
      <x:c r="C223" s="59" t="str">
        <x:v>Grid Connection Score = null, Estimated connection probability = null. Badanie nie dostarczyło reprezentatywnego zbioru wyników przyłączeniowych, który uzasadniałby wagi, progi lub procentowe prawdopodobieństwo. Historyczne odmowy mogą być powtórzeniami prób i dotyczyć innych parametrów niż oceniany projekt.</x:v>
      </x:c>
    </x:row>
    <x:row r="224" ht="30" customHeight="1">
      <x:c r="A224" s="59" t="str">
        <x:v>docs/06_scoring_methodology.md</x:v>
      </x:c>
      <x:c r="B224" s="59" t="str">
        <x:v>Status Grid Connection Score</x:v>
      </x:c>
      <x:c r="C224" s="59" t="str">
        <x:v>Potencjalna zmienna / Stan dowodów</x:v>
      </x:c>
    </x:row>
    <x:row r="225" ht="30" customHeight="1">
      <x:c r="A225" s="59" t="str">
        <x:v>docs/06_scoring_methodology.md</x:v>
      </x:c>
      <x:c r="B225" s="59" t="str">
        <x:v>Status Grid Connection Score</x:v>
      </x:c>
      <x:c r="C225" s="59" t="str">
        <x:v>Raportowana dostępność kierunkowa / Dostępna dla określonych jednostek i założeń operatorów</x:v>
      </x:c>
    </x:row>
    <x:row r="226" ht="30" customHeight="1">
      <x:c r="A226" s="59" t="str">
        <x:v>docs/06_scoring_methodology.md</x:v>
      </x:c>
      <x:c r="B226" s="59" t="str">
        <x:v>Status Grid Connection Score</x:v>
      </x:c>
      <x:c r="C226" s="59" t="str">
        <x:v>Znany pipeline i etap / Częściowo dostępny; wymaga deduplikacji i relacji infrastrukturalnych</x:v>
      </x:c>
    </x:row>
    <x:row r="227" ht="30" customHeight="1">
      <x:c r="A227" s="59" t="str">
        <x:v>docs/06_scoring_methodology.md</x:v>
      </x:c>
      <x:c r="B227" s="59" t="str">
        <x:v>Status Grid Connection Score</x:v>
      </x:c>
      <x:c r="C227" s="59" t="str">
        <x:v>Planowane wzmocnienia / Dostępne dokumentacyjnie; terminy i realizacja nie są pewne</x:v>
      </x:c>
    </x:row>
    <x:row r="228" ht="30" customHeight="1">
      <x:c r="A228" s="59" t="str">
        <x:v>docs/06_scoring_methodology.md</x:v>
      </x:c>
      <x:c r="B228" s="59" t="str">
        <x:v>Status Grid Connection Score</x:v>
      </x:c>
      <x:c r="C228" s="59" t="str">
        <x:v>Napięcie i odległość / Dostępne/obliczalne przy znanym obiekcie i geometrii; sama odległość nie rozstrzyga</x:v>
      </x:c>
    </x:row>
    <x:row r="229" ht="30" customHeight="1">
      <x:c r="A229" s="59" t="str">
        <x:v>docs/06_scoring_methodology.md</x:v>
      </x:c>
      <x:c r="B229" s="59" t="str">
        <x:v>Status Grid Connection Score</x:v>
      </x:c>
      <x:c r="C229" s="59" t="str">
        <x:v>Obciążenia i topologia ruchowa / Brak pełnego publicznego pokrycia</x:v>
      </x:c>
    </x:row>
    <x:row r="230" ht="30" customHeight="1">
      <x:c r="A230" s="59" t="str">
        <x:v>docs/06_scoring_methodology.md</x:v>
      </x:c>
      <x:c r="B230" s="59" t="str">
        <x:v>Status Grid Connection Score</x:v>
      </x:c>
      <x:c r="C230" s="59" t="str">
        <x:v>Elastyczność BESS / Parametry kierunkowe częściowo dostępne; strategia pracy i akceptacja warunków często nieznane</x:v>
      </x:c>
    </x:row>
    <x:row r="231" ht="38" customHeight="1">
      <x:c r="A231" s="59" t="str">
        <x:v>docs/06_scoring_methodology.md</x:v>
      </x:c>
      <x:c r="B231" s="59" t="str">
        <x:v>Status Grid Connection Score</x:v>
      </x:c>
      <x:c r="C231" s="59" t="str">
        <x:v>Odmowy, curtailment i redysponowanie / Konieczny właściwy zakres przestrzenny i przyczyna; brak podstaw do automatycznej lokalnej kary</x:v>
      </x:c>
    </x:row>
    <x:row r="232" ht="52" customHeight="1">
      <x:c r="A232" s="59" t="str">
        <x:v>docs/06_scoring_methodology.md</x:v>
      </x:c>
      <x:c r="B232" s="59" t="str">
        <x:v>Status Grid Connection Score</x:v>
      </x:c>
      <x:c r="C232" s="59" t="str">
        <x:v>Data Confidence jest osobną charakterystyką: autorytet źródła, aktualność, kompletność pól, pewność topologii, pokrycie projektów i konflikty. W etapie 1 opisujemy te wymiary tekstowo. Nie nadano im pozornej skali procentowej i nie utożsamiono autorytetu oficjalnego źródła z pewnością możliwości przyłączenia.</x:v>
      </x:c>
    </x:row>
    <x:row r="233" ht="52" customHeight="1">
      <x:c r="A233" s="59" t="str">
        <x:v>docs/06_scoring_methodology.md</x:v>
      </x:c>
      <x:c r="B233" s="59" t="str">
        <x:v>Status Grid Connection Score</x:v>
      </x:c>
      <x:c r="C233" s="59" t="str">
        <x:v>Do przyszłego opracowania: zdefiniować cel wskaźnika, zbiór referencyjny, sposób traktowania braków, niezależną walidację i analizę błędów według technologii/napięcia. Każda wersja metody ma być zapisana i nie może po cichu reinterpretować poprzednich raportów.</x:v>
      </x:c>
    </x:row>
    <x:row r="234" ht="38" customHeight="1">
      <x:c r="A234" s="59" t="str">
        <x:v>docs/07_data_quality.md</x:v>
      </x:c>
      <x:c r="B234" s="59" t="str">
        <x:v>Jakość danych — ustalenia i kontrola etapu 1</x:v>
      </x:c>
      <x:c r="C234" s="59" t="str">
        <x:v>10.09.2026. Autorytet źródła A–H według AGENTS.md jest oddzielony od kompletności, świeżości, pewności relacji i praw do wykorzystania. Katalog nie zawiera arbitralnych liczbowych ocen jakości.</x:v>
      </x:c>
    </x:row>
    <x:row r="235" ht="30" customHeight="1">
      <x:c r="A235" s="59" t="str">
        <x:v>docs/07_data_quality.md</x:v>
      </x:c>
      <x:c r="B235" s="59" t="str">
        <x:v>Znalezione przypadki wymagające ostrożności</x:v>
      </x:c>
      <x:c r="C235" s="59" t="str">
        <x:v>Przypadek / Dowód / Obsługa</x:v>
      </x:c>
    </x:row>
    <x:row r="236" ht="30" customHeight="1">
      <x:c r="A236" s="59" t="str">
        <x:v>docs/07_data_quality.md</x:v>
      </x:c>
      <x:c r="B236" s="59" t="str">
        <x:v>Znalezione przypadki wymagające ostrożności</x:v>
      </x:c>
      <x:c r="C236" s="59" t="str">
        <x:v>HTTP 200 bez danych / PGE: zachowany HTML odrzucenia, 346 bajtów / BLOCKED; nie sukces parsera</x:v>
      </x:c>
    </x:row>
    <x:row r="237" ht="30" customHeight="1">
      <x:c r="A237" s="59" t="str">
        <x:v>docs/07_data_quality.md</x:v>
      </x:c>
      <x:c r="B237" s="59" t="str">
        <x:v>Znalezione przypadki wymagające ostrożności</x:v>
      </x:c>
      <x:c r="C237" s="59" t="str">
        <x:v>Sprzeczne daty / Energa pipeline: nazwa 31.08, nagłówek i metadane 30.06 / Zachować konflikt, source_date nierozstrzygnięta</x:v>
      </x:c>
    </x:row>
    <x:row r="238" ht="30" customHeight="1">
      <x:c r="A238" s="59" t="str">
        <x:v>docs/07_data_quality.md</x:v>
      </x:c>
      <x:c r="B238" s="59" t="str">
        <x:v>Znalezione przypadki wymagające ostrożności</x:v>
      </x:c>
      <x:c r="C238" s="59" t="str">
        <x:v>Inna data strony i arkusza / PSE: aktualizacja strony 01.09, XLSX stan 31.07 / Dwa odrębne pola, bez „odmładzania” danych</x:v>
      </x:c>
    </x:row>
    <x:row r="239" ht="30" customHeight="1">
      <x:c r="A239" s="59" t="str">
        <x:v>docs/07_data_quality.md</x:v>
      </x:c>
      <x:c r="B239" s="59" t="str">
        <x:v>Znalezione przypadki wymagające ostrożności</x:v>
      </x:c>
      <x:c r="C239" s="59" t="str">
        <x:v>Przyszłe zamiast obecnych mocy / PSE: tabela importowa nowych planowanych stacji / FUTURE_GRID; nie bieżąca rezerwa</x:v>
      </x:c>
    </x:row>
    <x:row r="240" ht="38" customHeight="1">
      <x:c r="A240" s="59" t="str">
        <x:v>docs/07_data_quality.md</x:v>
      </x:c>
      <x:c r="B240" s="59" t="str">
        <x:v>Znalezione przypadki wymagające ostrożności</x:v>
      </x:c>
      <x:c r="C240" s="59" t="str">
        <x:v>Starsze wejścia w nowej publikacji / Stoen: część informacji o małych źródłach z IV kw.2025 / Wiek wejść odrębny od daty wydania</x:v>
      </x:c>
    </x:row>
    <x:row r="241" ht="30" customHeight="1">
      <x:c r="A241" s="59" t="str">
        <x:v>docs/07_data_quality.md</x:v>
      </x:c>
      <x:c r="B241" s="59" t="str">
        <x:v>Znalezione przypadki wymagające ostrożności</x:v>
      </x:c>
      <x:c r="C241" s="59" t="str">
        <x:v>Null w API / PSE poze-redoze: brak wartości w próbce / UNKNOWN, bez zamiany na 0</x:v>
      </x:c>
    </x:row>
    <x:row r="242" ht="30" customHeight="1">
      <x:c r="A242" s="59" t="str">
        <x:v>docs/07_data_quality.md</x:v>
      </x:c>
      <x:c r="B242" s="59" t="str">
        <x:v>Znalezione przypadki wymagające ostrożności</x:v>
      </x:c>
      <x:c r="C242" s="59" t="str">
        <x:v>Najstarsze wyniki bez filtra / PSE $first=2: obserwacje z 2024 / Próba interfejsu, nie snapshot bieżącego KSE</x:v>
      </x:c>
    </x:row>
    <x:row r="243" ht="30" customHeight="1">
      <x:c r="A243" s="59" t="str">
        <x:v>docs/07_data_quality.md</x:v>
      </x:c>
      <x:c r="B243" s="59" t="str">
        <x:v>Znalezione przypadki wymagające ostrożności</x:v>
      </x:c>
      <x:c r="C243" s="59" t="str">
        <x:v>Anonimizacja i nieustalone punkty / TAURON: wybrane wiersze próbki / Brak scalenia „Osoba prawna” do jednego inwestora</x:v>
      </x:c>
    </x:row>
    <x:row r="244" ht="30" customHeight="1">
      <x:c r="A244" s="59" t="str">
        <x:v>docs/07_data_quality.md</x:v>
      </x:c>
      <x:c r="B244" s="59" t="str">
        <x:v>Znalezione przypadki wymagające ostrożności</x:v>
      </x:c>
      <x:c r="C244" s="59" t="str">
        <x:v>Mapowy podgląd bez eksportu / ENEA Power BI / Nie deklarować działającego API danych</x:v>
      </x:c>
    </x:row>
    <x:row r="245" ht="66" customHeight="1">
      <x:c r="A245" s="59" t="str">
        <x:v>docs/07_data_quality.md</x:v>
      </x:c>
      <x:c r="B245" s="59" t="str">
        <x:v>Wykonana kontrola</x:v>
      </x:c>
      <x:c r="C245" s="59" t="str">
        <x:v>scripts/validate_research.py kontroluje wymagane pola rejestru, unikalność ID, format dat i URL, rozstrzygnięcie braku liczbowej oceny jakości, powiązania z manifestami, SHA-256 i rozmiary zachowanych plików. Sprawdza parsowalność zachowanych JSON/XML, otwarcie PDF/XLSX i charakterystyczne pola próbek API. Wykrywa blokadę PGE oraz potwierdza nagłówkową rozbieżność dat Energi. Sprawdza lokalne odnośniki dokumentacji.</x:v>
      </x:c>
    </x:row>
    <x:row r="246" ht="52" customHeight="1">
      <x:c r="A246" s="59" t="str">
        <x:v>docs/07_data_quality.md</x:v>
      </x:c>
      <x:c r="B246" s="59" t="str">
        <x:v>Wykonana kontrola</x:v>
      </x:c>
      <x:c r="C246" s="59" t="str">
        <x:v>Wynik wykonania: research_validation.json (../data/catalog/research_validation.json). Obrazy kontrolne wybranych stron PDF zapisano lokalnie w data/staging/research/ i obejrzano. Nie wykonano pełnej ekstrakcji ani walidacji wszystkich rekordów z tabel operatorów. Nie ma skonfigurowanego projektu produkcyjnego ani jego zestawu testów/lintera.</x:v>
      </x:c>
    </x:row>
    <x:row r="247" ht="66" customHeight="1">
      <x:c r="A247" s="59" t="str">
        <x:v>docs/07_data_quality.md</x:v>
      </x:c>
      <x:c r="B247" s="59" t="str">
        <x:v>Wykonana kontrola</x:v>
      </x:c>
      <x:c r="C247" s="59" t="str">
        <x:v>Testy odtwarzania python -m unittest discover -s tests -v: 3/3 OK. Sprawdzono przywrócenie 34 plików z rzeczywistego archiwum, wykrycie uszkodzenia oraz odmowę nadpisania odmiennego pliku. Sprawdzenie składni PowerShell zakończyło się powodzeniem. Kontrola próbek JSON rozpoznaje rzeczywisty schemat v2 Energy-Charts (series, data.timestamp/values), a nie pola starszego interfejsu.</x:v>
      </x:c>
    </x:row>
    <x:row r="248" ht="66" customHeight="1">
      <x:c r="A248" s="59" t="str">
        <x:v>docs/07_data_quality.md</x:v>
      </x:c>
      <x:c r="B248" s="59" t="str">
        <x:v>Kontrola dat Energi — 11.09.2026</x:v>
      </x:c>
      <x:c r="C248" s="59" t="str">
        <x:v>Ponownie odczytana oficjalna strona przyłączeń (https://energa-operator.pl/przylaczenie-do-sieci/informacje-o-stanie-przylaczen) nadal wskazuje PDF o nazwie 2026_08_31 (https://cdn-netpr.pl/file/mediakit/3063617/fa/2026_08_31_pusop_wnioski_i_odmowy_eop.pdf). Odczyt treści online i zachowanej próbki wskazuje nagłówek „Stan na 30.06.2026” oraz tytuł metadanych z czerwcem. Nie otrzymano wyjaśnienia operatora. Nie przypisujemy dokumentowi pewnej daty sierpniowej ani czerwcowej dla wszystkich rekordów.</x:v>
      </x:c>
    </x:row>
    <x:row r="249" ht="52" customHeight="1">
      <x:c r="A249" s="59" t="str">
        <x:v>docs/07_data_quality.md</x:v>
      </x:c>
      <x:c r="B249" s="59" t="str">
        <x:v>Kontrola dat Energi — 11.09.2026</x:v>
      </x:c>
      <x:c r="C249" s="59" t="str">
        <x:v>Moduł connectors/energa/date_quality.py porównuje datę nazwy, nagłówka i tytułu metadanych. Konflikt, niepoprawna data lub brak nagłówka powoduje kwarantannę i source_date=null. Zgodność dat sama nie dopuszcza źródła do bieżącego pipeline: nadal potrzeba walidacji rekordów, aktualności i praw. Nie jest to jeszcze pełny connector ani parser tabel projektowych.</x:v>
      </x:c>
    </x:row>
    <x:row r="250" ht="52" customHeight="1">
      <x:c r="A250" s="59" t="str">
        <x:v>docs/07_data_quality.md</x:v>
      </x:c>
      <x:c r="B250" s="59" t="str">
        <x:v>Kontrola dat Energi — 11.09.2026</x:v>
      </x:c>
      <x:c r="C250" s="59" t="str">
        <x:v>Wynik dla zachowanej próbki: energa_date_review_2026-09-11.json (../data/catalog/energa_date_review_2026-09-11.json). Stary PDF i wcześniejszy raport walidacji pozostają niezmienione. Zadanie KSE-008 zamykamy przez wdrożenie kwarantanny, zgodnie z jego kryterium; konflikt źródła pozostaje nierozstrzygnięty.</x:v>
      </x:c>
    </x:row>
    <x:row r="251" ht="30" customHeight="1">
      <x:c r="A251" s="59" t="str">
        <x:v>docs/07_data_quality.md</x:v>
      </x:c>
      <x:c r="B251" s="59" t="str">
        <x:v>Kontrola dat Energi — 11.09.2026</x:v>
      </x:c>
      <x:c r="C251" s="59" t="str">
        <x:v>Odtworzenie po przywróceniu archiwum (Python z requirements-research.txt; nowa nazwa wyjścia chroni historię):</x:v>
      </x:c>
    </x:row>
    <x:row r="252" ht="52" customHeight="1">
      <x:c r="A252" s="59" t="str">
        <x:v>docs/07_data_quality.md</x:v>
      </x:c>
      <x:c r="B252" s="59" t="str">
        <x:v>Kontrola dat Energi — 11.09.2026</x:v>
      </x:c>
      <x:c r="C252" s="59" t="str">
        <x:v>python -m connectors.energa.date_quality data/raw/research/2026-09-10/energa_pipeline_2026-08-31.pdf --source-url https://cdn-netpr.pl/file/mediakit/3063617/fa/2026_08_31_pusop_wnioski_i_odmowy_eop.pdf --output data/catalog/energa_date_review_repeat.json python -m unittest discover -s tests -p test_energa_date_quality.py -v</x:v>
      </x:c>
    </x:row>
    <x:row r="253" ht="38" customHeight="1">
      <x:c r="A253" s="59" t="str">
        <x:v>docs/07_data_quality.md</x:v>
      </x:c>
      <x:c r="B253" s="59" t="str">
        <x:v>Kontrola dat Energi — 11.09.2026</x:v>
      </x:c>
      <x:c r="C253" s="59" t="str">
        <x:v>Wykonano 7 testów, w tym rzeczywistego PDF; wszystkie przeszły. Metoda rozpoznaje wyłącznie wskazany wzorzec dat, więc zmieniony nagłówek powoduje zatrzymanie, a nie zgadywanie daty z wierszy projektów.</x:v>
      </x:c>
    </x:row>
    <x:row r="254" ht="66" customHeight="1">
      <x:c r="A254" s="59" t="str">
        <x:v>docs/07_data_quality.md</x:v>
      </x:c>
      <x:c r="B254" s="59" t="str">
        <x:v>Kontrola dat Energi — 11.09.2026</x:v>
      </x:c>
      <x:c r="C254" s="59" t="str">
        <x:v>Parser ma sprawdzać sygnaturę i typ odpowiedzi, wymagane nagłówki, jednostki i zakres tabel, daty, wartości null, duplikaty, zgodność poziomu napięcia i zmiany historyczne. Niezrozumiała zmiana schematu ma zatrzymać promocję do warstwy analitycznej. Błędów nie wolno ignorować; klasy: FETCH_ERROR, PARSE_ERROR, SCHEMA_ERROR, VALIDATION_ERROR, SOURCE_CHANGED, RATE_LIMITED, AUTH_ERROR, UNKNOWN_ERROR.</x:v>
      </x:c>
    </x:row>
    <x:row r="255" ht="52" customHeight="1">
      <x:c r="A255" s="59" t="str">
        <x:v>docs/07_data_quality.md</x:v>
      </x:c>
      <x:c r="B255" s="59" t="str">
        <x:v>Kontrola dat Energi — 11.09.2026</x:v>
      </x:c>
      <x:c r="C255" s="59" t="str">
        <x:v>Potrzebne będą reprezentatywne próbki i testy jednostek oraz rzeczywistych wariantów tabel. Każdy znormalizowany rekord musi wskazywać snapshot i miejsce w źródle. Test poprawnego otwarcia PDF nie dowodzi poprawności ekstrakcji mocy lub przypisania projektu.</x:v>
      </x:c>
    </x:row>
    <x:row r="256" ht="30" customHeight="1">
      <x:c r="A256" s="59" t="str">
        <x:v>docs/08_roadmap.md</x:v>
      </x:c>
      <x:c r="B256" s="59" t="str">
        <x:v>Proponowane etapy po badaniu źródeł</x:v>
      </x:c>
      <x:c r="C256" s="59" t="str">
        <x:v>10.09.2026 — rekomendacja, nie rozpoczęta implementacja.</x:v>
      </x:c>
    </x:row>
    <x:row r="257" ht="30" customHeight="1">
      <x:c r="A257" s="59" t="str">
        <x:v>docs/08_roadmap.md</x:v>
      </x:c>
      <x:c r="B257" s="59" t="str">
        <x:v>Proponowane etapy po badaniu źródeł</x:v>
      </x:c>
      <x:c r="C257" s="59" t="str">
        <x:v>Etap / Wartość dla użytkownika / Warunki wejścia / zakończenia</x:v>
      </x:c>
    </x:row>
    <x:row r="258" ht="52" customHeight="1">
      <x:c r="A258" s="59" t="str">
        <x:v>docs/08_roadmap.md</x:v>
      </x:c>
      <x:c r="B258" s="59" t="str">
        <x:v>Proponowane etapy po badaniu źródeł</x:v>
      </x:c>
      <x:c r="C258" s="59" t="str">
        <x:v>MVP — pilot dokumentacyjny / Raport jednego projektu: znane punkty, dowody, kierunkowy pipeline, opublikowane moce, inwestycje i braki / Wybrać obszar na podstawie dowodów, wyjaśnić prawa źródeł, przetestować pierwsze parsery, zweryfikować relacje; bez arbitralnego score</x:v>
      </x:c>
    </x:row>
    <x:row r="259" ht="38" customHeight="1">
      <x:c r="A259" s="59" t="str">
        <x:v>docs/08_roadmap.md</x:v>
      </x:c>
      <x:c r="B259" s="59" t="str">
        <x:v>Proponowane etapy po badaniu źródeł</x:v>
      </x:c>
      <x:c r="C259" s="59" t="str">
        <x:v>V1 — rozszerzenie pokrycia / Kilku operatorów/obszarów, historia zmian, deduplikacja, konflikty, kontrola źródeł, podstawowa mapa dowodów / Mierzalna kompletność i poprawność na próbie referencyjnej; stabilna automatyzacja zgodna z warunkami</x:v>
      </x:c>
    </x:row>
    <x:row r="260" ht="38" customHeight="1">
      <x:c r="A260" s="59" t="str">
        <x:v>docs/08_roadmap.md</x:v>
      </x:c>
      <x:c r="B260" s="59" t="str">
        <x:v>Proponowane etapy po badaniu źródeł</x:v>
      </x:c>
      <x:c r="C260" s="59" t="str">
        <x:v>V2 — scenariusze i warunkowa analityka / Kandydaci przyłączenia, import/eksport BESS, ograniczenia PCC, warianty przyszłej sieci i trasy GIS / Zweryfikowane wejścia i zakres stosowalności; scoring tylko po osobnym opracowaniu i walidacji</x:v>
      </x:c>
    </x:row>
    <x:row r="261" ht="38" customHeight="1">
      <x:c r="A261" s="59" t="str">
        <x:v>docs/08_roadmap.md</x:v>
      </x:c>
      <x:c r="B261" s="59" t="str">
        <x:v>Proponowane etapy po badaniu źródeł</x:v>
      </x:c>
      <x:c r="C261" s="59" t="str">
        <x:v>LONG-TERM — model techniczny / Analizy elektryczne i lepsza kalibracja wyników dla uprawnionych obszarów / Dane operatora/inwestora: topologia, parametry, profile, zdarzenia N-1; referencyjne wyniki studiów</x:v>
      </x:c>
    </x:row>
    <x:row r="262" ht="52" customHeight="1">
      <x:c r="A262" s="59" t="str">
        <x:v>docs/08_roadmap.md</x:v>
      </x:c>
      <x:c r="B262" s="59" t="str">
        <x:v>Proponowane etapy po badaniu źródeł</x:v>
      </x:c>
      <x:c r="C262" s="59" t="str">
        <x:v>Najbliższy proponowany krok: etap 2, czyli zamknięcie zakresu pierwszego raportu, wybór źródeł z podstawą wykorzystania, model danych i wybór regionu pilotażowego. Nie wybierać GPZ wyłącznie na podstawie liczby obiektów OSM. PSE jako pierwszy kanał strukturalny i obszar Energi/ENEA jako kandydat lokalny wymagają sprawdzenia konkretnego zestawu dowodów.</x:v>
      </x:c>
    </x:row>
    <x:row r="263" ht="38" customHeight="1">
      <x:c r="A263" s="59" t="str">
        <x:v>docs/08_roadmap.md</x:v>
      </x:c>
      <x:c r="B263" s="59" t="str">
        <x:v>Proponowane etapy po badaniu źródeł</x:v>
      </x:c>
      <x:c r="C263" s="59" t="str">
        <x:v>Rozbudowa UI następuje po wiarygodnym raporcie danych. Ogólnopolskie pokrycie nie jest warunkiem sukcesu pilota. Brak lokalnych danych elektrycznych może pozostać trwałą granicą produktu opartego wyłącznie na danych publicznych.</x:v>
      </x:c>
    </x:row>
    <x:row r="264" ht="66" customHeight="1">
      <x:c r="A264" s="59" t="str">
        <x:v>docs/08_roadmap.md</x:v>
      </x:c>
      <x:c r="B264" s="59" t="str">
        <x:v>Proponowane etapy po badaniu źródeł</x:v>
      </x:c>
      <x:c r="C264" s="59" t="str">
        <x:v>Uzupełnienie zakresu pilota na prośbę użytkownika: widok projektów dla wybranego GPZ (gpz_pipeline.md) — przyłączone, planowane do przyłączenia oraz wnioski oczekujące. Najpierw należy sprawdzić możliwość odtworzenia tych grup z rzeczywistych dokumentów, wraz z osobnym oznaczeniem statusów nieznanych. To wymaganie produktowe, nie zgoda na pominięcie walidacji danych i natychmiastową budowę dashboardu.</x:v>
      </x:c>
    </x:row>
    <x:row r="265" ht="38" customHeight="1">
      <x:c r="A265" s="59" t="str">
        <x:v>docs/gpz_pipeline.md</x:v>
      </x:c>
      <x:c r="B265" s="59" t="str">
        <x:v>Widok GPZ — projekty istniejące i pipeline</x:v>
      </x:c>
      <x:c r="C265" s="59" t="str">
        <x:v>Wymaganie użytkownika z 10.09.2026. Status: specyfikacja do pilota, bez wdrożonego interfejsu i bez wprowadzania danych projektowych.</x:v>
      </x:c>
    </x:row>
    <x:row r="266" ht="30" customHeight="1">
      <x:c r="A266" s="59" t="str">
        <x:v>docs/gpz_pipeline.md</x:v>
      </x:c>
      <x:c r="B266" s="59" t="str">
        <x:v>Widok GPZ — projekty istniejące i pipeline</x:v>
      </x:c>
      <x:c r="C266" s="59" t="str">
        <x:v>Po wybraniu GPZ użytkownik powinien zobaczyć projekty w trzech grupach, z datą stanu źródeł i możliwością obejrzenia dowodów:</x:v>
      </x:c>
    </x:row>
    <x:row r="267" ht="30" customHeight="1">
      <x:c r="A267" s="59" t="str">
        <x:v>docs/gpz_pipeline.md</x:v>
      </x:c>
      <x:c r="B267" s="59" t="str">
        <x:v>Widok GPZ — projekty istniejące i pipeline</x:v>
      </x:c>
      <x:c r="C267" s="59" t="str">
        <x:v>Grupa / Warunek zakwalifikowania / Szczegóły widoczne dla użytkownika</x:v>
      </x:c>
    </x:row>
    <x:row r="268" ht="38" customHeight="1">
      <x:c r="A268" s="59" t="str">
        <x:v>docs/gpz_pipeline.md</x:v>
      </x:c>
      <x:c r="B268" s="59" t="str">
        <x:v>Widok GPZ — projekty istniejące i pipeline</x:v>
      </x:c>
      <x:c r="C268" s="59" t="str">
        <x:v>A. Przyłączone / Źródło potwierdza wykonane przyłączenie do tej stacji / Data przyłączenia, status eksploatacji, jeśli osobno znany; sama umowa lub WP nie wystarcza</x:v>
      </x:c>
    </x:row>
    <x:row r="269" ht="38" customHeight="1">
      <x:c r="A269" s="59" t="str">
        <x:v>docs/gpz_pipeline.md</x:v>
      </x:c>
      <x:c r="B269" s="59" t="str">
        <x:v>Widok GPZ — projekty istniejące i pipeline</x:v>
      </x:c>
      <x:c r="C269" s="59" t="str">
        <x:v>B. Planowane do przyłączenia / Udokumentowane planowane przyłączenie, bez potwierdzenia wykonania / Osobno: plan wstępny, wydane WP, umowa, budowa; plan bez wniosku nie jest rezerwacją mocy</x:v>
      </x:c>
    </x:row>
    <x:row r="270" ht="38" customHeight="1">
      <x:c r="A270" s="59" t="str">
        <x:v>docs/gpz_pipeline.md</x:v>
      </x:c>
      <x:c r="B270" s="59" t="str">
        <x:v>Widok GPZ — projekty istniejące i pipeline</x:v>
      </x:c>
      <x:c r="C270" s="59" t="str">
        <x:v>C. Wnioski oczekujące na odpowiedź / Źródło wprost potwierdza oczekiwanie na rozstrzygnięcie dla danego wniosku i wskazuje GPZ / Data złożenia, data aktualizacji statusu i źródło; nie utożsamiać pustej daty WP z potwierdzonym brakiem odpowiedzi</x:v>
      </x:c>
    </x:row>
    <x:row r="271" ht="52" customHeight="1">
      <x:c r="A271" s="59" t="str">
        <x:v>docs/gpz_pipeline.md</x:v>
      </x:c>
      <x:c r="B271" s="59" t="str">
        <x:v>Widok GPZ — projekty istniejące i pipeline</x:v>
      </x:c>
      <x:c r="C271" s="59" t="str">
        <x:v>Jeżeli wiadomo tylko, że złożono wniosek, a dalszego przebiegu nie znamy, rekord otrzymuje „Wniosek złożony — dalszy status nieznany”. Jest pokazywany obok grupy C, ale poza liczbą potwierdzonych oczekujących. Brak informacji o odpowiedzi w publicznym źródle nie dowodzi, że operator nie odpowiedział.</x:v>
      </x:c>
    </x:row>
    <x:row r="272" ht="52" customHeight="1">
      <x:c r="A272" s="59" t="str">
        <x:v>docs/gpz_pipeline.md</x:v>
      </x:c>
      <x:c r="B272" s="59" t="str">
        <x:v>Widok GPZ — projekty istniejące i pipeline</x:v>
      </x:c>
      <x:c r="C272" s="59" t="str">
        <x:v>Odmowy, wycofania, wygaśnięcia i anulowania pozostają w historii i osobnym filtrze, poza aktywnym pipeline. Przeczące sobie lub nieporównywalne czasowo źródła powodują oznaczenie konfliktu zamiast wymuszonego przypisania do jednej grupy. Grupy dotyczą wybranego momentu wiedzy; nie obiecują bieżącego statusu niezależnego od dat publikacji.</x:v>
      </x:c>
    </x:row>
    <x:row r="273" ht="52" customHeight="1">
      <x:c r="A273" s="59" t="str">
        <x:v>docs/gpz_pipeline.md</x:v>
      </x:c>
      <x:c r="B273" s="59" t="str">
        <x:v>Powiązanie projektu ze stacją</x:v>
      </x:c>
      <x:c r="C273" s="59" t="str">
        <x:v>Podstawowy widok i sumy obejmują projekty z potwierdzonym w źródle wskazaniem danego GPZ. Dla planowanego projektu jest to potwierdzone wskazanie planowanego punktu, a nie fizycznie istniejące połączenie. Powiązania prawdopodobne lub inferowane można pokazać osobno z uzasadnieniem; nie należy ich po cichu dodawać do pewnego zestawienia.</x:v>
      </x:c>
    </x:row>
    <x:row r="274" ht="52" customHeight="1">
      <x:c r="A274" s="59" t="str">
        <x:v>docs/gpz_pipeline.md</x:v>
      </x:c>
      <x:c r="B274" s="59" t="str">
        <x:v>Powiązanie projektu ze stacją</x:v>
      </x:c>
      <x:c r="C274" s="59" t="str">
        <x:v>Wniosek bez określonego miejsca przyłączenia pozostaje nieprzypisany. Sama bliskość geograficzna nie uzasadnia umieszczenia go w pipeline danego GPZ. Projekty z alternatywnymi punktami przyłączenia wymagają osobnych wariantów i nie mogą być wielokrotnie liczone w zestawieniach zbiorczych.</x:v>
      </x:c>
    </x:row>
    <x:row r="275" ht="52" customHeight="1">
      <x:c r="A275" s="59" t="str">
        <x:v>docs/gpz_pipeline.md</x:v>
      </x:c>
      <x:c r="B275" s="59" t="str">
        <x:v>Informacje i podsumowania</x:v>
      </x:c>
      <x:c r="C275" s="59" t="str">
        <x:v>Każdy wiersz: projekt, inwestor/SPV jeśli jawny, technologia, napięcie/punkt przyłączenia, moc eksportu i importu, limity PCC, MWh jeśli podane, status źródłowy i znormalizowany, daty oraz link do dokumentu i miejsca w nim. Puste wartości pozostają nieznane; nie zastępujemy ich zerem.</x:v>
      </x:c>
    </x:row>
    <x:row r="276" ht="52" customHeight="1">
      <x:c r="A276" s="59" t="str">
        <x:v>docs/gpz_pipeline.md</x:v>
      </x:c>
      <x:c r="B276" s="59" t="str">
        <x:v>Informacje i podsumowania</x:v>
      </x:c>
      <x:c r="C276" s="59" t="str">
        <x:v>Dla każdej grupy podajemy liczbę unikalnych znanych projektów i odrębne sumy eksportu/importu z jawną definicją agregowanej mocy. Zainstalowane MW nie są zamienne z mocą przyłączeniową lub limitem PCC. Pokazujemy także liczbę rekordów z brakującą mocą. BESS i hybrydy zachowują oba kierunki i ograniczenia PCC.</x:v>
      </x:c>
    </x:row>
    <x:row r="277" ht="52" customHeight="1">
      <x:c r="A277" s="59" t="str">
        <x:v>docs/gpz_pipeline.md</x:v>
      </x:c>
      <x:c r="B277" s="59" t="str">
        <x:v>Informacje i podsumowania</x:v>
      </x:c>
      <x:c r="C277" s="59" t="str">
        <x:v>Jedna inwestycja może mieć wiele wniosków, wersji i etapów. Model musi rozróżniać project_id i connection_application_id. Szczegóły wniosków mogą być widoczne, ale suma projektów nie może wielokrotnie dodawać tej samej inwestycji. Przy równoległych nierozstrzygniętych wariantach moc projektu pozostaje niejednoznaczna zamiast wyboru wygodnej wartości.</x:v>
      </x:c>
    </x:row>
    <x:row r="278" ht="52" customHeight="1">
      <x:c r="A278" s="59" t="str">
        <x:v>docs/gpz_pipeline.md</x:v>
      </x:c>
      <x:c r="B278" s="59" t="str">
        <x:v>Informacje i podsumowania</x:v>
      </x:c>
      <x:c r="C278" s="59" t="str">
        <x:v>Nagłówek raportu: „Znane projekty na podstawie wskazanych źródeł”, z datą i zakresem pokrycia. Brak pozycji oznacza „brak znalezionych danych”, dopóki źródło nie potwierdza kompletnej listy i zera projektów. Sumy pipeline nie są obciążeniem GPZ ani liczbą MW, którą można automatycznie odjąć od dostępności publikowanej przez operatora.</x:v>
      </x:c>
    </x:row>
    <x:row r="279" ht="80" customHeight="1">
      <x:c r="A279" s="59" t="str">
        <x:v>docs/gpz_pipeline.md</x:v>
      </x:c>
      <x:c r="B279" s="59" t="str">
        <x:v>Warunki gotowości pilota</x:v>
      </x:c>
      <x:c r="C279" s="59" t="str">
        <x:v>1. Wybrana stacja ma jednoznaczny identyfikator, aliasy i operatora. 2. Parser zachowuje daty, statusy źródłowe i dowody powiązania ze stacją. 3. Odróżnia wykonane przyłączenie od WP/umowy oraz potwierdzone oczekiwanie od nieznanego statusu. 4. Deduplikacja działa dla kolejnych etapów i wielu wniosków tego samego projektu. 5. Sumy nie mieszają importu/eksportu, mocy zainstalowanej i limitów PCC. 6. Testy na rzeczywistych dopuszczonych próbkach sprawdzają wszystkie dostępne kategorie; brakujące przypadki nie są przedstawiane jako dane produkcyjne.</x:v>
      </x:c>
    </x:row>
    <x:row r="280" ht="38" customHeight="1">
      <x:c r="A280" s="59" t="str">
        <x:v>docs/gpz_pipeline.md</x:v>
      </x:c>
      <x:c r="B280" s="59" t="str">
        <x:v>Warunki gotowości pilota</x:v>
      </x:c>
      <x:c r="C280" s="59" t="str">
        <x:v>Źródła kandydackie i ich ograniczenia są już opisane w katalogu (data_sources.md) oraz macierzy wykonalności (02_feasibility_matrix.md). Specyfikacja nie potwierdza kompletności takich list dla wszystkich GPZ w Polsce.</x:v>
      </x:c>
    </x:row>
    <x:row r="281" ht="52" customHeight="1">
      <x:c r="A281" s="59" t="str">
        <x:v>docs/gpz_pipeline.md</x:v>
      </x:c>
      <x:c r="B281" s="59" t="str">
        <x:v>Działający widok badawczy Radkowic — 16.09.2026</x:v>
      </x:c>
      <x:c r="C281" s="59" t="str">
        <x:v>Skrypt scripts/build_radkowice_pipeline.py ponownie odczytuje zachowany XLSX PSE, sprawdza hash i nagłówki przez istniejący ekstraktor, a następnie generuje data/reference/radkowice_pipeline_view_2026-07-31_v1.json. Stan dokumentu: 31.07.2026, nie aktualny stan na dzień uruchomienia.</x:v>
      </x:c>
    </x:row>
    <x:row r="282" ht="30" customHeight="1">
      <x:c r="A282" s="59" t="str">
        <x:v>docs/gpz_pipeline.md</x:v>
      </x:c>
      <x:c r="B282" s="59" t="str">
        <x:v>Działający widok badawczy Radkowic — 16.09.2026</x:v>
      </x:c>
      <x:c r="C282" s="59" t="str">
        <x:v>Wpis PSE / Eksport przyłączeniowy MW / Import przyłączeniowy MW / Wiersz</x:v>
      </x:c>
    </x:row>
    <x:row r="283" ht="30" customHeight="1">
      <x:c r="A283" s="59" t="str">
        <x:v>docs/gpz_pipeline.md</x:v>
      </x:c>
      <x:c r="B283" s="59" t="str">
        <x:v>Działający widok badawczy Radkowic — 16.09.2026</x:v>
      </x:c>
      <x:c r="C283" s="59" t="str">
        <x:v>MEE Chałupki / 96,96 / 98,8992 / 787</x:v>
      </x:c>
    </x:row>
    <x:row r="284" ht="30" customHeight="1">
      <x:c r="A284" s="59" t="str">
        <x:v>docs/gpz_pipeline.md</x:v>
      </x:c>
      <x:c r="B284" s="59" t="str">
        <x:v>Działający widok badawczy Radkowic — 16.09.2026</x:v>
      </x:c>
      <x:c r="C284" s="59" t="str">
        <x:v>MEE Radkowice / 50 / 50 / 843</x:v>
      </x:c>
    </x:row>
    <x:row r="285" ht="30" customHeight="1">
      <x:c r="A285" s="59" t="str">
        <x:v>docs/gpz_pipeline.md</x:v>
      </x:c>
      <x:c r="B285" s="59" t="str">
        <x:v>Działający widok badawczy Radkowic — 16.09.2026</x:v>
      </x:c>
      <x:c r="C285" s="59" t="str">
        <x:v>MEE Chęciny / 100 / 102 / 847</x:v>
      </x:c>
    </x:row>
    <x:row r="286" ht="80" customHeight="1">
      <x:c r="A286" s="59" t="str">
        <x:v>docs/gpz_pipeline.md</x:v>
      </x:c>
      <x:c r="B286" s="59" t="str">
        <x:v>Działający widok badawczy Radkowic — 16.09.2026</x:v>
      </x:c>
      <x:c r="C286" s="59" t="str">
        <x:v>Wszystkie trzy mają źródłowy status „UMOWA O PRZYŁĄCZENIE obowiązująca” i wskazanie Radkowice 220 kV; kwalifikujemy je do B — planowane, bez dowodu wykonania. Suma wierszy tej próbki: eksport 246,96 MW, import 250,8992 MW (CALCULATED). To dokładne dodawanie wartości dokumentu, nie taka precyzja oceny sieci. Nie jest to bilans przepływów, dostępna moc, suma zarezerwowana na moście ani pełna, zdeduplikowana liczba inwestycji. Identyfikatory zachowują tożsamość wiersza, nie udają kanonicznych identyfikatorów projektów między źródłami.</x:v>
      </x:c>
    </x:row>
    <x:row r="287" ht="66" customHeight="1">
      <x:c r="A287" s="59" t="str">
        <x:v>docs/gpz_pipeline.md</x:v>
      </x:c>
      <x:c r="B287" s="59" t="str">
        <x:v>Działający widok badawczy Radkowic — 16.09.2026</x:v>
      </x:c>
      <x:c r="C287" s="59" t="str">
        <x:v>Źródło: PSE — wykaz na 31.07.2026 (https://www.pse.pl/documents/20182/51490/Informacje_publikowane_zgodnie_z_Art_7_ust_8l_ustawy_PE_stan_na_31_07_2026.xlsx), arkusz „Wykaz wspólny”, kolumny I/J (kierunki MW), Q (status), E/F (punkt/napięcie). Pobrano 10.09.2026; lokalny odczyt i zgodność SHA-256 sprawdzono 16.09.2026. Nie pobierano nowego pliku ani nie potwierdzano aktualności strony operatora.</x:v>
      </x:c>
    </x:row>
    <x:row r="288" ht="52" customHeight="1">
      <x:c r="A288" s="59" t="str">
        <x:v>docs/gpz_pipeline.md</x:v>
      </x:c>
      <x:c r="B288" s="59" t="str">
        <x:v>Działający widok badawczy Radkowic — 16.09.2026</x:v>
      </x:c>
      <x:c r="C288" s="59" t="str">
        <x:v>Dla A i C brak potwierdzających rekordów w tym widoku. Liczba projektów całej stacji i sumy bez żadnych znanych mocy pozostają null. Nieznany status trafia do UNKNOWN; przeszła data planowanego rozpoczęcia dostaw nie tworzy przyłączenia. Brakująca moc pozostaje odrębna od zera. Nie przypisujemy wpisów do miejsc mostu.</x:v>
      </x:c>
    </x:row>
    <x:row r="289" ht="66" customHeight="1">
      <x:c r="A289" s="59" t="str">
        <x:v>docs/gpz_pipeline.md</x:v>
      </x:c>
      <x:c r="B289" s="59" t="str">
        <x:v>Działający widok badawczy Radkowic — 16.09.2026</x:v>
      </x:c>
      <x:c r="C289" s="59" t="str">
        <x:v>Każdy wiersz zachowuje proweniencję; każda suma wskazuje użyte rekordy i formułę. Wynik zawiera wersję metody i hashe dwóch skryptów. Ponowienie z tymi samymi wejściami zachowuje identyczny plik; inna treść pod istniejącą nazwą jest odrzucana. Nie jest to uniwersalny parser statusów PSE, pełny connector ani realizacja KSE-021. Nadal potrzebne są rozstrzygnięcia tożsamości, dane PGE i kompletność źródeł.</x:v>
      </x:c>
    </x:row>
    <x:row r="290" ht="66" customHeight="1">
      <x:c r="A290" s="59" t="str">
        <x:v>docs/gpz_pipeline.md</x:v>
      </x:c>
      <x:c r="B290" s="59" t="str">
        <x:v>Kontrola ponownego uruchomienia — 16.09.2026</x:v>
      </x:c>
      <x:c r="C290" s="59" t="str">
        <x:v>Testy generatora obejmują teraz zapis w izolowanym katalogu: identyczne wejście zachowuje bajty i czas modyfikacji wyniku, zmieniona moc lub hash kodu blokują nadpisanie, a błąd ekstrakcji nie pozostawia wyniku. Sprawdzono hashe obu skryptów w zapisanym rezultacie. Mutacje wejść występują wyłącznie w testach syntetycznych. Nie zmieniono metody v1 ani zachowanego zestawienia rzeczywistych projektów.</x:v>
      </x:c>
    </x:row>
    <x:row r="291" ht="80" customHeight="1">
      <x:c r="A291" s="59" t="str">
        <x:v>docs/decision_log.md</x:v>
      </x:c>
      <x:c r="B291" s="59" t="str">
        <x:v>2026-09-10 — Zakres etapu 1</x:v>
      </x:c>
      <x:c r="C291" s="59" t="str">
        <x:v>Date: 2026-09-10 Decision: Badanie źródeł i wykonalności bez aplikacji produkcyjnej. Context: Użytkownik uzależnił decyzję o MVP od oceny dostępnych danych. Options considered: Dashboard od początku; model syntetyczny; badanie źródeł i próby dostępu. Selected option: Badanie źródeł, katalog, niezmieniane próbki i dokumentacja. Reason: Poprawność danych i możliwość audytu poprzedzają analitykę/UI. Trade-offs: Nie ma demonstracji aplikacji ani punktowego score. Consequences: Wybór pilota, właściwa architektura i PoC pozostają kolejnymi etapami.</x:v>
      </x:c>
    </x:row>
    <x:row r="292" ht="80" customHeight="1">
      <x:c r="A292" s="59" t="str">
        <x:v>docs/decision_log.md</x:v>
      </x:c>
      <x:c r="B292" s="59" t="str">
        <x:v>2026-09-10 — Proweniencja i status weryfikacji</x:v>
      </x:c>
      <x:c r="C292" s="59" t="str">
        <x:v>Date: 2026-09-10 Decision: Oddzielić znaleziony adres, odczyt dokumentacji, próbę pobrania i poprawną treść próbki. Context: PGE zwróciło stronę blokady z HTTP 200; ENEA udostępnia viewer bez potwierdzonego API. Options considered: Binarne „dostępne/niedostępne”; wielowymiarowy status. Selected option: Jawne statusy i manifesty HTTP/bytes/hash/time. Reason: Status transportu nie dowodzi dostępności danych. Trade-offs: Rejestr wymaga więcej metadanych. Consequences: Brak promocji blokady lub dokumentacji do statusu gotowego źródła danych.</x:v>
      </x:c>
    </x:row>
    <x:row r="293" ht="80" customHeight="1">
      <x:c r="A293" s="59" t="str">
        <x:v>docs/decision_log.md</x:v>
      </x:c>
      <x:c r="B293" s="59" t="str">
        <x:v>2026-09-10 — Brak sztucznej dokładności i scoringu</x:v>
      </x:c>
      <x:c r="C293" s="59" t="str">
        <x:v>Date: 2026-09-10 Decision: Nie ustalać wag Grid Connection Score ani procentowej pewności. Context: Brak wystarczającego publicznego pokrycia lokalnych parametrów i zbioru kalibracyjnego. Options considered: Heurystyczny wynik liczbowy z arbitralnymi wagami; raport przesłanek i niewiadomych. Selected option: Raport faktów i ograniczeń; score/probability/quality_score pozostają null. Reason: Zachowanie zgodności z AGENTS.md i zakazem pozornej precyzji. Trade-offs: Trudniejsza prezentacja jednego rankingu. Consequences: Metodologia scoringu wymaga odrębnego projektu i walidacji.</x:v>
      </x:c>
    </x:row>
    <x:row r="294" ht="94" customHeight="1">
      <x:c r="A294" s="59" t="str">
        <x:v>docs/decision_log.md</x:v>
      </x:c>
      <x:c r="B294" s="59" t="str">
        <x:v>2026-09-10 — Daty i grupy raportowania są częścią danych</x:v>
      </x:c>
      <x:c r="C294" s="59" t="str">
        <x:v>Date: 2026-09-10 Decision: Zachować konflikty dat oraz modelować jednostkę raportowania mocy odrębnie od fizycznej stacji. Context: Energa: nazwa pliku 31.08, nagłówek 30.06; PSE/Stoen: moce zależne od grupy, wariantu i horyzontu. Options considered: Jedna data z nazwy; swobodne przypisanie mocy każdej stacji; jawne dowody i kontekst. Selected option: Nierozstrzygnięta data stanu tam, gdzie występuje konflikt; wymagany reporting_group, direction, horizon, assumptions w przyszłym modelu. Reason: Zapobieganie fałszywej aktualności i wielokrotnemu liczeniu tej samej dostępności. Trade-offs: Część danych nie nadaje się jeszcze do agregacji.</x:v>
      </x:c>
    </x:row>
    <x:row r="295" ht="38" customHeight="1">
      <x:c r="A295" s="59" t="str">
        <x:v>docs/decision_log.md</x:v>
      </x:c>
      <x:c r="B295" s="59" t="str">
        <x:v>2026-09-10 — Daty i grupy raportowania są częścią danych</x:v>
      </x:c>
      <x:c r="C295" s="59" t="str">
        <x:v>Consequences: Rozstrzygnięcie konfliktu i interpretacja tabel są warunkami normalizacji.</x:v>
      </x:c>
    </x:row>
    <x:row r="296" ht="80" customHeight="1">
      <x:c r="A296" s="59" t="str">
        <x:v>docs/decision_log.md</x:v>
      </x:c>
      <x:c r="B296" s="59" t="str">
        <x:v>2026-09-10 — Architektura pozostaje propozycją</x:v>
      </x:c>
      <x:c r="C296" s="59" t="str">
        <x:v>Date: 2026-09-10 Decision: Rekomendować do rozważenia PostgreSQL/PostGIS bez instalowania dodatkowych baz. Context: Model wymaga historii, relacji i GIS; nie wykazano potrzeby drugiego magazynu grafowego. Options considered: PostgreSQL/PostGIS, rozszerzenie pgRouting, Neo4j, hybryda. Selected option: W etapie 1 lokalny katalog i pliki; kandydat MVP opisany w dokumencie 03. Reason: Prostota operacyjna i nieprzesądzanie etapu 2. Trade-offs: Nie wykonano benchmarku zapytań i baz. Consequences: Właściwa decyzja wdrożeniowa po określeniu zakresu pilota; nie dodano zależności produkcyjnych.</x:v>
      </x:c>
    </x:row>
    <x:row r="297" ht="94" customHeight="1">
      <x:c r="A297" s="59" t="str">
        <x:v>docs/decision_log.md</x:v>
      </x:c>
      <x:c r="B297" s="59" t="str">
        <x:v>2026-09-10 — Git i odtwarzalne snapshoty</x:v>
      </x:c>
      <x:c r="C297" s="59" t="str">
        <x:v>Date: 2026-09-10 Decision: Wersjonować pracę w Git i zachować osobne archiwum źródeł z manifestem. Context: Użytkownik utworzył prywatne woloo-del/KSE i poprosił o wersjonowanie, odtwarzalność oraz instrukcję push. Options considered: Same adresy URL; zwykły Git z dużymi plikami; Git + lokalne archiwum z hashami; zewnętrzny LFS/DVC. Selected option: Git dla dokumentacji/kodu/manifestów, dokładne źródła w ZIP poza zwykłą historią Git, instrukcja osobnego backupu. Reason: Same URL nie zachowują zmieniających się dokumentów; duże źródła i ich prawa wymagają odrębnego traktowania. Trade-offs: Do pełnego odtworzenia potrzebny jest także zachowany</x:v>
      </x:c>
    </x:row>
    <x:row r="298" ht="38" customHeight="1">
      <x:c r="A298" s="59" t="str">
        <x:v>docs/decision_log.md</x:v>
      </x:c>
      <x:c r="B298" s="59" t="str">
        <x:v>2026-09-10 — Git i odtwarzalne snapshoty</x:v>
      </x:c>
      <x:c r="C298" s="59" t="str">
        <x:v>ZIP; nie skonfigurowano zewnętrznego magazynu danych. Consequences: Autor z adresem GitHub noreply, lokalne commity po sprawdzeniu, push odrębny od zapisu lokalnego; zależności badawcze przypięte do wersji.</x:v>
      </x:c>
    </x:row>
    <x:row r="299" ht="30" customHeight="1">
      <x:c r="A299" s="59" t="str">
        <x:v>docs/decision_log.md</x:v>
      </x:c>
      <x:c r="B299" s="59" t="str">
        <x:v>2026-09-10 — Lokalne sekrety i widok pipeline GPZ</x:v>
      </x:c>
      <x:c r="C299" s="59" t="str">
        <x:v>Date: 2026-09-10</x:v>
      </x:c>
    </x:row>
    <x:row r="300" ht="30" customHeight="1">
      <x:c r="A300" s="59" t="str">
        <x:v>docs/decision_log.md</x:v>
      </x:c>
      <x:c r="B300" s="59" t="str">
        <x:v>2026-09-10 — Lokalne sekrety i widok pipeline GPZ</x:v>
      </x:c>
      <x:c r="C300" s="59" t="str">
        <x:v>Decision: Wykluczyć _secrets/ z Git i opisać trzy grupy projektów wybranego GPZ.</x:v>
      </x:c>
    </x:row>
    <x:row r="301" ht="38" customHeight="1">
      <x:c r="A301" s="59" t="str">
        <x:v>docs/decision_log.md</x:v>
      </x:c>
      <x:c r="B301" s="59" t="str">
        <x:v>2026-09-10 — Lokalne sekrety i widok pipeline GPZ</x:v>
      </x:c>
      <x:c r="C301" s="59" t="str">
        <x:v>Context: Użytkownik dodał lokalne poświadczenie ENTSO-E oraz wskazał potrzebę rozróżnienia projektów przyłączonych, planowanych i wniosków bez odpowiedzi.</x:v>
      </x:c>
    </x:row>
    <x:row r="302" ht="38" customHeight="1">
      <x:c r="A302" s="59" t="str">
        <x:v>docs/decision_log.md</x:v>
      </x:c>
      <x:c r="B302" s="59" t="str">
        <x:v>2026-09-10 — Lokalne sekrety i widok pipeline GPZ</x:v>
      </x:c>
      <x:c r="C302" s="59" t="str">
        <x:v>Options considered: Sam status projektu; odrębne wykonanie przyłączenia, eksploatacja i procedury wniosków. Interpretowanie pustej daty odpowiedzi jako oczekiwania albo jawne UNKNOWN.</x:v>
      </x:c>
    </x:row>
    <x:row r="303" ht="38" customHeight="1">
      <x:c r="A303" s="59" t="str">
        <x:v>docs/decision_log.md</x:v>
      </x:c>
      <x:c r="B303" s="59" t="str">
        <x:v>2026-09-10 — Lokalne sekrety i widok pipeline GPZ</x:v>
      </x:c>
      <x:c r="C303" s="59" t="str">
        <x:v>Selected option: Specyfikacja gpz_pipeline.md, odrębne wnioski i dowody statusu; brak potwierdzenia odpowiedzi nie jest potwierdzonym oczekiwaniem. Folder sekretów ignorowany rekurencyjnie, bez odczytu zawartości.</x:v>
      </x:c>
    </x:row>
    <x:row r="304" ht="30" customHeight="1">
      <x:c r="A304" s="59" t="str">
        <x:v>docs/decision_log.md</x:v>
      </x:c>
      <x:c r="B304" s="59" t="str">
        <x:v>2026-09-10 — Lokalne sekrety i widok pipeline GPZ</x:v>
      </x:c>
      <x:c r="C304" s="59" t="str">
        <x:v>Reason: Użyteczność raportu GPZ przy zachowaniu poprawnych statusów, deduplikacji i ochrony poświadczeń.</x:v>
      </x:c>
    </x:row>
    <x:row r="305" ht="30" customHeight="1">
      <x:c r="A305" s="59" t="str">
        <x:v>docs/decision_log.md</x:v>
      </x:c>
      <x:c r="B305" s="59" t="str">
        <x:v>2026-09-10 — Lokalne sekrety i widok pipeline GPZ</x:v>
      </x:c>
      <x:c r="C305" s="59" t="str">
        <x:v>Trade-offs: Nie każdy publiczny rekord pozwala wypełnić jedną z trzech grup; potrzebna kategoria nieznana/konfliktowa.</x:v>
      </x:c>
    </x:row>
    <x:row r="306" ht="30" customHeight="1">
      <x:c r="A306" s="59" t="str">
        <x:v>docs/decision_log.md</x:v>
      </x:c>
      <x:c r="B306" s="59" t="str">
        <x:v>2026-09-10 — Lokalne sekrety i widok pipeline GPZ</x:v>
      </x:c>
      <x:c r="C306" s="59" t="str">
        <x:v>Consequences: Rozszerzono wymagania pilota i modelu danych; nie wdrożono jeszcze funkcji ani nie użyto klucza API.</x:v>
      </x:c>
    </x:row>
    <x:row r="307" ht="30" customHeight="1">
      <x:c r="A307" s="59" t="str">
        <x:v>docs/decision_log.md</x:v>
      </x:c>
      <x:c r="B307" s="59" t="str">
        <x:v>2026-09-10 — Stały TODO i generowany raport Excel</x:v>
      </x:c>
      <x:c r="C307" s="59" t="str">
        <x:v>Date: 2026-09-10</x:v>
      </x:c>
    </x:row>
    <x:row r="308" ht="30" customHeight="1">
      <x:c r="A308" s="59" t="str">
        <x:v>docs/decision_log.md</x:v>
      </x:c>
      <x:c r="B308" s="59" t="str">
        <x:v>2026-09-10 — Stały TODO i generowany raport Excel</x:v>
      </x:c>
      <x:c r="C308" s="59" t="str">
        <x:v>Decision: Utrzymywać jeden strukturalny rejestr zadań i generować z plików projektu szczegółowy raport XLSX.</x:v>
      </x:c>
    </x:row>
    <x:row r="309" ht="30" customHeight="1">
      <x:c r="A309" s="59" t="str">
        <x:v>docs/decision_log.md</x:v>
      </x:c>
      <x:c r="B309" s="59" t="str">
        <x:v>2026-09-10 — Stały TODO i generowany raport Excel</x:v>
      </x:c>
      <x:c r="C309" s="59" t="str">
        <x:v>Context: Użytkownik poprosił o prowadzenie TODO oraz skrypt do pełnego raportowania projektu; wybrał szablon Project Tracker.</x:v>
      </x:c>
    </x:row>
    <x:row r="310" ht="38" customHeight="1">
      <x:c r="A310" s="59" t="str">
        <x:v>docs/decision_log.md</x:v>
      </x:c>
      <x:c r="B310" s="59" t="str">
        <x:v>2026-09-10 — Stały TODO i generowany raport Excel</x:v>
      </x:c>
      <x:c r="C310" s="59" t="str">
        <x:v>Options considered: Ręcznie aktualizowany Excel; osobne niesynchronizowane listy; JSON jako źródło i generowane widoki Markdown/Excel.</x:v>
      </x:c>
    </x:row>
    <x:row r="311" ht="38" customHeight="1">
      <x:c r="A311" s="59" t="str">
        <x:v>docs/decision_log.md</x:v>
      </x:c>
      <x:c r="B311" s="59" t="str">
        <x:v>2026-09-10 — Stały TODO i generowany raport Excel</x:v>
      </x:c>
      <x:c r="C311" s="59" t="str">
        <x:v>Selected option: data/project/todo.json, stałe ID, zależności i kryteria; generator Node.js z dołączonym artifact-tool oraz zachowanym szablonem. Pełny raport obejmuje wszystkie źródła, wykonalność, ryzyka, dokumentację i zapisane kontrole.</x:v>
      </x:c>
    </x:row>
    <x:row r="312" ht="38" customHeight="1">
      <x:c r="A312" s="59" t="str">
        <x:v>docs/decision_log.md</x:v>
      </x:c>
      <x:c r="B312" s="59" t="str">
        <x:v>2026-09-10 — Stały TODO i generowany raport Excel</x:v>
      </x:c>
      <x:c r="C312" s="59" t="str">
        <x:v>Reason: Utrzymanie historii w Git i odtwarzalnego powiązania raportu z konkretnymi wejściami. Brak podwójnej ręcznej edycji statusów.</x:v>
      </x:c>
    </x:row>
    <x:row r="313" ht="52" customHeight="1">
      <x:c r="A313" s="59" t="str">
        <x:v>docs/decision_log.md</x:v>
      </x:c>
      <x:c r="B313" s="59" t="str">
        <x:v>2026-09-10 — Stały TODO i generowany raport Excel</x:v>
      </x:c>
      <x:c r="C313" s="59" t="str">
        <x:v>Trade-offs: Raport jest snapshotem, nie synchronizuje zmian z Excela do repo. Generator wymaga kompatybilnego środowiska artifact-tool. Oś planu pokazuje do 30 zadań, pełny rejestr nie ma tego ograniczenia. Brak terminów nie jest uzupełniany fikcyjnym harmonogramem.</x:v>
      </x:c>
    </x:row>
    <x:row r="314" ht="38" customHeight="1">
      <x:c r="A314" s="59" t="str">
        <x:v>docs/decision_log.md</x:v>
      </x:c>
      <x:c r="B314" s="59" t="str">
        <x:v>2026-09-10 — Stały TODO i generowany raport Excel</x:v>
      </x:c>
      <x:c r="C314" s="59" t="str">
        <x:v>Consequences: Dodano walidację zależności, dowodów zakończenia, schematu wykonalności oraz manifest raportu z hashami wejść. Sekrety pozostają poza raportem. Nie rozpoczęto implementacji analitycznej aplikacji.</x:v>
      </x:c>
    </x:row>
    <x:row r="315" ht="38" customHeight="1">
      <x:c r="A315" s="59" t="str">
        <x:v>docs/decision_log.md</x:v>
      </x:c>
      <x:c r="B315" s="59" t="str">
        <x:v>2026-09-11 — kwarantanna sprzecznej daty pipeline</x:v>
      </x:c>
      <x:c r="C315" s="59" t="str">
        <x:v>Decision / Context: Publikacja Energi wskazuje różne daty w nazwie pliku i nagłówku. Ponowny odczyt oficjalnej strony nie dostarczył rozstrzygnięcia.</x:v>
      </x:c>
    </x:row>
    <x:row r="316" ht="30" customHeight="1">
      <x:c r="A316" s="59" t="str">
        <x:v>docs/decision_log.md</x:v>
      </x:c>
      <x:c r="B316" s="59" t="str">
        <x:v>2026-09-11 — kwarantanna sprzecznej daty pipeline</x:v>
      </x:c>
      <x:c r="C316" s="59" t="str">
        <x:v>Options considered: Data z nazwy; data z nagłówka; zachowanie wszystkich twierdzeń i kwarantanna.</x:v>
      </x:c>
    </x:row>
    <x:row r="317" ht="38" customHeight="1">
      <x:c r="A317" s="59" t="str">
        <x:v>docs/decision_log.md</x:v>
      </x:c>
      <x:c r="B317" s="59" t="str">
        <x:v>2026-09-11 — kwarantanna sprzecznej daty pipeline</x:v>
      </x:c>
      <x:c r="C317" s="59" t="str">
        <x:v>Selected option / Reason: Ostatni wariant, source_date=null, DATE_CONFLICT. Nie ma podstaw do wyboru jednej daty dla całego zbioru. KSE-008 kończy się kontrolą ryzyka, a nie usunięciem sprzeczności u operatora.</x:v>
      </x:c>
    </x:row>
    <x:row r="318" ht="52" customHeight="1">
      <x:c r="A318" s="59" t="str">
        <x:v>docs/decision_log.md</x:v>
      </x:c>
      <x:c r="B318" s="59" t="str">
        <x:v>2026-09-11 — kwarantanna sprzecznej daty pipeline</x:v>
      </x:c>
      <x:c r="C318" s="59" t="str">
        <x:v>Trade-offs / Consequences: Mniejsze pokrycie pewnego bieżącego pipeline; dokument pozostaje dowodem badawczym. Nowy moduł bada wyłącznie daty, nie rekordy projektów. Zgodne daty nie zastępują kontroli licencji, aktualności i poprawności ekstrakcji. Zakres pilota nadal jest propozycją w docs/09_pilot_scope.md.</x:v>
      </x:c>
    </x:row>
    <x:row r="319" ht="38" customHeight="1">
      <x:c r="A319" s="59" t="str">
        <x:v>docs/decision_log.md</x:v>
      </x:c>
      <x:c r="B319" s="59" t="str">
        <x:v>2026-09-11 — Radkowice jako obszar pilota dokumentacyjnego</x:v>
      </x:c>
      <x:c r="C319" s="59" t="str">
        <x:v>Decision / Context: Użytkownik zaproponował Radkowice 220/110 kV i dopuścił lepiej udokumentowaną alternatywę.</x:v>
      </x:c>
    </x:row>
    <x:row r="320" ht="38" customHeight="1">
      <x:c r="A320" s="59" t="str">
        <x:v>docs/decision_log.md</x:v>
      </x:c>
      <x:c r="B320" s="59" t="str">
        <x:v>2026-09-11 — Radkowice jako obszar pilota dokumentacyjnego</x:v>
      </x:c>
      <x:c r="C320" s="59" t="str">
        <x:v>Options considered: Radkowice; Kościerzyna z publikacji Energi; dalsze poszukiwanie stacji bez wskazania użytkownika.</x:v>
      </x:c>
    </x:row>
    <x:row r="321" ht="52" customHeight="1">
      <x:c r="A321" s="59" t="str">
        <x:v>docs/decision_log.md</x:v>
      </x:c>
      <x:c r="B321" s="59" t="str">
        <x:v>2026-09-11 — Radkowice jako obszar pilota dokumentacyjnego</x:v>
      </x:c>
      <x:c r="C321" s="59" t="str">
        <x:v>Selected option / Reason: Radkowice do dalszych prac badawczych: trzy konkretne BESS w zachowanym XLSX PSE, portal inwestycji, lokalny plan energetyczny. Alternatywa Energi ma konflikt dat. To dobór obszaru, nie ranking technicznej zdolności przyłączeniowej.</x:v>
      </x:c>
    </x:row>
    <x:row r="322" ht="66" customHeight="1">
      <x:c r="A322" s="59" t="str">
        <x:v>docs/decision_log.md</x:v>
      </x:c>
      <x:c r="B322" s="59" t="str">
        <x:v>2026-09-11 — Radkowice jako obszar pilota dokumentacyjnego</x:v>
      </x:c>
      <x:c r="C322" s="59" t="str">
        <x:v>Trade-offs / Consequences: Granice PSE/PGE, pipeline 110 kV i prawa źródeł pozostają otwarte. KSE-013 jest w toku do spełnienia pełnych kryteriów i zależności; wybranie stacji nie kończy licencjonowania. Model ma oddzielać miejsce stacji, poziomy napięcia, granice operatorów i grupy publikowanych mocy. Nie zakładamy, że projekty 220 kV konkurują o jeden transformator 220/110 kV.</x:v>
      </x:c>
    </x:row>
    <x:row r="323" ht="38" customHeight="1">
      <x:c r="A323" s="59" t="str">
        <x:v>docs/decision_log.md</x:v>
      </x:c>
      <x:c r="B323" s="59" t="str">
        <x:v>2026-09-11 — eksperymentalny graf dowodów, bez bazy produkcyjnej</x:v>
      </x:c>
      <x:c r="C323" s="59" t="str">
        <x:v>Decision / Context: Dostępne źródła pozwalają przetestować część relacji przed pełnym modelem pilota; brak granic własności i parametrów elektrycznych.</x:v>
      </x:c>
    </x:row>
    <x:row r="324" ht="38" customHeight="1">
      <x:c r="A324" s="59" t="str">
        <x:v>docs/decision_log.md</x:v>
      </x:c>
      <x:c r="B324" s="59" t="str">
        <x:v>2026-09-11 — eksperymentalny graf dowodów, bez bazy produkcyjnej</x:v>
      </x:c>
      <x:c r="C324" s="59" t="str">
        <x:v>Options considered: Czekać na komplet źródeł; uruchomić pełną bazę; przetestować niewielki graf dokumentacyjny w JSON z walidacją.</x:v>
      </x:c>
    </x:row>
    <x:row r="325" ht="38" customHeight="1">
      <x:c r="A325" s="59" t="str">
        <x:v>docs/decision_log.md</x:v>
      </x:c>
      <x:c r="B325" s="59" t="str">
        <x:v>2026-09-11 — eksperymentalny graf dowodów, bez bazy produkcyjnej</x:v>
      </x:c>
      <x:c r="C325" s="59" t="str">
        <x:v>Selected option / Reason: JSON i walidator Python, bez nowych zależności. Każde twierdzenie ma dowód, daty i hash. To odtwarzalny eksperyment reprezentacji danych; nie zmienia otwartych warunków produkcyjnego wykorzystania źródeł.</x:v>
      </x:c>
    </x:row>
    <x:row r="326" ht="52" customHeight="1">
      <x:c r="A326" s="59" t="str">
        <x:v>docs/decision_log.md</x:v>
      </x:c>
      <x:c r="B326" s="59" t="str">
        <x:v>2026-09-11 — eksperymentalny graf dowodów, bez bazy produkcyjnej</x:v>
      </x:c>
      <x:c r="C326" s="59" t="str">
        <x:v>Trade-offs / Consequences: Brak zapytań przestrzennych, trwałej bazy historii i modelu rozpływowego. Pełne KSE-014/018 pozostają otwarte. Powiązanie PGE z miejscem dostarczania z taryfy nie jest relacją własności. Nowe KSE-031 obejmuje wyłącznie wykonany eksperyment i jego testy.</x:v>
      </x:c>
    </x:row>
    <x:row r="327" ht="94" customHeight="1">
      <x:c r="A327" s="59" t="str">
        <x:v>docs/decision_log.md</x:v>
      </x:c>
      <x:c r="B327" s="59" t="str">
        <x:v>11.09.2026 — graf v2 i prywatne materiały</x:v>
      </x:c>
      <x:c r="C327" s="59" t="str">
        <x:v>Decision: zachować v1, utworzyć v2 z dodatkowym źródłem publicznym; dokumenty użytkownika i pochodne wyniki przechowywać oddzielnie. Options considered: nadpisanie grafu; wspólny katalog bez ograniczeń; jawne wersje i rozdział dostępu. Selected option: jawne wersje grafu i lokalny katalog prywatny z wersjami przeglądu oraz hashami. Reason: nie mieszać parametrów planowanych z istniejącymi ani materiałów użytkownika z publiczną bazą źródeł. Trade-offs: prywatne wyniki nie są objęte Git ani ogólnym Excelem; wymagają oddzielnej kopii. Consequences: pełna integracja prywatnych danych pozostaje KSE-033; obecna aplikacja nie ma jeszcze kontroli</x:v>
      </x:c>
    </x:row>
    <x:row r="328" ht="30" customHeight="1">
      <x:c r="A328" s="59" t="str">
        <x:v>docs/decision_log.md</x:v>
      </x:c>
      <x:c r="B328" s="59" t="str">
        <x:v>11.09.2026 — graf v2 i prywatne materiały</x:v>
      </x:c>
      <x:c r="C328" s="59" t="str">
        <x:v>dostępu.</x:v>
      </x:c>
    </x:row>
    <x:row r="329" ht="94" customHeight="1">
      <x:c r="A329" s="59" t="str">
        <x:v>docs/decision_log.md</x:v>
      </x:c>
      <x:c r="B329" s="59" t="str">
        <x:v>11.09.2026 — niezależna ewidencja wspólnego przyłącza</x:v>
      </x:c>
      <x:c r="C329" s="59" t="str">
        <x:v>Decision: rozwijać model dokumentacyjny mimo niedostępności ekspertyzy wpływu od użytkownika. Options considered: oczekiwanie na ekspertyzę; heurystyczne MW; ewidencja miejsc z jawnymi brakami. Selected option: ewidencja w osobnym, czystym module Python bez dodatkowych zależności. Reason: przypisania i status kompletności dają sprawdzalne informacje bez udawania modelu rozpływowego. Trade-offs: można obliczyć liczbę nieprzypisanych miejsc dopiero z kompletnych wejść; nie obliczamy dostępnych MW ani prawdopodobieństwa. Consequences: prywatny dowód oznacza prywatny wynik, również gdy nie wchodzi do pewnego licznika. KSE-033 pozostaje w toku,</x:v>
      </x:c>
    </x:row>
    <x:row r="330" ht="38" customHeight="1">
      <x:c r="A330" s="59" t="str">
        <x:v>docs/decision_log.md</x:v>
      </x:c>
      <x:c r="B330" s="59" t="str">
        <x:v>11.09.2026 — niezależna ewidencja wspólnego przyłącza</x:v>
      </x:c>
      <x:c r="C330" s="59" t="str">
        <x:v>ponieważ nie ukończono historii i integracji aplikacyjnej.</x:v>
      </x:c>
    </x:row>
    <x:row r="331" ht="94" customHeight="1">
      <x:c r="A331" s="59" t="str">
        <x:v>docs/decision_log.md</x:v>
      </x:c>
      <x:c r="B331" s="59" t="str">
        <x:v>2026-09-15 — oddzielny czas wiedzy i ważności obserwacji</x:v>
      </x:c>
      <x:c r="C331" s="59" t="str">
        <x:v>Decision / Context: odtwarzać historyczną wiedzę bez nadpisywania korekt i bez uznawania daty publikacji za bezterminową ważność. Options considered: ostatni wpis wygrywa; pełna baza temporalna; czysty moduł obserwacji i wersjonowane snapshoty. Selected option: moduł Python z dwiema osiami czasu, jawnymi korektami i konfliktami. Reason: pozwala przetestować semantykę przed integracją bazy; nie wymaga dodatkowych zależności. Trade-offs: UNKNOWN przy nierozstrzygniętej ważności; brak trwałego dziennika transakcyjnego i automatycznej historii całego pipeline. Consequences: pierwsza rejestracja lipcowego źródła w nowym rejestrze ma rzeczywisty</x:v>
      </x:c>
    </x:row>
    <x:row r="332" ht="38" customHeight="1">
      <x:c r="A332" s="59" t="str">
        <x:v>docs/decision_log.md</x:v>
      </x:c>
      <x:c r="B332" s="59" t="str">
        <x:v>2026-09-15 — oddzielny czas wiedzy i ważności obserwacji</x:v>
      </x:c>
      <x:c r="C332" s="59" t="str">
        <x:v>czas 15 września. Prywatność dziedziczy cały wynik widocznej historii pola. KSE-033 pozostaje w toku. Szczegóły: docs/14_observation_history.md.</x:v>
      </x:c>
    </x:row>
    <x:row r="333" ht="94" customHeight="1">
      <x:c r="A333" s="59" t="str">
        <x:v>docs/decision_log.md</x:v>
      </x:c>
      <x:c r="B333" s="59" t="str">
        <x:v>2026-09-15 — odtwarzanie przypisań z historii dowodów</x:v>
      </x:c>
      <x:c r="C333" s="59" t="str">
        <x:v>Decision / Context: połączyć historię z licznikiem miejsc bez dopisywania niepotwierdzonych relacji. Options considered: kopiowanie bieżącego snapshotu do historii; osobny licznik historyczny; adapter wykorzystujący dotychczasową walidację i licznik. Selected option: adapter dla jawnych obserwacji projektu na konkretnym miejscu, z datami i scenariuszem. Reason: zachowuje korekty, konflikty i wszystkie źródła; nie duplikuje reguł liczenia miejsc. Trade-offs: brak udokumentowanej ważności albo tylko twierdzenie użytkownika wyklucza potwierdzony licznik. Maksimum, kompletność i MW wymagają osobnej historii i pozostają nieznane. Consequences: trzy</x:v>
      </x:c>
    </x:row>
    <x:row r="334" ht="38" customHeight="1">
      <x:c r="A334" s="59" t="str">
        <x:v>docs/decision_log.md</x:v>
      </x:c>
      <x:c r="B334" s="59" t="str">
        <x:v>2026-09-15 — odtwarzanie przypisań z historii dowodów</x:v>
      </x:c>
      <x:c r="C334" s="59" t="str">
        <x:v>publiczne wpisy projektów przy Radkowicach nie stają się przypisaniami do mostu. Integracja jest biblioteką, bez trwałego magazynu i bez nowych faktów sieciowych. KSE-033 nadal w toku.</x:v>
      </x:c>
    </x:row>
    <x:row r="335" ht="94" customHeight="1">
      <x:c r="A335" s="59" t="str">
        <x:v>docs/decision_log.md</x:v>
      </x:c>
      <x:c r="B335" s="59" t="str">
        <x:v>2026-09-15 — plikowy replay historii z manifestem</x:v>
      </x:c>
      <x:c r="C335" s="59" t="str">
        <x:v>Decision / Context: umożliwić ponowne uruchomienie historycznej analizy ze wskazanego wejścia. Options considered: osobny manifest i wynik; manifest osadzony; baza danych. Selected option: manifest osadzony w jednym wersjonowanym JSON, wyłączny zapis nowego pliku. Reason: nie tworzy pary plików wymagającej synchronizacji; obejmuje wejście, zapytanie, kod i środowisko bez nowych zależności. Trade-offs: nie ma transakcyjnego magazynu ani automatycznej weryfikacji źródłowych dokumentów; przerwanie zapisu może pozostawić niepełny plik. Consequences: prywatny rekord w całym wejściu wymusza prywatność zapisanego wyniku z manifestem, także poza</x:v>
      </x:c>
    </x:row>
    <x:row r="336" ht="38" customHeight="1">
      <x:c r="A336" s="59" t="str">
        <x:v>docs/decision_log.md</x:v>
      </x:c>
      <x:c r="B336" s="59" t="str">
        <x:v>2026-09-15 — plikowy replay historii z manifestem</x:v>
      </x:c>
      <x:c r="C336" s="59" t="str">
        <x:v>czasem zapytania. Dekoder JSON jest wspólny dla obu runnerów, jego hash jest zachowany. KSE-033 pozostaje otwarte do dalszej integracji i historii parametrów.</x:v>
      </x:c>
    </x:row>
    <x:row r="337" ht="94" customHeight="1">
      <x:c r="A337" s="59" t="str">
        <x:v>docs/decision_log.md</x:v>
      </x:c>
      <x:c r="B337" s="59" t="str">
        <x:v>2026-09-15 — jawnie wybierana wersja parametrów historycznych v2</x:v>
      </x:c>
      <x:c r="C337" s="59" t="str">
        <x:v>Decision / Context: dodać historię maksimum miejsc, kierunkowych limitów MW i deklaracji kompletności. Options considered: zmiana zachowania żądań v1; osobny duplikat całego silnika; adapter v2 wykorzystujący istniejącą historię i licznik. Selected option: adapter v2 wybierany nową wersją żądania, z zachowaniem metody v1. Reason: nie reinterpretować wcześniejszych żądań; rozpatrywać wszystkie parametry dla tych samych dat i scenariusza. Trade-offs: kompletność pozostaje twierdzeniem źródła wymagającym kuracji. Każda nierozstrzygnięta historia miejsca blokuje liczbę nieprzypisanych miejsc; brak automatycznej normalizacji odmiennych tekstów</x:v>
      </x:c>
    </x:row>
    <x:row r="338" ht="38" customHeight="1">
      <x:c r="A338" s="59" t="str">
        <x:v>docs/decision_log.md</x:v>
      </x:c>
      <x:c r="B338" s="59" t="str">
        <x:v>2026-09-15 — jawnie wybierana wersja parametrów historycznych v2</x:v>
      </x:c>
      <x:c r="C338" s="59" t="str">
        <x:v>liczbowych. Consequences: jawne jednostki i dowody są obowiązkowe; raportowane limity nie są dostępnymi MW. Nie dodano parametrów Radkowic bez dowodów. Kod i testy bez nowych zależności; manifest obejmuje nowy moduł. KSE-033 nadal w toku.</x:v>
      </x:c>
    </x:row>
    <x:row r="339" ht="94" customHeight="1">
      <x:c r="A339" s="59" t="str">
        <x:v>docs/decision_log.md</x:v>
      </x:c>
      <x:c r="B339" s="59" t="str">
        <x:v>2026-09-15 — rejestr potrzeb użytkownika w raporcie</x:v>
      </x:c>
      <x:c r="C339" s="59" t="str">
        <x:v>Decision / Context: użytkownik prosi o wskazywanie brakujących dokumentów i informacji w stałym rejestrze trafiającym do raportu. Options considered: uwagi w rozmowie; dodatkowe zadania TODO dla każdego dokumentu; odrębny rejestr potrzeb powiązany z dokumentacją i Excelem. Selected option: information_requests.json oraz zakładka Potrzebne informacje. Reason: dokument może być otrzymany, ale nadal niewystarczający; stan pozyskania nie jest stanem zadania implementacyjnego. Trade-offs: potrzebna regularna aktualizacja i kuracja tekstu; arkusz jest generowanym widokiem, nie formularzem zapisującym automatycznie do repozytorium. Consequences:</x:v>
      </x:c>
    </x:row>
    <x:row r="340" ht="38" customHeight="1">
      <x:c r="A340" s="59" t="str">
        <x:v>docs/decision_log.md</x:v>
      </x:c>
      <x:c r="B340" s="59" t="str">
        <x:v>2026-09-15 — rejestr potrzeb użytkownika w raporcie</x:v>
      </x:c>
      <x:c r="C340" s="59" t="str">
        <x:v>pozycje niedostępne i otrzymane pozostają widoczne. Bez ponawiania prośby o ekspertyzę lub już dostarczone WP. Prywatna treść nie trafia do rejestru ani ogólnego raportu.</x:v>
      </x:c>
    </x:row>
    <x:row r="341" ht="94" customHeight="1">
      <x:c r="A341" s="59" t="str">
        <x:v>docs/decision_log.md</x:v>
      </x:c>
      <x:c r="B341" s="59" t="str">
        <x:v>2026-09-15 — walidacja katalogu obejmująca wiele dat pobrań</x:v>
      </x:c>
      <x:c r="C341" s="59" t="str">
        <x:v>Decision / Context: pierwotny walidator ograniczał ścieżki do 10 września i pomijał manifesty pilota, mimo rozwoju katalogu. Options considered: osobne kontrole bez pełnego pokrycia; rozszerzenie istniejącej kontroli historii. Selected option: istniejący walidator obejmuje wszystkie daty pod data/raw/research i jawne dodatkowe manifesty pilota. Unikalność dotyczy snapshotu, nie źródła. Reason: kolejne pobranie tego samego źródła jest poprawną historią, a każdy surowy plik nadal musi mieć manifest i zgodny hash. Trade-offs: kontrola wymaga wszystkich zachowanych plików; nie jest testem aktualności stron operatorów. Starsze kontrole semantyczne</x:v>
      </x:c>
    </x:row>
    <x:row r="342" ht="38" customHeight="1">
      <x:c r="A342" s="59" t="str">
        <x:v>docs/decision_log.md</x:v>
      </x:c>
      <x:c r="B342" s="59" t="str">
        <x:v>2026-09-15 — walidacja katalogu obejmująca wiele dat pobrań</x:v>
      </x:c>
      <x:c r="C342" s="59" t="str">
        <x:v>nadal dotyczą swoich datowanych próbek. Consequences: 35 plików objętych kontrolą, bez włączania data/private i _secrets. Nowe źródła nie oznaczają nowych parametrów sieci w grafie.</x:v>
      </x:c>
    </x:row>
    <x:row r="343" ht="94" customHeight="1">
      <x:c r="A343" s="59" t="str">
        <x:v>docs/decision_log.md</x:v>
      </x:c>
      <x:c r="B343" s="59" t="str">
        <x:v>2026-09-16 — odtwarzanie jawnie wybranego archiwum</x:v>
      </x:c>
      <x:c r="C343" s="59" t="str">
        <x:v>Decision / Context: nowe snapshoty Radkowic mają osobne manifesty o historycznie różnych strukturach; pierwotny restore obsługiwał tylko pierwszy ZIP. Options considered: przepisać historyczne manifesty; osobne skrypty; adapter w istniejącym narzędziu. Selected option: --manifest i --verify-only w research_archive.py, wspólna walidacja przed zapisem. Reason: zachować niezmienione manifesty i kompatybilność dotychczasowego polecenia. Trade-offs: trzeba wskazać właściwą parę ZIP–manifest; brak automatycznej kopii zewnętrznej i transakcyjności zapisu. Brak rozmiaru w historycznym manifeście Wolica nie pomija kontroli hash. Consequences:</x:v>
      </x:c>
    </x:row>
    <x:row r="344" ht="38" customHeight="1">
      <x:c r="A344" s="59" t="str">
        <x:v>docs/decision_log.md</x:v>
      </x:c>
      <x:c r="B344" s="59" t="str">
        <x:v>2026-09-16 — odtwarzanie jawnie wybranego archiwum</x:v>
      </x:c>
      <x:c r="C344" s="59" t="str">
        <x:v>sprawdzono wszystkie sześć istniejących archiwów, 42 elementy. Nie poszerzono zakresu o prywatne dane ani sekrety. Zewnętrzna kopia nadal niepotwierdzona.</x:v>
      </x:c>
    </x:row>
    <x:row r="345" ht="94" customHeight="1">
      <x:c r="A345" s="59" t="str">
        <x:v>docs/decision_log.md</x:v>
      </x:c>
      <x:c r="B345" s="59" t="str">
        <x:v>2026-09-16 — widok pipeline ograniczony do zachowanej próbki</x:v>
      </x:c>
      <x:c r="C345" s="59" t="str">
        <x:v>Decision / Context: udostępnić użyteczne zestawienie trzech wpisów Radkowic bez sugerowania kompletności stacji. Options considered: sumować jako pełny pipeline projektów; poczekać na pełną deduplikację; jawny widok wierszy jednej publikacji. Selected option: generator wersjonowanego widoku wierszy PSE, korzystający z istniejącego ekstraktora. Reason: dostępne dowody potwierdzają umowy, ale nie wykonane przyłączenia ani kompletność ewidencji PGE/PSE. Trade-offs: obsługiwana interpretacja statusu dotyczy wyłącznie zweryfikowanego tekstu umowy; inne statusy pozostają UNKNOWN. Brak deduplikacji między źródłami. Consequences: sumy kierunkowych</x:v>
      </x:c>
    </x:row>
    <x:row r="346" ht="38" customHeight="1">
      <x:c r="A346" s="59" t="str">
        <x:v>docs/decision_log.md</x:v>
      </x:c>
      <x:c r="B346" s="59" t="str">
        <x:v>2026-09-16 — widok pipeline ograniczony do zachowanej próbki</x:v>
      </x:c>
      <x:c r="C346" s="59" t="str">
        <x:v>mocy są CALCULATED, liczą rekordy, nie przepływy ani rezerwę MW. Brak podstaw do zamknięcia KSE-021 i przypisywania wpisów do mostu.</x:v>
      </x:c>
    </x:row>
    <x:row r="347" ht="94" customHeight="1">
      <x:c r="A347" s="59" t="str">
        <x:v>docs/decision_log.md</x:v>
      </x:c>
      <x:c r="B347" s="59" t="str">
        <x:v>2026-09-16 — pierwsza lokalna aplikacja oceny przesłanek</x:v>
      </x:c>
      <x:c r="C347" s="59" t="str">
        <x:v>Date: 2026-09-16. Decision / Context: użytkownik zatwierdził aplikację na częściowych dowodach oraz jakościową ocenę przesłanek i ryzyk; porównanie stacji później. Options considered: czekać na pełny model; wdrożyć pełny stack od razu; ograniczony lokalny adapter i osobna metoda analityczna. Selected option: lokalny serwer biblioteki standardowej Python, statyczny frontend i metoda documentary_screening_v1 w grid_engine. Reason: udostępnić zachowane dowody do oceny użytkownika bez nowych zależności i nieuzasadnionego scoringu. Trade-offs: jeden obszar, brak mapy geograficznej, kont, bazy użytkowników i automatycznych aktualizacji; nie jest</x:v>
      </x:c>
    </x:row>
    <x:row r="348" ht="52" customHeight="1">
      <x:c r="A348" s="59" t="str">
        <x:v>docs/decision_log.md</x:v>
      </x:c>
      <x:c r="B348" s="59" t="str">
        <x:v>2026-09-16 — pierwsza lokalna aplikacja oceny przesłanek</x:v>
      </x:c>
      <x:c r="C348" s="59" t="str">
        <x:v>serwerem produkcyjnym. Consequences: scope pilota opisany w docs/17_local_application.md. Pełne zadania KSE-023/024 pozostają osobne. Wolna moc, score i prawdopodobieństwo null. Dane prywatne poza aplikacją. Eksport zachowuje parametry, czas, metodę i zestaw dowodów.</x:v>
      </x:c>
    </x:row>
    <x:row r="349" ht="94" customHeight="1">
      <x:c r="A349" s="59" t="str">
        <x:v>docs/decision_log.md</x:v>
      </x:c>
      <x:c r="B349" s="59" t="str">
        <x:v>2026-09-16 — lokalna kontrola geometrii i pól historycznych</x:v>
      </x:c>
      <x:c r="C349" s="59" t="str">
        <x:v>Date: 2026-09-16. Decision / Context: sprawdzić przekazany historyczny GIS przed integracją analityczną. Options considered: własny pełny parser WKB; GDAL/GeoPandas; SQLite i Shapely jako opcjonalna zależność badawcza. Selected option: SQLite tylko do odczytu, minimalny dekoder nagłówka GeoPackage oraz Shapely 2.1.2 do WKB i kontroli geometrii; przypięte zależności w requirements-gis.txt. Reason: dojrzała walidacja geometrii bez dodatkowego serwera i bez własnej implementacji operacji geometrycznych. Trade-offs: osobne środowisko GIS; Shapely BSD-3-Clause korzysta z GEOS LGPL-2.1, co wymaga zachowania informacji licencyjnych przy dystrybucji.</x:v>
      </x:c>
    </x:row>
    <x:row r="350" ht="66" customHeight="1">
      <x:c r="A350" s="59" t="str">
        <x:v>docs/decision_log.md</x:v>
      </x:c>
      <x:c r="B350" s="59" t="str">
        <x:v>2026-09-16 — lokalna kontrola geometrii i pól historycznych</x:v>
      </x:c>
      <x:c r="C350" s="59" t="str">
        <x:v>Lokalna analiza nie nadaje praw do publikacji danych. Consequences: prywatne wyniki i jawne hashe, bez modyfikacji źródeł. Zgodność XY eksportów nie dowodzi topologii. Historyczne wartości grupowe nie stają się bieżącą mocą stacji. Nierozpoznane zapisy pozostają UNKNOWN i wymagają przeglądu. Sources checked 2026-09-16: https://shapely.readthedocs.io/en/stable/ oraz https://www.geopackage.org/spec131/#gpb_format .</x:v>
      </x:c>
    </x:row>
    <x:row r="351" ht="94" customHeight="1">
      <x:c r="A351" s="59" t="str">
        <x:v>docs/decision_log.md</x:v>
      </x:c>
      <x:c r="B351" s="59" t="str">
        <x:v>2026-09-17 — rozbieżne daty inwestycji w ocenie aplikacji</x:v>
      </x:c>
      <x:c r="C351" s="59" t="str">
        <x:v>Date: 2026-09-17. Decision / Context: dwie oficjalne publikacje opisują podobnie nazwane zadanie z różnymi latami zakończenia. Options considered: wybrać nowsze wskazanie; automatycznie połączyć jako jedno zadanie; zachować obie deklaracje i nierozstrzygnięty zakres. Selected option: wersjonowany przegląd źródeł i jakościowa przesłanka w documentary_screening_v2. Reason: brak identyfikatora jednostki i dowodu tożsamości zakresu nie pozwala arbitralnie wybrać daty ani wyprowadzać dodatkowych MW. Trade-offs: nie rozstrzyga daty eksploatacji; potrzebna dalsza weryfikacja operatora. Consequences: piąty jawny snapshot API, historia i hashe; bez</x:v>
      </x:c>
    </x:row>
    <x:row r="352" ht="38" customHeight="1">
      <x:c r="A352" s="59" t="str">
        <x:v>docs/decision_log.md</x:v>
      </x:c>
      <x:c r="B352" s="59" t="str">
        <x:v>2026-09-17 — rozbieżne daty inwestycji w ocenie aplikacji</x:v>
      </x:c>
      <x:c r="C352" s="59" t="str">
        <x:v>nowego scoringu, zmiany grafu lub danych prywatnych.</x:v>
      </x:c>
    </x:row>
    <x:row r="353" ht="94" customHeight="1">
      <x:c r="A353" s="59" t="str">
        <x:v>docs/decision_log.md</x:v>
      </x:c>
      <x:c r="B353" s="59" t="str">
        <x:v>2026-09-17 — historyczny rekord inwestycji oddzielony od obiektu sieci</x:v>
      </x:c>
      <x:c r="C353" s="59" t="str">
        <x:v>Date: 2026-09-17. Decision / Context: historyczny GIS zawiera warstwy planów, realizacji i modernizacji z datami oraz odsyłaczami do publikacji. Options considered: bezpośredni import do bieżącego grafu; automatyczne scalanie po nazwie; prywatny rejestr wierszy źródłowych. Selected option: rejestr wierszy, oryginalne atrybuty, hash i fid; identyfikator kanonicznej inwestycji pozostaje null. Reason: jeden wiersz może obejmować kilka zadań, a daty i historyczne nazwy warstw nie potwierdzają aktualnej eksploatacji. Trade-offs: dodatkowa weryfikacja źródeł i rozpoznanie obiektów przed wykorzystaniem w scenariuszach sieci. Consequences: metoda</x:v>
      </x:c>
    </x:row>
    <x:row r="354" ht="38" customHeight="1">
      <x:c r="A354" s="59" t="str">
        <x:v>docs/decision_log.md</x:v>
      </x:c>
      <x:c r="B354" s="59" t="str">
        <x:v>2026-09-17 — historyczny rekord inwestycji oddzielony od obiektu sieci</x:v>
      </x:c>
      <x:c r="C354" s="59" t="str">
        <x:v>historical_investment_records_v1, osobna kolejka linków bez pobierania, brak automatycznego dodawania infrastruktury lub MW. Kod i ogólny postęp wersjonowane; dane i ich szczegółowe wyniki pozostają prywatne.</x:v>
      </x:c>
    </x:row>
    <x:row r="355" ht="38" customHeight="1">
      <x:c r="A355" s="59" t="str">
        <x:v>docs/discovery_log.md</x:v>
      </x:c>
      <x:c r="B355" s="59" t="str">
        <x:v>Zakres odkrywania interfejsów — 10.09.2026</x:v>
      </x:c>
      <x:c r="C355" s="59" t="str">
        <x:v>Uzupełnienie raportu (01_data_research.md) i katalogu (data_sources.md). To macierz wyników pierwszego badania, nie certyfikat nieistnienia nieodnalezionego interfejsu.</x:v>
      </x:c>
    </x:row>
    <x:row r="356" ht="52" customHeight="1">
      <x:c r="A356" s="59" t="str">
        <x:v>docs/discovery_log.md</x:v>
      </x:c>
      <x:c r="B356" s="59" t="str">
        <x:v>Zakres odkrywania interfejsów — 10.09.2026</x:v>
      </x:c>
      <x:c r="C356" s="59" t="str">
        <x:v>Badano następujące rodziny: API/REST, pliki JSON/CSV/XLSX/XML/GeoJSON, WMS/WFS/WMTS/ArcGIS REST, HTML/PDF/BIP oraz GitHub. Nie potwierdzono oznacza wynik przeglądu oficjalnych stron i wyszukiwania interfejsów w tym etapie. Nie przeprowadzono pełnej inspekcji ruchu wszystkich aplikacji mapowych.</x:v>
      </x:c>
    </x:row>
    <x:row r="357" ht="30" customHeight="1">
      <x:c r="A357" s="59" t="str">
        <x:v>docs/discovery_log.md</x:v>
      </x:c>
      <x:c r="B357" s="59" t="str">
        <x:v>Zakres odkrywania interfejsów — 10.09.2026</x:v>
      </x:c>
      <x:c r="C357" s="59" t="str">
        <x:v>Rodzina / API / dane strukturalne / GIS / Dokumenty / pozostałe / Dowód w katalogu</x:v>
      </x:c>
    </x:row>
    <x:row r="358" ht="38" customHeight="1">
      <x:c r="A358" s="59" t="str">
        <x:v>docs/discovery_log.md</x:v>
      </x:c>
      <x:c r="B358" s="59" t="str">
        <x:v>Zakres odkrywania interfejsów — 10.09.2026</x:v>
      </x:c>
      <x:c r="C358" s="59" t="str">
        <x:v>PSE / Działa API JSON, pobrano OpenAPI i XLSX / Nie potwierdzono publicznego operacyjnego WFS/ArcGIS ani pełnej topologii API / PDF mocy i planów; dokumentacja strukturalna B2B to odrębny zakres / PSE_API, PSE_PIPELINE, PSE_CAPACITY, PSE_STRUCT_B2B</x:v>
      </x:c>
    </x:row>
    <x:row r="359" ht="38" customHeight="1">
      <x:c r="A359" s="59" t="str">
        <x:v>docs/discovery_log.md</x:v>
      </x:c>
      <x:c r="B359" s="59" t="str">
        <x:v>Zakres odkrywania interfejsów — 10.09.2026</x:v>
      </x:c>
      <x:c r="C359" s="59" t="str">
        <x:v>PGE / Brak potwierdzenia; odczyt blokowany / Nie potwierdzono / Wskazania PDF; treść niepotwierdzona / PGE_LANDING, PGE_EXPORT_DISCOVERY, PGE_PLAN_DISCOVERY</x:v>
      </x:c>
    </x:row>
    <x:row r="360" ht="38" customHeight="1">
      <x:c r="A360" s="59" t="str">
        <x:v>docs/discovery_log.md</x:v>
      </x:c>
      <x:c r="B360" s="59" t="str">
        <x:v>Zakres odkrywania interfejsów — 10.09.2026</x:v>
      </x:c>
      <x:c r="C360" s="59" t="str">
        <x:v>ENEA / Nie potwierdzono publicznego API; Power BI w HTML / Viewer; nie potwierdzono WFS/WMS/GeoJSON do pobierania infrastruktury / Wykazy, kryteria SN, plan / ENEA_MAP, ENEA_PIPELINE, ENEA_PLAN</x:v>
      </x:c>
    </x:row>
    <x:row r="361" ht="38" customHeight="1">
      <x:c r="A361" s="59" t="str">
        <x:v>docs/discovery_log.md</x:v>
      </x:c>
      <x:c r="B361" s="59" t="str">
        <x:v>Zakres odkrywania interfejsów — 10.09.2026</x:v>
      </x:c>
      <x:c r="C361" s="59" t="str">
        <x:v>TAURON / Nie potwierdzono publicznego API portalu / Viewer dostępności; brak potwierdzonego eksportu topologii / Pobrany PDF wykazu, indeks planu / TAURON_PIPELINE, TAURON_MAP, TAURON_PLAN</x:v>
      </x:c>
    </x:row>
    <x:row r="362" ht="38" customHeight="1">
      <x:c r="A362" s="59" t="str">
        <x:v>docs/discovery_log.md</x:v>
      </x:c>
      <x:c r="B362" s="59" t="str">
        <x:v>Zakres odkrywania interfejsów — 10.09.2026</x:v>
      </x:c>
      <x:c r="C362" s="59" t="str">
        <x:v>Energa / Nie potwierdzono publicznego API badanych wykazów / Nie potwierdzono operacyjnej topologii GIS / Pobrane osobne PDF eksport/import/pipeline; plan / ENERGA_*</x:v>
      </x:c>
    </x:row>
    <x:row r="363" ht="38" customHeight="1">
      <x:c r="A363" s="59" t="str">
        <x:v>docs/discovery_log.md</x:v>
      </x:c>
      <x:c r="B363" s="59" t="str">
        <x:v>Zakres odkrywania interfejsów — 10.09.2026</x:v>
      </x:c>
      <x:c r="C363" s="59" t="str">
        <x:v>Stoen / Nie potwierdzono publicznego API / Nie potwierdzono operacyjnej topologii GIS / PDF kierunkowych mocy; linki rejestrów i planu / STOEN_*</x:v>
      </x:c>
    </x:row>
    <x:row r="364" ht="30" customHeight="1">
      <x:c r="A364" s="59" t="str">
        <x:v>docs/discovery_log.md</x:v>
      </x:c>
      <x:c r="B364" s="59" t="str">
        <x:v>Zakres odkrywania interfejsów — 10.09.2026</x:v>
      </x:c>
      <x:c r="C364" s="59" t="str">
        <x:v>KGHM OSDn / Linki do arkuszy; nie zwalidowano załączników / Nie potwierdzono / Publiczne informacje OSD i rejestry / KGHM_OSD</x:v>
      </x:c>
    </x:row>
    <x:row r="365" ht="38" customHeight="1">
      <x:c r="A365" s="59" t="str">
        <x:v>docs/discovery_log.md</x:v>
      </x:c>
      <x:c r="B365" s="59" t="str">
        <x:v>Zakres odkrywania interfejsów — 10.09.2026</x:v>
      </x:c>
      <x:c r="C365" s="59" t="str">
        <x:v>GUGiK / Pliki i GeoParquet; dokumentowane usługi / Potwierdzony WFS GetCapabilities EGiB; dokumentacja WMS/WMTS/WCS pozostałych produktów / Dane katastralne/topograficzne/terenowe, integracja MPZP / GUGIK_*</x:v>
      </x:c>
    </x:row>
    <x:row r="366" ht="30" customHeight="1">
      <x:c r="A366" s="59" t="str">
        <x:v>docs/discovery_log.md</x:v>
      </x:c>
      <x:c r="B366" s="59" t="str">
        <x:v>Zakres odkrywania interfejsów — 10.09.2026</x:v>
      </x:c>
      <x:c r="C366" s="59" t="str">
        <x:v>GDOŚ / OGC XML / Potwierdzony WFS GetCapabilities, opis WMS / Ochrona przyrody; akty prawne osobno / GDOS_GIS</x:v>
      </x:c>
    </x:row>
    <x:row r="367" ht="38" customHeight="1">
      <x:c r="A367" s="59" t="str">
        <x:v>docs/discovery_log.md</x:v>
      </x:c>
      <x:c r="B367" s="59" t="str">
        <x:v>Zakres odkrywania interfejsów — 10.09.2026</x:v>
      </x:c>
      <x:c r="C367" s="59" t="str">
        <x:v>Wody Polskie / BDL / Zależnie od produktu / Opis WMS i WFS/WMTS BDL, adresy usług ArcGIS; brak testu całego pobierania / Procedury udostępniania / WODY_SIGW, BDL_GIS</x:v>
      </x:c>
    </x:row>
    <x:row r="368" ht="38" customHeight="1">
      <x:c r="A368" s="59" t="str">
        <x:v>docs/discovery_log.md</x:v>
      </x:c>
      <x:c r="B368" s="59" t="str">
        <x:v>Zakres odkrywania interfejsów — 10.09.2026</x:v>
      </x:c>
      <x:c r="C368" s="59" t="str">
        <x:v>ENTSO-E / REST/XML z tokenem, nie wykonano zapytania / Mapa PDF nie jest API topologii / Warunki ponownego wykorzystania według datasetu / ENTSOE_TP, ENTSOE_MAP</x:v>
      </x:c>
    </x:row>
    <x:row r="369" ht="38" customHeight="1">
      <x:c r="A369" s="59" t="str">
        <x:v>docs/discovery_log.md</x:v>
      </x:c>
      <x:c r="B369" s="59" t="str">
        <x:v>Zakres odkrywania interfejsów — 10.09.2026</x:v>
      </x:c>
      <x:c r="C369" s="59" t="str">
        <x:v>OSM/OpenInfraMap / Regionalny PBF; Overpass jako wskazany kanał małych ekstraktów / Geometria społecznościowa, nie potwierdzone relacje operatora / ODbL; OpenInfraMap nie jest drugim źródłem / OSM_LICENSE, GEOFABRIK_PL, OPENINFRAMAP</x:v>
      </x:c>
    </x:row>
    <x:row r="370" ht="38" customHeight="1">
      <x:c r="A370" s="59" t="str">
        <x:v>docs/discovery_log.md</x:v>
      </x:c>
      <x:c r="B370" s="59" t="str">
        <x:v>Zakres odkrywania interfejsów — 10.09.2026</x:v>
      </x:c>
      <x:c r="C370" s="59" t="str">
        <x:v>Modele otwarte / Repozytoria GitHub i formaty modeli / Geometria i parametry mogą być inferowane / PyPSA-Eur i historyczny MATPOWER nie są aktualnym operacyjnym KSE / PYPSA_EUR, MATPOWER_POLAND</x:v>
      </x:c>
    </x:row>
    <x:row r="371" ht="52" customHeight="1">
      <x:c r="A371" s="59" t="str">
        <x:v>docs/discovery_log.md</x:v>
      </x:c>
      <x:c r="B371" s="59" t="str">
        <x:v>Zakres odkrywania interfejsów — 10.09.2026</x:v>
      </x:c>
      <x:c r="C371" s="59" t="str">
        <x:v>URE / BIP / KRS / Rejestry, punkt wejścia OpenAPI KRS; brak pełnego krajowego pipeline API / Nie potwierdzono kompletnego połączenia z GPZ / HTML/PDF, rozproszone postępowania; Ekoportal wymaga wyjaśnienia dostępności / URE_REGISTERS, BIP_ENV_DISCOVERY, KRS_API_DOCS</x:v>
      </x:c>
    </x:row>
    <x:row r="372" ht="94" customHeight="1">
      <x:c r="A372" s="59" t="str">
        <x:v>docs/discovery_log.md</x:v>
      </x:c>
      <x:c r="B372" s="59" t="str">
        <x:v>Otwarte działania po badaniu</x:v>
      </x:c>
      <x:c r="C372" s="59" t="str">
        <x:v>- Sprawdzić prawa i warunki dla wybranych konkretnych zbiorów; brak pełnego przeglądu robots.txt i umów dostępu nie pozwala uznać wszystkich scraperów za gotowe do wdrożenia. - Wyjaśnić datę pipeline Energi; ponownie sprawdzić zwykły dostęp do PGE. - Zweryfikować możliwość oficjalnego eksportu ENEA/TAURON bez uzależniania connectora od prywatnych mechanizmów interfejsu. - W wybranym regionie przejść z ogólnych indeksów BIP do aktualnych rejestrów konkretnych organów i prawdziwych dokumentów projektowych. - Testować GetFeature i schematy wybranych warstw GIS na małym obszarze, a następnie sprawdzić CRS, geometrię, limity i licencję.</x:v>
      </x:c>
    </x:row>
    <x:row r="373" ht="38" customHeight="1">
      <x:c r="A373" s="59" t="str">
        <x:v>docs/discovery_log.md</x:v>
      </x:c>
      <x:c r="B373" s="59" t="str">
        <x:v>Otwarte działania po badaniu</x:v>
      </x:c>
      <x:c r="C373" s="59" t="str">
        <x:v>Nie traktować powyższej listy jako zaległej implementacji w etapie 1: są to ujawnione warunki wejścia do dalszych etapów. Źródła o niepotwierdzonej treści pozostają oznaczone jako niepotwierdzone.</x:v>
      </x:c>
    </x:row>
    <x:row r="374" ht="52" customHeight="1">
      <x:c r="A374" s="59" t="str">
        <x:v>docs/reproducibility.md</x:v>
      </x:c>
      <x:c r="B374" s="59" t="str">
        <x:v>Wersjonowanie i odtwarzalność</x:v>
      </x:c>
      <x:c r="C374" s="59" t="str">
        <x:v>10.09.2026. Dokumentacja, konfiguracje, katalog, manifesty pobrań i narzędzia są wersjonowane w Git. Niezmieniane źródła PDF/XLSX/JSON/XML oraz kontrolne obrazy są przechowywane w lokalnym archiwum o identyfikatorze zależnym od zawartości. Pełna odtwarzalność wymaga repozytorium oraz archiwum.</x:v>
      </x:c>
    </x:row>
    <x:row r="375" ht="30" customHeight="1">
      <x:c r="A375" s="59" t="str">
        <x:v>docs/reproducibility.md</x:v>
      </x:c>
      <x:c r="B375" s="59" t="str">
        <x:v>Dwa elementy kopii projektu</x:v>
      </x:c>
      <x:c r="C375" s="59" t="str">
        <x:v>Element / Co zachowuje / Gdzie</x:v>
      </x:c>
    </x:row>
    <x:row r="376" ht="38" customHeight="1">
      <x:c r="A376" s="59" t="str">
        <x:v>docs/reproducibility.md</x:v>
      </x:c>
      <x:c r="B376" s="59" t="str">
        <x:v>Dwa elementy kopii projektu</x:v>
      </x:c>
      <x:c r="C376" s="59" t="str">
        <x:v>Historia Git / Dokumentacja, notatki źródłowe, skrypty, konfiguracja, wersje zależności, hash i lista próbek / Lokalnie .git, po push także prywatne GitHub</x:v>
      </x:c>
    </x:row>
    <x:row r="377" ht="30" customHeight="1">
      <x:c r="A377" s="59" t="str">
        <x:v>docs/reproducibility.md</x:v>
      </x:c>
      <x:c r="B377" s="59" t="str">
        <x:v>Dwa elementy kopii projektu</x:v>
      </x:c>
      <x:c r="C377" s="59" t="str">
        <x:v>Archiwum badania / Dokładne bajty pobranych plików i kontrolnych podglądów oraz manifesty / data/archives/, pomijane przez Git</x:v>
      </x:c>
    </x:row>
    <x:row r="378" ht="66" customHeight="1">
      <x:c r="A378" s="59" t="str">
        <x:v>docs/reproducibility.md</x:v>
      </x:c>
      <x:c r="B378" s="59" t="str">
        <x:v>Dwa elementy kopii projektu</x:v>
      </x:c>
      <x:c r="C378" s="59" t="str">
        <x:v>Manifest archiwum (../data/catalog/archive_manifest.json) podaje nazwę ZIP, jego SHA-256 i sumę kontrolną każdego elementu. Należy skopiować ZIP na drugi, prywatny nośnik lub do uzgodnionego magazynu kopii. Archiwum na tym samym dysku nie chroni przed utratą komputera. W tym etapie nie wysłano go do zewnętrznego magazynu i nie skonfigurowano Git LFS/DVC. Sam push nie obejmuje tych bajtów.</x:v>
      </x:c>
    </x:row>
    <x:row r="379" ht="38" customHeight="1">
      <x:c r="A379" s="59" t="str">
        <x:v>docs/reproducibility.md</x:v>
      </x:c>
      <x:c r="B379" s="59" t="str">
        <x:v>Dwa elementy kopii projektu</x:v>
      </x:c>
      <x:c r="C379" s="59" t="str">
        <x:v>URL pozwala ponowić pobranie, ale nie gwarantuje identycznej historycznej wersji. Gdy operator podmieni plik, nie wolno zastąpić starego snapshotu nową treścią i twierdzić, że odtworzono stare badanie. Dlatego zachowujemy osobne kopie oraz SHA-256.</x:v>
      </x:c>
    </x:row>
    <x:row r="380" ht="38" customHeight="1">
      <x:c r="A380" s="59" t="str">
        <x:v>docs/reproducibility.md</x:v>
      </x:c>
      <x:c r="B380" s="59" t="str">
        <x:v>Odtworzenie na komputerze z Pythonem</x:v>
      </x:c>
      <x:c r="C380" s="59" t="str">
        <x:v>Badanie sprawdzono na Pythonie 3.12.14. Dokładne użyte pakiety zapisano w requirements-research.txt. W PowerShell, w folderze repozytorium:</x:v>
      </x:c>
    </x:row>
    <x:row r="381" ht="52" customHeight="1">
      <x:c r="A381" s="59" t="str">
        <x:v>docs/reproducibility.md</x:v>
      </x:c>
      <x:c r="B381" s="59" t="str">
        <x:v>Odtworzenie na komputerze z Pythonem</x:v>
      </x:c>
      <x:c r="C381" s="59" t="str">
        <x:v>python -m venv .venv .\.venv\Scripts\python.exe -m pip install -r requirements-research.txt .\.venv\Scripts\python.exe scripts/research_archive.py restore 'D:\Kopie\NAZWA_ARCHIWUM_Z_MANIFESTU.zip' .\.venv\Scripts\python.exe scripts/build_research_catalog.py .\.venv\Scripts\python.exe scripts/validate_research.py</x:v>
      </x:c>
    </x:row>
    <x:row r="382" ht="52" customHeight="1">
      <x:c r="A382" s="59" t="str">
        <x:v>docs/reproducibility.md</x:v>
      </x:c>
      <x:c r="B382" s="59" t="str">
        <x:v>Odtworzenie na komputerze z Pythonem</x:v>
      </x:c>
      <x:c r="C382" s="59" t="str">
        <x:v>Zastąp przykładową ścieżkę rzeczywistą lokalizacją zachowanego ZIP. Skrypt najpierw sprawdza hash archiwum, listę i zawartość plików oraz ich docelowe ścieżki. Nie nadpisuje istniejącego pliku o innej zawartości. Archiwum i manifest muszą odpowiadać tej samej wersji Git.</x:v>
      </x:c>
    </x:row>
    <x:row r="383" ht="52" customHeight="1">
      <x:c r="A383" s="59" t="str">
        <x:v>docs/reproducibility.md</x:v>
      </x:c>
      <x:c r="B383" s="59" t="str">
        <x:v>Odtworzenie na komputerze z Pythonem</x:v>
      </x:c>
      <x:c r="C383" s="59" t="str">
        <x:v>Odtwarzane są lokalne dane wejściowe i kontrole badania. Nie odtwarzamy zdalnego stanu strony internetowej ani całego indeksu wyszukiwarki. Dla stron przejrzanych wyłącznie przez narzędzie web zachowano URL, datę i wnioski, ale nie pełny snapshot HTML. Ich dokładna historyczna treść nie jest gwarantowana; ten zakres ograniczenia jest jawny.</x:v>
      </x:c>
    </x:row>
    <x:row r="384" ht="66" customHeight="1">
      <x:c r="A384" s="59" t="str">
        <x:v>docs/reproducibility.md</x:v>
      </x:c>
      <x:c r="B384" s="59" t="str">
        <x:v>Test odtwarzania wykonany 10.09.2026</x:v>
      </x:c>
      <x:c r="C384" s="59" t="str">
        <x:v>Polecenie python -m unittest discover -s tests -v zakończyło się wynikiem 3 testy OK. W izolowanym katalogu odtworzono wszystkie 34 elementy rzeczywistego archiwum i porównano ich sumy SHA-256. Sprawdzono też odrzucenie uszkodzonego archiwum oraz zachowanie istniejącego pliku o odmiennej zawartości. Oryginalne źródła nie zostały zmienione. Walidator katalogu zakończył się wynikiem PASS_WITH_SOURCE_WARNINGS; ostrzeżenia dotyczą opisanych braków/konfliktów źródeł.</x:v>
      </x:c>
    </x:row>
    <x:row r="385" ht="66" customHeight="1">
      <x:c r="A385" s="59" t="str">
        <x:v>docs/reproducibility.md</x:v>
      </x:c>
      <x:c r="B385" s="59" t="str">
        <x:v>Budowanie kolejnego archiwum</x:v>
      </x:c>
      <x:c r="C385" s="59" t="str">
        <x:v>python scripts/research_archive.py create tworzy archiwum konkretnego badania z 10.09.2026; przy niezmienionych danych używa tej samej nazwy. Nie jest ogólnym automatycznym backupem wszystkich przyszłych prac. Następny etap danych powinien otrzymać nową datę, manifest i zachowane źródła. Przed stałą automatyzacją trzeba rozszerzyć mechanizm o wybór snapshotu i politykę retencji.</x:v>
      </x:c>
    </x:row>
    <x:row r="386" ht="52" customHeight="1">
      <x:c r="A386" s="59" t="str">
        <x:v>docs/reproducibility.md</x:v>
      </x:c>
      <x:c r="B386" s="59" t="str">
        <x:v>Budowanie kolejnego archiwum</x:v>
      </x:c>
      <x:c r="C386" s="59" t="str">
        <x:v>Wynik walidacji zawiera czas uruchomienia, więc ponowna kontrola może zmienić ten plik w Git, nawet gdy dane wejściowe są identyczne. Katalog z tych samych notatek i manifestów jest generowany deterministycznie. Dużych plików ani danych o nierozstrzygniętych prawach nie publikujemy automatycznie razem z kodem.</x:v>
      </x:c>
    </x:row>
    <x:row r="387" ht="66" customHeight="1">
      <x:c r="A387" s="59" t="str">
        <x:v>docs/reproducibility.md</x:v>
      </x:c>
      <x:c r="B387" s="59" t="str">
        <x:v>Odtwarzanie kolejnych archiwów — 16.09.2026</x:v>
      </x:c>
      <x:c r="C387" s="59" t="str">
        <x:v>Narzędzie obsługuje wybór manifestu przez --manifest oraz kontrolę bez zapisu przez --verify-only. Bez wskazania manifestu zachowuje dotychczasowe zachowanie. Nie pobiera niczego z Internetu. Sprawdza cały ZIP i wszystkie elementy przed rozpoczęciem zapisu, zachowuje istniejące identyczne pliki i odrzuca konflikt. Przerwanie procesu w trakcie zapisu może pozostawić część poprawnych plików; ponowienie dokończy brakujące. Nie jest to transakcja systemu plików.</x:v>
      </x:c>
    </x:row>
    <x:row r="388" ht="30" customHeight="1">
      <x:c r="A388" s="59" t="str">
        <x:v>docs/reproducibility.md</x:v>
      </x:c>
      <x:c r="B388" s="59" t="str">
        <x:v>Odtwarzanie kolejnych archiwów — 16.09.2026</x:v>
      </x:c>
      <x:c r="C388" s="59" t="str">
        <x:v>Pary manifest–archiwum do zachowania (wszystkie manifesty w data/catalog/, ZIP w data/archives/):</x:v>
      </x:c>
    </x:row>
    <x:row r="389" ht="30" customHeight="1">
      <x:c r="A389" s="59" t="str">
        <x:v>docs/reproducibility.md</x:v>
      </x:c>
      <x:c r="B389" s="59" t="str">
        <x:v>Odtwarzanie kolejnych archiwów — 16.09.2026</x:v>
      </x:c>
      <x:c r="C389" s="59" t="str">
        <x:v>Manifest / ZIP</x:v>
      </x:c>
    </x:row>
    <x:row r="390" ht="30" customHeight="1">
      <x:c r="A390" s="59" t="str">
        <x:v>docs/reproducibility.md</x:v>
      </x:c>
      <x:c r="B390" s="59" t="str">
        <x:v>Odtwarzanie kolejnych archiwów — 16.09.2026</x:v>
      </x:c>
      <x:c r="C390" s="59" t="str">
        <x:v>archive_manifest.json / research_2026-09-10_d143d3c637bc7af3.zip</x:v>
      </x:c>
    </x:row>
    <x:row r="391" ht="30" customHeight="1">
      <x:c r="A391" s="59" t="str">
        <x:v>docs/reproducibility.md</x:v>
      </x:c>
      <x:c r="B391" s="59" t="str">
        <x:v>Odtwarzanie kolejnych archiwów — 16.09.2026</x:v>
      </x:c>
      <x:c r="C391" s="59" t="str">
        <x:v>radkowice_archive_manifest.json / radkowice_sources_2026-09-11.zip</x:v>
      </x:c>
    </x:row>
    <x:row r="392" ht="30" customHeight="1">
      <x:c r="A392" s="59" t="str">
        <x:v>docs/reproducibility.md</x:v>
      </x:c>
      <x:c r="B392" s="59" t="str">
        <x:v>Odtwarzanie kolejnych archiwów — 16.09.2026</x:v>
      </x:c>
      <x:c r="C392" s="59" t="str">
        <x:v>radkowice_tariff_archive.json / radkowice_tariff_2026-09-11.zip</x:v>
      </x:c>
    </x:row>
    <x:row r="393" ht="30" customHeight="1">
      <x:c r="A393" s="59" t="str">
        <x:v>docs/reproducibility.md</x:v>
      </x:c>
      <x:c r="B393" s="59" t="str">
        <x:v>Odtwarzanie kolejnych archiwów — 16.09.2026</x:v>
      </x:c>
      <x:c r="C393" s="59" t="str">
        <x:v>radkowice_wolica_archive.json / radkowice_wolica_2026-09-11.zip</x:v>
      </x:c>
    </x:row>
    <x:row r="394" ht="30" customHeight="1">
      <x:c r="A394" s="59" t="str">
        <x:v>docs/reproducibility.md</x:v>
      </x:c>
      <x:c r="B394" s="59" t="str">
        <x:v>Odtwarzanie kolejnych archiwów — 16.09.2026</x:v>
      </x:c>
      <x:c r="C394" s="59" t="str">
        <x:v>radkowice_followup_archive_2026-09-15.json / radkowice_followup_2026-09-15.zip</x:v>
      </x:c>
    </x:row>
    <x:row r="395" ht="30" customHeight="1">
      <x:c r="A395" s="59" t="str">
        <x:v>docs/reproducibility.md</x:v>
      </x:c>
      <x:c r="B395" s="59" t="str">
        <x:v>Odtwarzanie kolejnych archiwów — 16.09.2026</x:v>
      </x:c>
      <x:c r="C395" s="59" t="str">
        <x:v>radkowice_decision_archive_2026-09-15.json / radkowice_decision_2026-09-15.zip</x:v>
      </x:c>
    </x:row>
    <x:row r="396" ht="30" customHeight="1">
      <x:c r="A396" s="59" t="str">
        <x:v>docs/reproducibility.md</x:v>
      </x:c>
      <x:c r="B396" s="59" t="str">
        <x:v>Odtwarzanie kolejnych archiwów — 16.09.2026</x:v>
      </x:c>
      <x:c r="C396" s="59" t="str">
        <x:v>Przykład kontroli kopii zachowanej na innym nośniku:</x:v>
      </x:c>
    </x:row>
    <x:row r="397" ht="38" customHeight="1">
      <x:c r="A397" s="59" t="str">
        <x:v>docs/reproducibility.md</x:v>
      </x:c>
      <x:c r="B397" s="59" t="str">
        <x:v>Odtwarzanie kolejnych archiwów — 16.09.2026</x:v>
      </x:c>
      <x:c r="C397" s="59" t="str">
        <x:v>python scripts/research_archive.py restore 'D:\Kopie\radkowice_decision_2026-09-15.zip' --manifest data/catalog/radkowice_decision_archive_2026-09-15.json --verify-only</x:v>
      </x:c>
    </x:row>
    <x:row r="398" ht="66" customHeight="1">
      <x:c r="A398" s="59" t="str">
        <x:v>docs/reproducibility.md</x:v>
      </x:c>
      <x:c r="B398" s="59" t="str">
        <x:v>Odtwarzanie kolejnych archiwów — 16.09.2026</x:v>
      </x:c>
      <x:c r="C398" s="59" t="str">
        <x:v>Po poprawnej kontroli usuń --verify-only, aby odtworzyć brakujące pliki. Powtórz operację dla każdej potrzebnej pary. Ścieżka D:\Kopie jest przykładowa, nie oznacza wykonanej kopii. Na nowym komputerze najpierw odtwórz właściwą wersję repozytorium. Starszy ZIP może zawierać wersję manifestu pobrań inną niż aktualny checkout; w takim przypadku skrypt celowo odmówi nadpisania, zamiast mieszać wersje.</x:v>
      </x:c>
    </x:row>
    <x:row r="399" ht="66" customHeight="1">
      <x:c r="A399" s="59" t="str">
        <x:v>docs/reproducibility.md</x:v>
      </x:c>
      <x:c r="B399" s="59" t="str">
        <x:v>Odtwarzanie kolejnych archiwów — 16.09.2026</x:v>
      </x:c>
      <x:c r="C399" s="59" t="str">
        <x:v>Test w izolowanym katalogu odtworzył 34 elementy pierwotnego archiwum i 8 elementów pięciu archiwów Radkowic. Dla każdego porównano SHA-256. Dla nowych archiwów sprawdzono też brak zapisów w trybie kontroli. Starszy manifest Wolica nie ma rozmiaru pliku: integralność nadal sprawdzają hashe ZIP i elementu; rozmiar jest sprawdzany dodatkowo tam, gdzie został zapisany. Nie zmieniano starych manifestów.</x:v>
      </x:c>
    </x:row>
    <x:row r="400" ht="66" customHeight="1">
      <x:c r="A400" s="59" t="str">
        <x:v>docs/reproducibility.md</x:v>
      </x:c>
      <x:c r="B400" s="59" t="str">
        <x:v>Odtwarzanie kolejnych archiwów — 16.09.2026</x:v>
      </x:c>
      <x:c r="C400" s="59" t="str">
        <x:v>To zakres wskazanych archiwów publicznego badania, nie automatyczna kopia całego projektu. Dokumenty prywatne i sekrety pozostają poza tym narzędziem. Kopia zewnętrzna nadal wymaga potwierdzenia użytkownika (NEED-010, KSE-030). Excel z 15.09 pozostaje historycznym snapshotem sprzed tej aktualizacji narzędzia; aktualna instrukcja i rejestry zostaną uwzględnione przy kolejnym generowaniu raportu.</x:v>
      </x:c>
    </x:row>
    <x:row r="401" ht="66" customHeight="1">
      <x:c r="A401" s="59" t="str">
        <x:v>docs/reproducibility.md</x:v>
      </x:c>
      <x:c r="B401" s="59" t="str">
        <x:v>Archiwum dat inwestycji — 17.09.2026</x:v>
      </x:c>
      <x:c r="C401" s="59" t="str">
        <x:v>data/archives/radkowice_investment_dates_2026-09-17.zip zawiera dwa nowe oryginały: raport PSE i portal inwestycji. Manifest: data/catalog/radkowice_investment_dates_archive_2026-09-17.json. Kontrola: python scripts/research_archive.py restore data/archives/radkowice_investment_dates_2026-09-17.zip --manifest data/catalog/radkowice_investment_dates_archive_2026-09-17.json --verify-only. Sprawdzono oba elementy. To siódme archiwum publicznych źródeł; niezależna kopia nadal wymaga potwierdzenia.</x:v>
      </x:c>
    </x:row>
    <x:row r="402" ht="30" customHeight="1">
      <x:c r="A402" s="59" t="str">
        <x:v>docs/git_workflow.md</x:v>
      </x:c>
      <x:c r="B402" s="59" t="str">
        <x:v>Git i GitHub — instrukcja dla tego projektu</x:v>
      </x:c>
      <x:c r="C402" s="59" t="str">
        <x:v>Przygotowano 10.09.2026. Folder: C:\Users\woloo\Desktop\KSE. Repozytorium: woloo-del/KSE (https://github.com/woloo-del/KSE).</x:v>
      </x:c>
    </x:row>
    <x:row r="403" ht="38" customHeight="1">
      <x:c r="A403" s="59" t="str">
        <x:v>docs/git_workflow.md</x:v>
      </x:c>
      <x:c r="B403" s="59" t="str">
        <x:v>Git i GitHub — instrukcja dla tego projektu</x:v>
      </x:c>
      <x:c r="C403" s="59" t="str">
        <x:v>Git zapisuje wersje lokalnie. GitHub przechowuje wysłaną kopię historii. Commit to zapis wersji na komputerze; push wysyła zapisane commity na GitHub. Zapisanie pliku w edytorze samo nie wykonuje żadnej z tych operacji.</x:v>
      </x:c>
    </x:row>
    <x:row r="404" ht="94" customHeight="1">
      <x:c r="A404" s="59" t="str">
        <x:v>docs/git_workflow.md</x:v>
      </x:c>
      <x:c r="B404" s="59" t="str">
        <x:v>Co już skonfigurowano</x:v>
      </x:c>
      <x:c r="C404" s="59" t="str">
        <x:v>- Lokalny Git, gałąź main i adres origin: https://github.com/woloo-del/KSE.git. - Autor tylko dla tego projektu: woloo-del, 323589553+woloo-del@users.noreply.github.com. Identyfikator konta sprawdzono w publicznym API GitHub. To adres maskujący e-mail, nie hasło. - Dostęp odczytowy do repozytorium sprawdzono; w chwili kontroli nie miało gałęzi. Dostępu zapisu nie potwierdza sam test odczytu. - W konfiguracji Git dodano zaufanie do dokładnie tego folderu (safe.directory), ponieważ narzędzie tworzące .git działało jako inny lokalny użytkownik systemowy. Nie dodano globalnej reguły zaufania do wszystkich folderów. - .gitignore pomija sekrety,</x:v>
      </x:c>
    </x:row>
    <x:row r="405" ht="30" customHeight="1">
      <x:c r="A405" s="59" t="str">
        <x:v>docs/git_workflow.md</x:v>
      </x:c>
      <x:c r="B405" s="59" t="str">
        <x:v>Co już skonfigurowano</x:v>
      </x:c>
      <x:c r="C405" s="59" t="str">
        <x:v>środowiska, cache i duże dane źródłowe. .gitattributes ustala końce linii plików tekstowych.</x:v>
      </x:c>
    </x:row>
    <x:row r="406" ht="30" customHeight="1">
      <x:c r="A406" s="59" t="str">
        <x:v>docs/git_workflow.md</x:v>
      </x:c>
      <x:c r="B406" s="59" t="str">
        <x:v>Pierwszy push</x:v>
      </x:c>
      <x:c r="C406" s="59" t="str">
        <x:v>Otwórz PowerShell i wpisz:</x:v>
      </x:c>
    </x:row>
    <x:row r="407" ht="30" customHeight="1">
      <x:c r="A407" s="59" t="str">
        <x:v>docs/git_workflow.md</x:v>
      </x:c>
      <x:c r="B407" s="59" t="str">
        <x:v>Pierwszy push</x:v>
      </x:c>
      <x:c r="C407" s="59" t="str">
        <x:v>Set-Location 'C:\Users\woloo\Desktop\KSE' git status git log -1 --oneline git push -u origin main</x:v>
      </x:c>
    </x:row>
    <x:row r="408" ht="52" customHeight="1">
      <x:c r="A408" s="59" t="str">
        <x:v>docs/git_workflow.md</x:v>
      </x:c>
      <x:c r="B408" s="59" t="str">
        <x:v>Pierwszy push</x:v>
      </x:c>
      <x:c r="C408" s="59" t="str">
        <x:v>git log powinien pokazać przygotowany pierwszy commit. Jeśli pokaże brak commitów, najpierw wykonaj kroki add i commit opisane niżej. -u zapamiętuje powiązanie lokalnego main z origin/main; przy kolejnych wysłaniach wystarczy git push. Po sukcesie odśwież stronę repozytorium.</x:v>
      </x:c>
    </x:row>
    <x:row r="409" ht="52" customHeight="1">
      <x:c r="A409" s="59" t="str">
        <x:v>docs/git_workflow.md</x:v>
      </x:c>
      <x:c r="B409" s="59" t="str">
        <x:v>Pierwszy push</x:v>
      </x:c>
      <x:c r="C409" s="59" t="str">
        <x:v>Git Credential Manager jest skonfigurowany na tym komputerze. Jeśli pojawi się okno logowania, zaloguj się do właściwego konta GitHub w przeglądarce. Nie wpisuj tokenu do plików projektu lub adresu repozytorium. GitHub — uwierzytelnienie przez GCM, sprawdzono 10.09.2026 (https://docs.github.com/en/get-started/git-basics/caching-your-github-credentials-in-git).</x:v>
      </x:c>
    </x:row>
    <x:row r="410" ht="30" customHeight="1">
      <x:c r="A410" s="59" t="str">
        <x:v>docs/git_workflow.md</x:v>
      </x:c>
      <x:c r="B410" s="59" t="str">
        <x:v>Kolejne zmiany — zwykły cykl</x:v>
      </x:c>
      <x:c r="C410" s="59" t="str">
        <x:v>Po zapisaniu plików i wykonaniu właściwych kontroli:</x:v>
      </x:c>
    </x:row>
    <x:row r="411" ht="38" customHeight="1">
      <x:c r="A411" s="59" t="str">
        <x:v>docs/git_workflow.md</x:v>
      </x:c>
      <x:c r="B411" s="59" t="str">
        <x:v>Kolejne zmiany — zwykły cykl</x:v>
      </x:c>
      <x:c r="C411" s="59" t="str">
        <x:v>git status git diff git add README.md docs scripts config data/catalog requirements-research.txt .gitignore .gitattributes AGENTS.md git diff --cached --stat git commit -m "Opisz konkretnie wykonana zmiane" git push</x:v>
      </x:c>
    </x:row>
    <x:row r="412" ht="52" customHeight="1">
      <x:c r="A412" s="59" t="str">
        <x:v>docs/git_workflow.md</x:v>
      </x:c>
      <x:c r="B412" s="59" t="str">
        <x:v>Kolejne zmiany — zwykły cykl</x:v>
      </x:c>
      <x:c r="C412" s="59" t="str">
        <x:v>status pokazuje zmienione pliki; diff — ich treść. add wybiera pliki do zapisu wersji. commit zapisuje tę wersję lokalnie. push ją wysyła. Jeśli pracujemy nad nowym folderem, trzeba dopisać go do git add lub po kontroli listy użyć git add .. Pliki ignorowane nie trafią do commita bez specjalnego wymuszenia; nie używaj git add -f do danych źródłowych.</x:v>
      </x:c>
    </x:row>
    <x:row r="413" ht="38" customHeight="1">
      <x:c r="A413" s="59" t="str">
        <x:v>docs/git_workflow.md</x:v>
      </x:c>
      <x:c r="B413" s="59" t="str">
        <x:v>Kolejne zmiany — zwykły cykl</x:v>
      </x:c>
      <x:c r="C413" s="59" t="str">
        <x:v>Gdy Codex informuje, że już wykonał commit, nie musisz ponownie robić add i commit; sprawdź git status, git log -1 --oneline, a następnie wykonaj git push.</x:v>
      </x:c>
    </x:row>
    <x:row r="414" ht="38" customHeight="1">
      <x:c r="A414" s="59" t="str">
        <x:v>docs/git_workflow.md</x:v>
      </x:c>
      <x:c r="B414" s="59" t="str">
        <x:v>Praca na drugim komputerze i zmiany na GitHub</x:v>
      </x:c>
      <x:c r="C414" s="59" t="str">
        <x:v>Na nowym komputerze pobierz repozytorium przez git clone https://github.com/woloo-del/KSE.git. Zależności i archiwum danych odtwórz według instrukcji odtwarzania (reproducibility.md).</x:v>
      </x:c>
    </x:row>
    <x:row r="415" ht="52" customHeight="1">
      <x:c r="A415" s="59" t="str">
        <x:v>docs/git_workflow.md</x:v>
      </x:c>
      <x:c r="B415" s="59" t="str">
        <x:v>Praca na drugim komputerze i zmiany na GitHub</x:v>
      </x:c>
      <x:c r="C415" s="59" t="str">
        <x:v>Przed pracą nad istniejącą kopią, gdy drzewo robocze jest czyste, można pobrać nowe commity poleceniem git pull --ff-only. Jeśli push zostanie odrzucony, ponieważ na GitHub są dodatkowe zmiany, zatrzymaj się i odczytaj komunikat. Nie używaj --force. Synchronizacja i ewentualne konflikty muszą zachować obie historie.</x:v>
      </x:c>
    </x:row>
    <x:row r="416" ht="30" customHeight="1">
      <x:c r="A416" s="59" t="str">
        <x:v>docs/git_workflow.md</x:v>
      </x:c>
      <x:c r="B416" s="59" t="str">
        <x:v>Co oznaczają typowe komunikaty</x:v>
      </x:c>
      <x:c r="C416" s="59" t="str">
        <x:v>Komunikat / Znaczenie / następny krok</x:v>
      </x:c>
    </x:row>
    <x:row r="417" ht="30" customHeight="1">
      <x:c r="A417" s="59" t="str">
        <x:v>docs/git_workflow.md</x:v>
      </x:c>
      <x:c r="B417" s="59" t="str">
        <x:v>Co oznaczają typowe komunikaty</x:v>
      </x:c>
      <x:c r="C417" s="59" t="str">
        <x:v>nothing to commit, working tree clean / Wszystkie śledzone zmiany zapisane lokalnie; nie dowodzi jeszcze wysłania</x:v>
      </x:c>
    </x:row>
    <x:row r="418" ht="30" customHeight="1">
      <x:c r="A418" s="59" t="str">
        <x:v>docs/git_workflow.md</x:v>
      </x:c>
      <x:c r="B418" s="59" t="str">
        <x:v>Co oznaczają typowe komunikaty</x:v>
      </x:c>
      <x:c r="C418" s="59" t="str">
        <x:v>Everything up-to-date / Brak nowych commitów do wysłania</x:v>
      </x:c>
    </x:row>
    <x:row r="419" ht="30" customHeight="1">
      <x:c r="A419" s="59" t="str">
        <x:v>docs/git_workflow.md</x:v>
      </x:c>
      <x:c r="B419" s="59" t="str">
        <x:v>Co oznaczają typowe komunikaty</x:v>
      </x:c>
      <x:c r="C419" s="59" t="str">
        <x:v>Your branch is ahead ... / Masz lokalne commity oczekujące na push</x:v>
      </x:c>
    </x:row>
    <x:row r="420" ht="30" customHeight="1">
      <x:c r="A420" s="59" t="str">
        <x:v>docs/git_workflow.md</x:v>
      </x:c>
      <x:c r="B420" s="59" t="str">
        <x:v>Co oznaczają typowe komunikaty</x:v>
      </x:c>
      <x:c r="C420" s="59" t="str">
        <x:v>Repository not found / Dla repo prywatnego sprawdź konto, dostęp i adres; nie musi oznaczać nieistnienia repo</x:v>
      </x:c>
    </x:row>
    <x:row r="421" ht="30" customHeight="1">
      <x:c r="A421" s="59" t="str">
        <x:v>docs/git_workflow.md</x:v>
      </x:c>
      <x:c r="B421" s="59" t="str">
        <x:v>Co oznaczają typowe komunikaty</x:v>
      </x:c>
      <x:c r="C421" s="59" t="str">
        <x:v>src refspec main does not match any / Zwykle brak pierwszego commita lub inna nazwa gałęzi</x:v>
      </x:c>
    </x:row>
    <x:row r="422" ht="30" customHeight="1">
      <x:c r="A422" s="59" t="str">
        <x:v>docs/git_workflow.md</x:v>
      </x:c>
      <x:c r="B422" s="59" t="str">
        <x:v>Co oznaczają typowe komunikaty</x:v>
      </x:c>
      <x:c r="C422" s="59" t="str">
        <x:v>non-fast-forward / fetch first / Na serwerze jest historia, której nie ma lokalnie; wymagana bezpieczna synchronizacja</x:v>
      </x:c>
    </x:row>
    <x:row r="423" ht="52" customHeight="1">
      <x:c r="A423" s="59" t="str">
        <x:v>docs/git_workflow.md</x:v>
      </x:c>
      <x:c r="B423" s="59" t="str">
        <x:v>Co oznaczają typowe komunikaty</x:v>
      </x:c>
      <x:c r="C423" s="59" t="str">
        <x:v>Źródło procedury: GitHub — wysyłanie istniejącego projektu, sprawdzono 10.09.2026 (https://docs.github.com/en/migrations/importing-source-code/using-the-command-line-to-import-source-code/adding-locally-hosted-code-to-github). Prywatność repozytorium nie zmienia warunków licencji cudzych danych.</x:v>
      </x:c>
    </x:row>
    <x:row r="424" ht="52" customHeight="1">
      <x:c r="A424" s="59" t="str">
        <x:v>docs/project_reporting.md</x:v>
      </x:c>
      <x:c r="B424" s="59" t="str">
        <x:v>Rejestr TODO i raport projektu w Excelu</x:v>
      </x:c>
      <x:c r="C424" s="59" t="str">
        <x:v>Źródłem zadań jest data/project/todo.json. Czytelny TODO.md (../TODO.md) i skoroszyt są generowanymi widokami tego samego rejestru. Codex aktualizuje zadania po kolejnych pracach, zachowuje stałe ID i zapisuje kryteria oraz dowody zakończenia. Zadania zakończone pozostają w historii. Nowe wymaganie produktu powinno otrzymać zadanie lub zostać przypisane do istniejącego.</x:v>
      </x:c>
    </x:row>
    <x:row r="425" ht="52" customHeight="1">
      <x:c r="A425" s="59" t="str">
        <x:v>docs/project_reporting.md</x:v>
      </x:c>
      <x:c r="B425" s="59" t="str">
        <x:v>Rejestr TODO i raport projektu w Excelu</x:v>
      </x:c>
      <x:c r="C425" s="59" t="str">
        <x:v>Statusy przechowywane w rejestrze odpowiadają wybranemu szablonowi: Not Started — do zrobienia, In Progress — w toku, At Risk — zagrożone, Complete — zakończone. Nieukończone zależności są odrębnym polem. Termin pozostaje pusty, jeśli nie został ustalony. Liczba zakończonych zadań nie jest procentem gotowości całego produktu.</x:v>
      </x:c>
    </x:row>
    <x:row r="426" ht="30" customHeight="1">
      <x:c r="A426" s="59" t="str">
        <x:v>docs/project_reporting.md</x:v>
      </x:c>
      <x:c r="B426" s="59" t="str">
        <x:v>Generowanie</x:v>
      </x:c>
      <x:c r="C426" s="59" t="str">
        <x:v>W PowerShell, w folderze projektu:</x:v>
      </x:c>
    </x:row>
    <x:row r="427" ht="30" customHeight="1">
      <x:c r="A427" s="59" t="str">
        <x:v>docs/project_reporting.md</x:v>
      </x:c>
      <x:c r="B427" s="59" t="str">
        <x:v>Generowanie</x:v>
      </x:c>
      <x:c r="C427" s="59" t="str">
        <x:v>.\scripts\generate_project_report.ps1</x:v>
      </x:c>
    </x:row>
    <x:row r="428" ht="52" customHeight="1">
      <x:c r="A428" s="59" t="str">
        <x:v>docs/project_reporting.md</x:v>
      </x:c>
      <x:c r="B428" s="59" t="str">
        <x:v>Generowanie</x:v>
      </x:c>
      <x:c r="C428" s="59" t="str">
        <x:v>Skrypt korzysta z dołączonego do Codex środowiska Node.js i pakietu @oai/artifact-tool. Domyślnie lokalizuje środowisko w profilu Windows; alternatywną instalację można wskazać parametrem -RuntimeRoot. Nie instaluje bibliotek do systemu i nie łączy się z operatorami. Tworzy lokalne dowiązanie zależności w ignorowanym .report_runtime/.</x:v>
      </x:c>
    </x:row>
    <x:row r="429" ht="80" customHeight="1">
      <x:c r="A429" s="59" t="str">
        <x:v>docs/project_reporting.md</x:v>
      </x:c>
      <x:c r="B429" s="59" t="str">
        <x:v>Generowanie</x:v>
      </x:c>
      <x:c r="C429" s="59" t="str">
        <x:v>Wyniki trafiają do outputs/01a08b04-7ddd-7641-8f44-7d0d6ae13653/. Nazwa XLSX zawiera datę rejestru i skrót wejść. Manifest obok pliku identyfikuje wejścia przez SHA-256, wersję generatora, szablonu i środowiska oraz czas wytworzenia. Git identyfikuje ostatni commit widoczny podczas generowania; hashe obejmują także bieżące niezacommitowane wejścia. Powtórne generowanie tych samych wejść może zmienić techniczne metadane XLSX, więc porównujemy zawartość i hashe wejść, a nie obiecujemy identyczności bajtowej każdego eksportu.</x:v>
      </x:c>
    </x:row>
    <x:row r="430" ht="66" customHeight="1">
      <x:c r="A430" s="59" t="str">
        <x:v>docs/project_reporting.md</x:v>
      </x:c>
      <x:c r="B430" s="59" t="str">
        <x:v>Generowanie</x:v>
      </x:c>
      <x:c r="C430" s="59" t="str">
        <x:v>Na komputerze bez dołączonego środowiska wymagany jest dostęp do kompatybilnego @oai/artifact-tool; same pakiety Python z wcześniejszego etapu nie wystarczą. Skrypt zgłasza brak zależności zamiast tworzyć niepełny raport. Szablon Project Tracker jest zachowany w data/reference/project_tracker_template.xlsx i pozostaje niezmieniany. Jego fikcyjne dane demonstracyjne są zastępowane przed eksportem.</x:v>
      </x:c>
    </x:row>
    <x:row r="431" ht="66" customHeight="1">
      <x:c r="A431" s="59" t="str">
        <x:v>docs/project_reporting.md</x:v>
      </x:c>
      <x:c r="B431" s="59" t="str">
        <x:v>Zakres raportu</x:v>
      </x:c>
      <x:c r="C431" s="59" t="str">
        <x:v>Po eksporcie skrypt uruchamia kontrolę tylko do odczytu przez Python i openpyxl z tego samego środowiska. Sprawdza kompletność ID, daty, zapisane wyniki formuł, harmonogram, zachowanie szablonu i hashe wejść. Wynik zapisuje obok XLSX jako .validation.json; błąd kończy polecenie niepowodzeniem. Sprawdzone środowisko: Node.js 24.19.0, artifact-tool 2.8.59, Python 3.12.14, openpyxl 3.1.5. Podglądy każdej zakładki są zapisywane w ignorowanym folderze previews; -SkipPreviews pomija tylko renderowanie.</x:v>
      </x:c>
    </x:row>
    <x:row r="432" ht="94" customHeight="1">
      <x:c r="A432" s="59" t="str">
        <x:v>docs/project_reporting.md</x:v>
      </x:c>
      <x:c r="B432" s="59" t="str">
        <x:v>Zakres raportu</x:v>
      </x:c>
      <x:c r="C432" s="59" t="str">
        <x:v>- Plan prac w wybranym szablonie, wraz z osią czasu. Daty nie są wymyślane; brak terminów oznacza brak paska na osi. Plan pokazuje maksymalnie 30 zadań, a pełny rejestr jest zawsze w zakładce TODO. Przy większym rejestrze najpierw pokazywane są zadania otwarte według priorytetu. - Podsumowanie wykonalności produktu, stan badań i najważniejsze niewiadome. - Pełny TODO: status, etap, priorytet, zależności, następna czynność, kryterium zakończenia, odpowiedzialność i dowody. - Zakładka Potrzebne informacje z rejestru data/project/information_requests.json: dokumenty i informacje, które użytkownik może pomóc pozyskać, ich status, zastosowanie,</x:v>
      </x:c>
    </x:row>
    <x:row r="433" ht="80" customHeight="1">
      <x:c r="A433" s="59" t="str">
        <x:v>docs/project_reporting.md</x:v>
      </x:c>
      <x:c r="B433" s="59" t="str">
        <x:v>Zakres raportu</x:v>
      </x:c>
      <x:c r="C433" s="59" t="str">
        <x:v>kolejny krok oraz sposób kontynuowania pracy bez nich. Szczegóły zasad: rejestr potrzeb (15_information_requests.md). Obecny raport ma 11 zakładek. - Macierz wykonalności, katalog wszystkich źródeł i szczegółowe karty pól, w tym daty, interfejsy, ograniczenia i licencje. - Rejestr ryzyk ze źródeł i zadań oraz komplet wyjaśnień z dokumentów projektu wskazanych w generatorze. - Zapis wyników wcześniejszej walidacji i prób dostępu, z datą ich wykonania. Generowanie raportu nie wykonuje ponownie tych zdalnych prób ani nie odświeża dat źródeł. - Informacje o wersji, odtwarzaniu i sposobie aktualizacji raportu.</x:v>
      </x:c>
    </x:row>
    <x:row r="434" ht="38" customHeight="1">
      <x:c r="A434" s="59" t="str">
        <x:v>docs/project_reporting.md</x:v>
      </x:c>
      <x:c r="B434" s="59" t="str">
        <x:v>Zakres raportu</x:v>
      </x:c>
      <x:c r="C434" s="59" t="str">
        <x:v>Raport jest snapshotem wiedzy projektowej. Nie zawiera nieistniejących wyników dla GPZ, sztucznych MW ani scoringu. Nie zastępuje szczegółowych surowych plików operatorów; ich lokalne archiwum i manifest pozostają osobno.</x:v>
      </x:c>
    </x:row>
    <x:row r="435" ht="52" customHeight="1">
      <x:c r="A435" s="59" t="str">
        <x:v>docs/project_reporting.md</x:v>
      </x:c>
      <x:c r="B435" s="59" t="str">
        <x:v>Bezpieczeństwo i aktualizacja</x:v>
      </x:c>
      <x:c r="C435" s="59" t="str">
        <x:v>Generator odczytuje tylko jawną listę plików wejściowych. Nie skanuje całego folderu projektu, nie czyta _secrets, nie pobiera zmiennych środowiskowych z kluczami ani nie umieszcza poświadczeń w arkuszu. Aktualizacje źródeł należy najpierw zapisać w katalogu i dokumentacji.</x:v>
      </x:c>
    </x:row>
    <x:row r="436" ht="52" customHeight="1">
      <x:c r="A436" s="59" t="str">
        <x:v>docs/project_reporting.md</x:v>
      </x:c>
      <x:c r="B436" s="59" t="str">
        <x:v>Bezpieczeństwo i aktualizacja</x:v>
      </x:c>
      <x:c r="C436" s="59" t="str">
        <x:v>Edycja komórek wygenerowanego Excela nie synchronizuje się z repozytorium. Do trwałej zmiany należy zaktualizować JSON lub właściwy dokument, ponownie wygenerować raport i wykonać commit. Listy i wskaźniki arkusza odzwierciedlają rekordy z danego generowania; nie jest to połączenie na żywo z operatorami.</x:v>
      </x:c>
    </x:row>
    <x:row r="437" ht="52" customHeight="1">
      <x:c r="A437" s="59" t="str">
        <x:v>docs/09_pilot_scope.md</x:v>
      </x:c>
      <x:c r="B437" s="59" t="str">
        <x:v>Propozycja pilota GPZ</x:v>
      </x:c>
      <x:c r="C437" s="59" t="str">
        <x:v>11.09.2026 — zakres roboczy pilota dokumentacyjnego. Użytkownik wskazał SE Radkowice 220/110 kV; przyjmujemy ją jako kierunek dalszych prac, z warunkami opisanymi w analizie wyboru (10_radkowice_pilot.md). Nie oznacza to uruchomienia MVP ani potwierdzenia dostępności wszystkich danych.</x:v>
      </x:c>
    </x:row>
    <x:row r="438" ht="38" customHeight="1">
      <x:c r="A438" s="59" t="str">
        <x:v>docs/09_pilot_scope.md</x:v>
      </x:c>
      <x:c r="B438" s="59" t="str">
        <x:v>Propozycja pilota GPZ</x:v>
      </x:c>
      <x:c r="C438" s="59" t="str">
        <x:v>Pierwszy wynik: audytowalny raport jednego GPZ z powiązanymi projektami, stanem źródeł, kierunkami mocy i ograniczeniami. Obszar wybieramy po porównaniu dowodów, nie po liczbie punktów na mapie. Użytkownik może wskazać własny region.</x:v>
      </x:c>
    </x:row>
    <x:row r="439" ht="94" customHeight="1">
      <x:c r="A439" s="59" t="str">
        <x:v>docs/09_pilot_scope.md</x:v>
      </x:c>
      <x:c r="B439" s="59" t="str">
        <x:v>Kryteria odbioru</x:v>
      </x:c>
      <x:c r="C439" s="59" t="str">
        <x:v>1. Stacja ma potwierdzonego operatora, napięcia, nazwę źródłową i identyfikator lokalny. Relacje 110 kV/PSE wskazują dowody albo pozostają nieznane. 2. Każdy wiersz projektu wskazuje dokument, wersję, stronę/wiersz, datę pobrania oraz dosłowny status źródłowy. Wykazane konflikty wykluczają pewne wnioski o bieżącym stanie. 3. Grupy A/B/C odpowiadają specyfikacji GPZ. Nieznany status jest osobną kategorią; brak daty WP nie oznacza oczekiwania. 4. Import, eksport, moc zainstalowana i PCC są rozdzielone. Brakujące wartości pozostają null. Wiele wniosków nie powoduje automatycznie wielokrotnego liczenia inwestycji. 5. Wszystkie pozycje wybranego</x:v>
      </x:c>
    </x:row>
    <x:row r="440" ht="66" customHeight="1">
      <x:c r="A440" s="59" t="str">
        <x:v>docs/09_pilot_scope.md</x:v>
      </x:c>
      <x:c r="B440" s="59" t="str">
        <x:v>Kryteria odbioru</x:v>
      </x:c>
      <x:c r="C440" s="59" t="str">
        <x:v>pilota przechodzą ręczne porównanie z dokumentem. Błędne lub niejednoznaczne pozycje pozostają poza pewnymi agregatami; publikujemy liczebność próby i wyniki kontroli. 6. Raport można odtworzyć z wersji kodu, konfiguracji i niezmiennego snapshotu. Parser odrzuca nieznany format, a testy obejmują rzeczywiste próbki i izolowane przypadki błędów. 7. Prawa źródeł i dopuszczalny zakres zastosowania muszą być rozstrzygnięte przed produkcyjnym użyciem. Publiczny PDF nie jest dowodem licencji.</x:v>
      </x:c>
    </x:row>
    <x:row r="441" ht="52" customHeight="1">
      <x:c r="A441" s="59" t="str">
        <x:v>docs/09_pilot_scope.md</x:v>
      </x:c>
      <x:c r="B441" s="59" t="str">
        <x:v>Kryteria odbioru</x:v>
      </x:c>
      <x:c r="C441" s="59" t="str">
        <x:v>Wynik opisuje znane projekty i ograniczenia danych. Nie deklaruje pełnej listy projektów, pewnej rezerwy MW, obciążenia transformatora ani skalibrowanego prawdopodobieństwa przyłączenia. Wagi Grid Connection Score wymagają późniejszej, osobnej metodologii.</x:v>
      </x:c>
    </x:row>
    <x:row r="442" ht="38" customHeight="1">
      <x:c r="A442" s="59" t="str">
        <x:v>docs/09_pilot_scope.md</x:v>
      </x:c>
      <x:c r="B442" s="59" t="str">
        <x:v>Kryteria odbioru</x:v>
      </x:c>
      <x:c r="C442" s="59" t="str">
        <x:v>Najbliższe zależności: zaakceptować zakres, wybrać dopuszczone źródła, porównać kandydatów GPZ, zaprojektować model i wdrożyć parsery. Kontrola jakości źródeł może być rozwijana niezależnie od wyboru regionu.</x:v>
      </x:c>
    </x:row>
    <x:row r="443" ht="52" customHeight="1">
      <x:c r="A443" s="59" t="str">
        <x:v>docs/10_radkowice_pilot.md</x:v>
      </x:c>
      <x:c r="B443" s="59" t="str">
        <x:v>Pilot: SE Radkowice 220/110 kV</x:v>
      </x:c>
      <x:c r="C443" s="59" t="str">
        <x:v>Weryfikacja: 11.09.2026. Rekomendacja: przyjąć wskazane przez użytkownika Radkowice jako stację pilota dokumentacyjnego. Istnieją konkretne dowody projektów BESS, inwestycji i połączeń przesyłowych. Nie ma obecnie podstaw do zmiany na inną stację tylko ze względu na łatwiejszą mapę.</x:v>
      </x:c>
    </x:row>
    <x:row r="444" ht="38" customHeight="1">
      <x:c r="A444" s="59" t="str">
        <x:v>docs/10_radkowice_pilot.md</x:v>
      </x:c>
      <x:c r="B444" s="59" t="str">
        <x:v>Tożsamość i granice</x:v>
      </x:c>
      <x:c r="C444" s="59" t="str">
        <x:v>Aktualizacja 11.09.2026: taryfa PSE i pierwszy model powiązań (11_radkowice_evidence_model.md) potwierdzają relację miejsca dostarczania Radkowice z PGE według stanu tabeli 03.12.2025. Nie rozstrzyga to poniższych braków dotyczących własności urządzeń.</x:v>
      </x:c>
    </x:row>
    <x:row r="445" ht="52" customHeight="1">
      <x:c r="A445" s="59" t="str">
        <x:v>docs/10_radkowice_pilot.md</x:v>
      </x:c>
      <x:c r="B445" s="59" t="str">
        <x:v>Tożsamość i granice</x:v>
      </x:c>
      <x:c r="C445" s="59" t="str">
        <x:v>PSE opisuje obiekt jako stację 220/110 kV Radkowice (źródło PSE (https://inwestycje.pse.pl/), sekcja Radkowice). Nie utożsamiamy go automatycznie z transformatorem 110/SN. Nazwy „GPZ Radkowice”, „SE Radkowice” i „Grupa Radkowice” należy rozróżniać według źródła i typu obiektu.</x:v>
      </x:c>
    </x:row>
    <x:row r="446" ht="52" customHeight="1">
      <x:c r="A446" s="59" t="str">
        <x:v>docs/10_radkowice_pilot.md</x:v>
      </x:c>
      <x:c r="B446" s="59" t="str">
        <x:v>Tożsamość i granice</x:v>
      </x:c>
      <x:c r="C446" s="59" t="str">
        <x:v>Informację użytkownika o współdzieleniu stacji przez PSE/PGE zapisujemy jako wskazówkę do dalszej weryfikacji. Udział PGE w regionalnej sieci jest udokumentowany, ale granice własności pól, rozdzielni i transformatorów pozostają UNKNOWN. Nie przypisujemy całej części 110 kV jednemu operatorowi bez dokumentu. Przegląd nie znalazł dotąd pierwotnego schematu granic eksploatacji.</x:v>
      </x:c>
    </x:row>
    <x:row r="447" ht="52" customHeight="1">
      <x:c r="A447" s="59" t="str">
        <x:v>docs/10_radkowice_pilot.md</x:v>
      </x:c>
      <x:c r="B447" s="59" t="str">
        <x:v>Pierwsze znane projekty</x:v>
      </x:c>
      <x:c r="C447" s="59" t="str">
        <x:v>Zachowany wykaz PSE, stan 31.07.2026 (https://www.pse.pl/documents/20182/51490/Informacje_publikowane_zgodnie_z_Art_7_ust_8l_ustawy_PE_stan_na_31_07_2026.xlsx), pobrany 10.09.2026; arkusz Wykaz wspólny. Kierunki mocy sprawdzono w nagłówkach kolumn I/J. Dane REPORTED, bez estymacji.</x:v>
      </x:c>
    </x:row>
    <x:row r="448" ht="30" customHeight="1">
      <x:c r="A448" s="59" t="str">
        <x:v>docs/10_radkowice_pilot.md</x:v>
      </x:c>
      <x:c r="B448" s="59" t="str">
        <x:v>Pierwsze znane projekty</x:v>
      </x:c>
      <x:c r="C448" s="59" t="str">
        <x:v>Wiersz / Projekt / Podmiot / Punkt / Eksport MW / Import MW / Status</x:v>
      </x:c>
    </x:row>
    <x:row r="449" ht="30" customHeight="1">
      <x:c r="A449" s="59" t="str">
        <x:v>docs/10_radkowice_pilot.md</x:v>
      </x:c>
      <x:c r="B449" s="59" t="str">
        <x:v>Pierwsze znane projekty</x:v>
      </x:c>
      <x:c r="C449" s="59" t="str">
        <x:v>787 / MEE Chałupki / Grand Solar 23 Sp. z o.o. / Radkowice 220 kV / 96,96 / 98,8992 / Obowiązująca umowa przyłączeniowa</x:v>
      </x:c>
    </x:row>
    <x:row r="450" ht="30" customHeight="1">
      <x:c r="A450" s="59" t="str">
        <x:v>docs/10_radkowice_pilot.md</x:v>
      </x:c>
      <x:c r="B450" s="59" t="str">
        <x:v>Pierwsze znane projekty</x:v>
      </x:c>
      <x:c r="C450" s="59" t="str">
        <x:v>843 / MEE Radkowice / RSE 10 Sp. z o.o. / Radkowice 220 kV / 50 / 50 / Obowiązująca umowa przyłączeniowa</x:v>
      </x:c>
    </x:row>
    <x:row r="451" ht="30" customHeight="1">
      <x:c r="A451" s="59" t="str">
        <x:v>docs/10_radkowice_pilot.md</x:v>
      </x:c>
      <x:c r="B451" s="59" t="str">
        <x:v>Pierwsze znane projekty</x:v>
      </x:c>
      <x:c r="C451" s="59" t="str">
        <x:v>847 / MEE Chęciny / Qair Polska S.A. / Radkowice 220 kV / 100 / 102 / Obowiązująca umowa przyłączeniowa</x:v>
      </x:c>
    </x:row>
    <x:row r="452" ht="52" customHeight="1">
      <x:c r="A452" s="59" t="str">
        <x:v>docs/10_radkowice_pilot.md</x:v>
      </x:c>
      <x:c r="B452" s="59" t="str">
        <x:v>Pierwsze znane projekty</x:v>
      </x:c>
      <x:c r="C452" s="59" t="str">
        <x:v>To trzy pasujące wiersze jednego snapshotu, nie kompletna liczba projektów na stacji. Należą do grupy B według statusu publikacji. Nie są dowodem wykonania przyłączenia. Wskazane w kolumnie Y daty roku 2029 pozostają terminami źródłowymi, nie potwierdzonym uruchomieniem. Nie znamy MWh.</x:v>
      </x:c>
    </x:row>
    <x:row r="453" ht="52" customHeight="1">
      <x:c r="A453" s="59" t="str">
        <x:v>docs/10_radkowice_pilot.md</x:v>
      </x:c>
      <x:c r="B453" s="59" t="str">
        <x:v>Pierwsze znane projekty</x:v>
      </x:c>
      <x:c r="C453" s="59" t="str">
        <x:v>Projektów na 220 kV nie przypisujemy automatycznie do obciążenia transformacji 220/110 kV. Nie odejmujemy ich mocy od znamionowej mocy transformatorów. Grupy A i C oraz projekty PGE wymagają osobnego przeglądu; brak w tym wycinku nie oznacza zera. Starsze publikacje PSE o oczekiwaniu nie dowodzą oczekiwania w 2026 r.</x:v>
      </x:c>
    </x:row>
    <x:row r="454" ht="52" customHeight="1">
      <x:c r="A454" s="59" t="str">
        <x:v>docs/10_radkowice_pilot.md</x:v>
      </x:c>
      <x:c r="B454" s="59" t="str">
        <x:v>Infrastruktura i inwestycje</x:v>
      </x:c>
      <x:c r="C454" s="59" t="str">
        <x:v>BIP Chęcin — założenia energetyczne (https://checiny.biuletyn.net/fls/bip_pliki/2026_03/BIPF64CD10561EC15Z/PZCEEPG_2025-2027.pdf), PDF s.21–25, opisuje SE i relacje 220 kV do Kielc, Połańca i Kielc Piaski, powołując się na PSE. Dokument wskazuje także GPZ Wolica 110/15 kV i regionalne dane PGE. To podstawa do grafu referencyjnego, nie aktualny schemat ruchowy.</x:v>
      </x:c>
    </x:row>
    <x:row r="455" ht="52" customHeight="1">
      <x:c r="A455" s="59" t="str">
        <x:v>docs/10_radkowice_pilot.md</x:v>
      </x:c>
      <x:c r="B455" s="59" t="str">
        <x:v>Infrastruktura i inwestycje</x:v>
      </x:c>
      <x:c r="C455" s="59" t="str">
        <x:v>Ten sam dokument wymienia plan montażu autotransformatora 160 MVA oraz rozbudowy pod magazyn Chałupki. Sam plan nie potwierdza aktualnej obsady i mocy wszystkich transformatorów. Zawiera również starsze opisy planistyczne, dlatego daty poszczególnych ustaleń trzeba zachować oddzielnie; katalog w URL z 2026 r. nie odmładza wszystkich treści.</x:v>
      </x:c>
    </x:row>
    <x:row r="456" ht="52" customHeight="1">
      <x:c r="A456" s="59" t="str">
        <x:v>docs/10_radkowice_pilot.md</x:v>
      </x:c>
      <x:c r="B456" s="59" t="str">
        <x:v>Infrastruktura i inwestycje</x:v>
      </x:c>
      <x:c r="C456" s="59" t="str">
        <x:v>Portal inwestycji PSE (https://inwestycje.pse.pl/), odczyt 11.09.2026: rozbudowa/modernizacja etap I jest opisana jako w budowie, etap II w przygotowaniu; wymiana transformatora jako zakończona w 2025 r., wcześniejsza rozbudowa w 2020 r. Nie scalono tych zadań z opisem planowanego 160 MVA bez potwierdzenia tożsamości inwestycji.</x:v>
      </x:c>
    </x:row>
    <x:row r="457" ht="30" customHeight="1">
      <x:c r="A457" s="59" t="str">
        <x:v>docs/10_radkowice_pilot.md</x:v>
      </x:c>
      <x:c r="B457" s="59" t="str">
        <x:v>Porównanie z alternatywą</x:v>
      </x:c>
      <x:c r="C457" s="59" t="str">
        <x:v>Kryterium / Radkowice — wybór główny / Kościerzyna — kandydat rezerwowy</x:v>
      </x:c>
    </x:row>
    <x:row r="458" ht="30" customHeight="1">
      <x:c r="A458" s="59" t="str">
        <x:v>docs/10_radkowice_pilot.md</x:v>
      </x:c>
      <x:c r="B458" s="59" t="str">
        <x:v>Porównanie z alternatywą</x:v>
      </x:c>
      <x:c r="C458" s="59" t="str">
        <x:v>Preferencja użytkownika / Wskazane wprost / Nie wskazana</x:v>
      </x:c>
    </x:row>
    <x:row r="459" ht="38" customHeight="1">
      <x:c r="A459" s="59" t="str">
        <x:v>docs/10_radkowice_pilot.md</x:v>
      </x:c>
      <x:c r="B459" s="59" t="str">
        <x:v>Porównanie z alternatywą</x:v>
      </x:c>
      <x:c r="C459" s="59" t="str">
        <x:v>Konkretne projekty / Trzy wskazane BESS w XLSX PSE / W dokumencie Energi jest m.in. wpis GPZ Kościerzyna i status obiektu przyłączonego</x:v>
      </x:c>
    </x:row>
    <x:row r="460" ht="30" customHeight="1">
      <x:c r="A460" s="59" t="str">
        <x:v>docs/10_radkowice_pilot.md</x:v>
      </x:c>
      <x:c r="B460" s="59" t="str">
        <x:v>Porównanie z alternatywą</x:v>
      </x:c>
      <x:c r="C460" s="59" t="str">
        <x:v>Jakość czasu publikacji / Jawny stan XLSX 31.07.2026 / Konflikt dat sierpień/czerwiec; kwarantanna</x:v>
      </x:c>
    </x:row>
    <x:row r="461" ht="30" customHeight="1">
      <x:c r="A461" s="59" t="str">
        <x:v>docs/10_radkowice_pilot.md</x:v>
      </x:c>
      <x:c r="B461" s="59" t="str">
        <x:v>Porównanie z alternatywą</x:v>
      </x:c>
      <x:c r="C461" s="59" t="str">
        <x:v>Inwestycje i topologia / Portal PSE i lokalny BIP / W tym porównaniu nie zweryfikowano kompletu dowodów</x:v>
      </x:c>
    </x:row>
    <x:row r="462" ht="30" customHeight="1">
      <x:c r="A462" s="59" t="str">
        <x:v>docs/10_radkowice_pilot.md</x:v>
      </x:c>
      <x:c r="B462" s="59" t="str">
        <x:v>Porównanie z alternatywą</x:v>
      </x:c>
      <x:c r="C462" s="59" t="str">
        <x:v>Przewaga / Bezpośredni test BESS i styku 220/110 kV / Możliwy późniejszy test innych statusów i OSD</x:v>
      </x:c>
    </x:row>
    <x:row r="463" ht="38" customHeight="1">
      <x:c r="A463" s="59" t="str">
        <x:v>docs/10_radkowice_pilot.md</x:v>
      </x:c>
      <x:c r="B463" s="59" t="str">
        <x:v>Porównanie z alternatywą</x:v>
      </x:c>
      <x:c r="C463" s="59" t="str">
        <x:v>Źródło alternatywy: Energa PDF (https://cdn-netpr.pl/file/mediakit/3063617/fa/2026_08_31_pusop_wnioski_i_odmowy_eop.pdf), strona 1, pozycja 3; konflikt opisany w kontroli z 11.09.2026. Nie jest to pełny ranking stacji Polski.</x:v>
      </x:c>
    </x:row>
    <x:row r="464" ht="66" customHeight="1">
      <x:c r="A464" s="59" t="str">
        <x:v>docs/10_radkowice_pilot.md</x:v>
      </x:c>
      <x:c r="B464" s="59" t="str">
        <x:v>Odtwarzanie i dalsze prace</x:v>
      </x:c>
      <x:c r="C464" s="59" t="str">
        <x:v>scripts/research_radkowice.py odczytuje wyłącznie zachowany XLSX, sprawdza hash, datę, kluczowe nagłówki i dokładną nazwę stacji. Wynik: data/reference/radkowice_pse_projects_2026-07-31.json, z komórkami źródłowymi. To skrypt badawczy, nie kompletny connector. Oryginalny XLSX nie jest zapisywany przez openpyxl; ostrzeżenie o rozszerzeniu walidacji nie oznacza zmiany oryginału.</x:v>
      </x:c>
    </x:row>
    <x:row r="465" ht="80" customHeight="1">
      <x:c r="A465" s="59" t="str">
        <x:v>docs/10_radkowice_pilot.md</x:v>
      </x:c>
      <x:c r="B465" s="59" t="str">
        <x:v>Odtwarzanie i dalsze prace</x:v>
      </x:c>
      <x:c r="C465" s="59" t="str">
        <x:v>Nowe kopie HTML/PDF mają manifest data/catalog/radkowice_snapshot_manifest.json. Zapisano je osobno w lokalnym data/archives/radkowice_sources_2026-09-11.zip; hash archiwum i jego dwóch sprawdzonych elementów zawiera data/catalog/radkowice_archive_manifest.json. Nie należą do wcześniejszego archiwum z 10.09 i wymagają osobnej zewnętrznej kopii. Przy odtwarzaniu rozpakować do pustego folderu i sprawdzić hashe przed przeniesieniem plików. Licencje komercyjnego użycia i redystrybucji tych konkretnych źródeł pozostają niewyjaśnione.</x:v>
      </x:c>
    </x:row>
    <x:row r="466" ht="52" customHeight="1">
      <x:c r="A466" s="59" t="str">
        <x:v>docs/10_radkowice_pilot.md</x:v>
      </x:c>
      <x:c r="B466" s="59" t="str">
        <x:v>Odtwarzanie i dalsze prace</x:v>
      </x:c>
      <x:c r="C466" s="59" t="str">
        <x:v>Najbliższe prace: granice PSE/PGE, źródła projektów po stronie 110 kV, dowody istniejących przyłączeń i aktualnych wniosków, źródła o parametrach transformacji oraz uprawnienia do wykorzystania. Wybór stacji nie oznacza obietnicy pełnego pipeline, telemetrii ani policzalnej wolnej mocy.</x:v>
      </x:c>
    </x:row>
    <x:row r="467" ht="38" customHeight="1">
      <x:c r="A467" s="59" t="str">
        <x:v>docs/11_radkowice_evidence_model.md</x:v>
      </x:c>
      <x:c r="B467" s="59" t="str">
        <x:v>Radkowice — pierwszy model powiązań dokumentacyjnych</x:v>
      </x:c>
      <x:c r="C467" s="59" t="str">
        <x:v>11.09.2026. Działa lokalny generator grafu: 11 obiektów i 10 relacji. To eksperyment na zachowanych źródłach, nie wdrożenie produkcyjnego silnika sieciowego. Nie wymaga nowej bazy ani dodatkowych bibliotek.</x:v>
      </x:c>
    </x:row>
    <x:row r="468" ht="66" customHeight="1">
      <x:c r="A468" s="59" t="str">
        <x:v>docs/11_radkowice_evidence_model.md</x:v>
      </x:c>
      <x:c r="B468" s="59" t="str">
        <x:v>Nowy dowód PSE/PGE</x:v>
      </x:c>
      <x:c r="C468" s="59" t="str">
        <x:v>Oficjalna taryfa PSE 2026 (https://www.pse.pl/documents/20182/7005343691/20260116_Tekst_Taryfy_na_2026_tekst_jednolity.pdf), odczyt 11.09.2026: strona 42 wiąże OSD02 z PGE Dystrybucja, strona 43 wymienia Radkowice jako miejsce dostarczania dla OSD02, typu T i grupy I. Strona 46 wskazuje stan tabeli na 03.12.2025 i dopuszcza zmiany umów bez aktualizacji tabeli. Relacja jest więc potwierdzona dla publikacji, nie jako dzisiejszy schemat ruchowy. Nie dowodzi własności pól ani transformatorów.</x:v>
      </x:c>
    </x:row>
    <x:row r="469" ht="38" customHeight="1">
      <x:c r="A469" s="59" t="str">
        <x:v>docs/11_radkowice_evidence_model.md</x:v>
      </x:c>
      <x:c r="B469" s="59" t="str">
        <x:v>Nowy dowód PSE/PGE</x:v>
      </x:c>
      <x:c r="C469" s="59" t="str">
        <x:v>Ponowna próba bezpośredniego pliku mocy PGE: HTTP 200, 346 bajtów i brak sygnatury PDF. Zapisano metadane próby w data/catalog/pge_radkowice_access_2026-09-11.json; żadne wartości mocy z tej odpowiedzi nie weszły do modelu.</x:v>
      </x:c>
    </x:row>
    <x:row r="470" ht="66" customHeight="1">
      <x:c r="A470" s="59" t="str">
        <x:v>docs/11_radkowice_evidence_model.md</x:v>
      </x:c>
      <x:c r="B470" s="59" t="str">
        <x:v>Co reprezentuje graf</x:v>
      </x:c>
      <x:c r="C470" s="59" t="str">
        <x:v>Użytkownik doprecyzował roboczy podział: część 110 kV — PGE, część 220 kV — PSE; granica przypuszczalnie w rejonie transformacji. Zachowano to w data/project/radkowice_user_claims.json i kontekście grafu jako informację użytkownika, nie dowód operatora. Dokładne zaciski, pola oraz właściciel autotransformatora pozostają do potwierdzenia. Wyszukiwanie z 11.09.2026 nie dostarczyło schematu granic dla Radkowic; nie rozstrzygamy tego przez analogię do innych stacji.</x:v>
      </x:c>
    </x:row>
    <x:row r="471" ht="30" customHeight="1">
      <x:c r="A471" s="59" t="str">
        <x:v>docs/11_radkowice_evidence_model.md</x:v>
      </x:c>
      <x:c r="B471" s="59" t="str">
        <x:v>Co reprezentuje graf</x:v>
      </x:c>
      <x:c r="C471" s="59" t="str">
        <x:v>Obiekt/relacja / Znaczenie / Czego nie oznacza</x:v>
      </x:c>
    </x:row>
    <x:row r="472" ht="30" customHeight="1">
      <x:c r="A472" s="59" t="str">
        <x:v>docs/11_radkowice_evidence_model.md</x:v>
      </x:c>
      <x:c r="B472" s="59" t="str">
        <x:v>Co reprezentuje graf</x:v>
      </x:c>
      <x:c r="C472" s="59" t="str">
        <x:v>STATION_REFERENCE / Stacja nazwana w dokumencie / Pełna ewidencja urządzeń</x:v>
      </x:c>
    </x:row>
    <x:row r="473" ht="30" customHeight="1">
      <x:c r="A473" s="59" t="str">
        <x:v>docs/11_radkowice_evidence_model.md</x:v>
      </x:c>
      <x:c r="B473" s="59" t="str">
        <x:v>Co reprezentuje graf</x:v>
      </x:c>
      <x:c r="C473" s="59" t="str">
        <x:v>VOLTAGE_LEVEL_REFERENCE / Potwierdzony poziom 220 lub 110 kV / Konkretna sekcja szyn, pole lub punkt fizyczny</x:v>
      </x:c>
    </x:row>
    <x:row r="474" ht="30" customHeight="1">
      <x:c r="A474" s="59" t="str">
        <x:v>docs/11_radkowice_evidence_model.md</x:v>
      </x:c>
      <x:c r="B474" s="59" t="str">
        <x:v>Co reprezentuje graf</x:v>
      </x:c>
      <x:c r="C474" s="59" t="str">
        <x:v>REPORTED_LINE / Relacja do Kielc, Połańca lub Kielc Piaski opisana w BIP / Znany aktualny stan łączników i obciążalność</x:v>
      </x:c>
    </x:row>
    <x:row r="475" ht="30" customHeight="1">
      <x:c r="A475" s="59" t="str">
        <x:v>docs/11_radkowice_evidence_model.md</x:v>
      </x:c>
      <x:c r="B475" s="59" t="str">
        <x:v>Co reprezentuje graf</x:v>
      </x:c>
      <x:c r="C475" s="59" t="str">
        <x:v>PROJECT_RECORD / Wiersz PSE dotyczący BESS / Ostatecznie rozstrzygnięta tożsamość inwestycji we wszystkich źródłach</x:v>
      </x:c>
    </x:row>
    <x:row r="476" ht="30" customHeight="1">
      <x:c r="A476" s="59" t="str">
        <x:v>docs/11_radkowice_evidence_model.md</x:v>
      </x:c>
      <x:c r="B476" s="59" t="str">
        <x:v>Co reprezentuje graf</x:v>
      </x:c>
      <x:c r="C476" s="59" t="str">
        <x:v>PLANNED_CONNECTION / Wskazanie Radkowic 220 kV i umowy przyłączeniowej / Potwierdzone wykonanie przyłączenia</x:v>
      </x:c>
    </x:row>
    <x:row r="477" ht="30" customHeight="1">
      <x:c r="A477" s="59" t="str">
        <x:v>docs/11_radkowice_evidence_model.md</x:v>
      </x:c>
      <x:c r="B477" s="59" t="str">
        <x:v>Co reprezentuje graf</x:v>
      </x:c>
      <x:c r="C477" s="59" t="str">
        <x:v>DELIVERY_POINT_REFERENCE / Miejsce dostarczania z taryfy / Identyfikator konkretnego transformatora</x:v>
      </x:c>
    </x:row>
    <x:row r="478" ht="30" customHeight="1">
      <x:c r="A478" s="59" t="str">
        <x:v>docs/11_radkowice_evidence_model.md</x:v>
      </x:c>
      <x:c r="B478" s="59" t="str">
        <x:v>Co reprezentuje graf</x:v>
      </x:c>
      <x:c r="C478" s="59" t="str">
        <x:v>TARIFF_RECIPIENT / Odbiorca usług wskazany przez PSE / Właściciel całej stacji</x:v>
      </x:c>
    </x:row>
    <x:row r="479" ht="52" customHeight="1">
      <x:c r="A479" s="59" t="str">
        <x:v>docs/11_radkowice_evidence_model.md</x:v>
      </x:c>
      <x:c r="B479" s="59" t="str">
        <x:v>Co reprezentuje graf</x:v>
      </x:c>
      <x:c r="C479" s="59" t="str">
        <x:v>flowchart LR BESS[3 wiersze BESS PSE] --&gt;|planowane przyłączenie| V220[Radkowice: poziom 220 kV] RAD[SE Radkowice] --- V220 RAD --- V110[Poziom 110 kV — szczegóły nieznane] V220 ---|relacje opisane w BIP| NET[Kielce / Połaniec / Kielce Piaski] MD[Radkowice: miejsce dostarczania] -. odniesienie nazwy .-&gt; RAD MD --&gt;|odbiorca taryfowy| PGE[PGE Dystrybucja]</x:v>
      </x:c>
    </x:row>
    <x:row r="480" ht="38" customHeight="1">
      <x:c r="A480" s="59" t="str">
        <x:v>docs/11_radkowice_evidence_model.md</x:v>
      </x:c>
      <x:c r="B480" s="59" t="str">
        <x:v>Co reprezentuje graf</x:v>
      </x:c>
      <x:c r="C480" s="59" t="str">
        <x:v>Strzałki opisują relacje dokumentacyjne, nie kierunki przepływów energii. Schemat nie wstawia brakujących transformatorów ani feederów. Dla grafu obowiązuje power_flow_ready=false.</x:v>
      </x:c>
    </x:row>
    <x:row r="481" ht="30" customHeight="1">
      <x:c r="A481" s="59" t="str">
        <x:v>docs/11_radkowice_evidence_model.md</x:v>
      </x:c>
      <x:c r="B481" s="59" t="str">
        <x:v>Uruchamianie i kontrola</x:v>
      </x:c>
      <x:c r="C481" s="59" t="str">
        <x:v>Po przywróceniu wcześniejszych snapshotów XLSX/PDF i taryfy:</x:v>
      </x:c>
    </x:row>
    <x:row r="482" ht="30" customHeight="1">
      <x:c r="A482" s="59" t="str">
        <x:v>docs/11_radkowice_evidence_model.md</x:v>
      </x:c>
      <x:c r="B482" s="59" t="str">
        <x:v>Uruchamianie i kontrola</x:v>
      </x:c>
      <x:c r="C482" s="59" t="str">
        <x:v>python scripts/build_radkowice_graph.py python -m unittest discover -s tests -p test_evidence_graph.py -v</x:v>
      </x:c>
    </x:row>
    <x:row r="483" ht="52" customHeight="1">
      <x:c r="A483" s="59" t="str">
        <x:v>docs/11_radkowice_evidence_model.md</x:v>
      </x:c>
      <x:c r="B483" s="59" t="str">
        <x:v>Uruchamianie i kontrola</x:v>
      </x:c>
      <x:c r="C483" s="59" t="str">
        <x:v>Wynik: data/reference/radkowice_evidence_graph_v1.json. Każdy obiekt i relacja zawiera źródło, hash snapshotu, lokalizator, datę stanu i pobrania. Nieznany okres obowiązywania pozostaje null. Generator sprawdza hashe PDF oraz porównuje zapisany wycinek projektów z ponownym odczytem oryginalnego XLSX. Zmieniona próbka nie przechodzi bez ponownej weryfikacji.</x:v>
      </x:c>
    </x:row>
    <x:row r="484" ht="52" customHeight="1">
      <x:c r="A484" s="59" t="str">
        <x:v>docs/11_radkowice_evidence_model.md</x:v>
      </x:c>
      <x:c r="B484" s="59" t="str">
        <x:v>Uruchamianie i kontrola</x:v>
      </x:c>
      <x:c r="C484" s="59" t="str">
        <x:v>Walidator wykrywa brak dowodu, duplikaty ID, nieistniejące końce relacji, sprzeczne oznaczenie przyłączenia planowanego i próbę uznania grafu za model rozpływowy. Nie jest uniwersalnym walidatorem przyszłego schematu; nie potwierdza jeszcze poprawności każdej wartości elektrycznej ani kompletności topologii.</x:v>
      </x:c>
    </x:row>
    <x:row r="485" ht="66" customHeight="1">
      <x:c r="A485" s="59" t="str">
        <x:v>docs/11_radkowice_evidence_model.md</x:v>
      </x:c>
      <x:c r="B485" s="59" t="str">
        <x:v>Następny etap</x:v>
      </x:c>
      <x:c r="C485" s="59" t="str">
        <x:v>Rozstrzygnąć legalny zakres użycia źródeł pilota, uzyskać potwierdzone dane PGE i rozwinąć model obserwacji oraz wniosków. KSE-014 i KSE-018 pozostają osobnymi zadaniami pełnego pilota; prototyp nie spełnia wszystkich ich kryteriów. Taryfa nie zastępuje tych braków. Nowy PDF zachowano w data/archives/radkowice_tariff_2026-09-11.zip; manifest data/catalog/radkowice_tariff_archive.json wskazuje sprawdzone hashe. Paczka pozostaje lokalna, bez potwierdzonej kopii zewnętrznej.</x:v>
      </x:c>
    </x:row>
    <x:row r="486" ht="38" customHeight="1">
      <x:c r="A486" s="59" t="str">
        <x:v>docs/11_radkowice_evidence_model.md</x:v>
      </x:c>
      <x:c r="B486" s="59" t="str">
        <x:v>Wersja v2 — 11.09.2026</x:v>
      </x:c>
      <x:c r="C486" s="59" t="str">
        <x:v>Uzupełnienie 110 kV (12_radkowice_110kv_research.md) rozszerza graf do 13 obiektów i 13 relacji. Polecenie bez argumentu generuje teraz v2; --version 1 odtwarza zachowaną wersję v1. Dokumenty prywatne nie wchodzą do tego grafu.</x:v>
      </x:c>
    </x:row>
    <x:row r="487" ht="66" customHeight="1">
      <x:c r="A487" s="59" t="str">
        <x:v>docs/12_radkowice_110kv_research.md</x:v>
      </x:c>
      <x:c r="B487" s="59" t="str">
        <x:v>Radkowice–Wolica: dowód dla sieci 110 kV</x:v>
      </x:c>
      <x:c r="C487" s="59" t="str">
        <x:v>Weryfikacja: 11.09.2026. Decyzja Wojewody Świętokrzyskiego nr 3/2024, znak SPN.III.747.20.2024 (https://bip.kielce.uw.gov.pl/download/2/33548/decprzesylnr324.pdf), wydana 29.11.2024 na rzecz PGE Dystrybucja, opisuje przebudowę istniejącej linii 110 kV SE Radkowice–GPZ Wolica. Strony 1–3 zawierają zakres i parametry. Nie potwierdza to ukończenia robót ani własności całej stacji Radkowice.</x:v>
      </x:c>
    </x:row>
    <x:row r="488" ht="52" customHeight="1">
      <x:c r="A488" s="59" t="str">
        <x:v>docs/12_radkowice_110kv_research.md</x:v>
      </x:c>
      <x:c r="B488" s="59" t="str">
        <x:v>Radkowice–Wolica: dowód dla sieci 110 kV</x:v>
      </x:c>
      <x:c r="C488" s="59" t="str">
        <x:v>Zakres tej decyzji obejmuje 991,8 m, jeden tor i planowane przewody AFLs-10 300 mm². To długość odcinka objętego decyzją, nie długość całej linii. Nie przeliczamy przekroju przewodów na dostępną moc przyłączeniową bez warunków obciążalności, pozostałych ograniczeń i modelu pracy sieci.</x:v>
      </x:c>
    </x:row>
    <x:row r="489" ht="52" customHeight="1">
      <x:c r="A489" s="59" t="str">
        <x:v>docs/12_radkowice_110kv_research.md</x:v>
      </x:c>
      <x:c r="B489" s="59" t="str">
        <x:v>Radkowice–Wolica: dowód dla sieci 110 kV</x:v>
      </x:c>
      <x:c r="C489" s="59" t="str">
        <x:v>Wersja radkowice_documentary_v2 zawiera 13 obiektów i 13 relacji. Dodano odniesienie do Wolicy, linię 110 kV oraz osobny rekord inwestycji. PGE występuje jako wnioskodawca inwestycji. Planowane parametry pozostają w rekordzie inwestycji; aktualna obciążalność i stan realizacji są nieznane. Poprzedni graf v1 pozostaje zachowany.</x:v>
      </x:c>
    </x:row>
    <x:row r="490" ht="30" customHeight="1">
      <x:c r="A490" s="59" t="str">
        <x:v>docs/12_radkowice_110kv_research.md</x:v>
      </x:c>
      <x:c r="B490" s="59" t="str">
        <x:v>Radkowice–Wolica: dowód dla sieci 110 kV</x:v>
      </x:c>
      <x:c r="C490" s="59" t="str">
        <x:v>Odtworzenie po przywróceniu wszystkich źródeł:</x:v>
      </x:c>
    </x:row>
    <x:row r="491" ht="30" customHeight="1">
      <x:c r="A491" s="59" t="str">
        <x:v>docs/12_radkowice_110kv_research.md</x:v>
      </x:c>
      <x:c r="B491" s="59" t="str">
        <x:v>Radkowice–Wolica: dowód dla sieci 110 kV</x:v>
      </x:c>
      <x:c r="C491" s="59" t="str">
        <x:v>python scripts/build_radkowice_graph.py --version 2 python -m unittest discover -s tests -v</x:v>
      </x:c>
    </x:row>
    <x:row r="492" ht="52" customHeight="1">
      <x:c r="A492" s="59" t="str">
        <x:v>docs/12_radkowice_110kv_research.md</x:v>
      </x:c>
      <x:c r="B492" s="59" t="str">
        <x:v>Radkowice–Wolica: dowód dla sieci 110 kV</x:v>
      </x:c>
      <x:c r="C492" s="59" t="str">
        <x:v>Manifest źródła: data/catalog/probe_results_radkowice_wolica_2026-09-11.json. Paczka źródłowa: data/archives/radkowice_wolica_2026-09-11.zip; manifest data/catalog/radkowice_wolica_archive.json. Zachowano bajty i sprawdzono hash. Nie potwierdzono zewnętrznej kopii zapasowej.</x:v>
      </x:c>
    </x:row>
    <x:row r="493" ht="52" customHeight="1">
      <x:c r="A493" s="59" t="str">
        <x:v>docs/12_radkowice_110kv_research.md</x:v>
      </x:c>
      <x:c r="B493" s="59" t="str">
        <x:v>Radkowice–Wolica: dowód dla sieci 110 kV</x:v>
      </x:c>
      <x:c r="C493" s="59" t="str">
        <x:v>Plik PDF pobrano bez logowania, z bezpośredniego adresu BIP. Nie potwierdzono API dla tej kolekcji ani licencji na cały zbiór/załączniki. Jednorazowy odczyt nie jest wdrożeniem cyklicznego scrapera. Przed automatyzacją trzeba ustalić warunki ponownego wykorzystywania i limity.</x:v>
      </x:c>
    </x:row>
    <x:row r="494" ht="38" customHeight="1">
      <x:c r="A494" s="59" t="str">
        <x:v>docs/12_radkowice_110kv_research.md</x:v>
      </x:c>
      <x:c r="B494" s="59" t="str">
        <x:v>Radkowice–Wolica: dowód dla sieci 110 kV</x:v>
      </x:c>
      <x:c r="C494" s="59" t="str">
        <x:v>Pozostałe tropy wyszukiwarki: decyzja 2/2024 oraz projekt planu rozwoju PGE 2026–2031. Pełnych dokumentów tych dwóch tropów nie udało się odczytać w tym kroku; dat i wartości z ich snippetów nie włączono do modelu.</x:v>
      </x:c>
    </x:row>
    <x:row r="495" ht="38" customHeight="1">
      <x:c r="A495" s="59" t="str">
        <x:v>docs/13_shared_connection_model.md</x:v>
      </x:c>
      <x:c r="B495" s="59" t="str">
        <x:v>Wspólne przyłącze — model dokumentacyjny</x:v>
      </x:c>
      <x:c r="C495" s="59" t="str">
        <x:v>12.09.2026 (prace rozpoczęte 11.09). Moduł grid_engine/shared_connection.py działa bez bazy, internetu i nowych zależności. Jest ograniczonym modelem ewidencji miejsc, nie silnikiem oceny przepływów ani rezerwy mocy.</x:v>
      </x:c>
    </x:row>
    <x:row r="496" ht="52" customHeight="1">
      <x:c r="A496" s="59" t="str">
        <x:v>docs/13_shared_connection_model.md</x:v>
      </x:c>
      <x:c r="B496" s="59" t="str">
        <x:v>Dane wejściowe</x:v>
      </x:c>
      <x:c r="C496" s="59" t="str">
        <x:v>SharedConnectionSnapshot przechowuje ID przyłącza, ID snapshotu, datę zestawienia, scenariusz CURRENT lub PLANNED, maksymalną liczbę miejsc, przypisania projektów oraz odrębne, opcjonalne limity importu/eksportu w MW. Liczba miejsc nie określa liczby słupów, obciążalności mostu ani limitu mocy pojedynczego projektu.</x:v>
      </x:c>
    </x:row>
    <x:row r="497" ht="66" customHeight="1">
      <x:c r="A497" s="59" t="str">
        <x:v>docs/13_shared_connection_model.md</x:v>
      </x:c>
      <x:c r="B497" s="59" t="str">
        <x:v>Dane wejściowe</x:v>
      </x:c>
      <x:c r="C497" s="59" t="str">
        <x:v>Każda wartość i przypisanie mają dowód: ID źródła, lokalizator, hash zachowanej wersji, datę źródłową i odczytu, pochodzenie DOCUMENT/USER_PROVIDED oraz PUBLIC/PRIVATE. Oznaczenie DOCUMENT nie weryfikuje podpisu ani autentyczności. Znane parametry są REPORTED; nieznane wartości pozostają null. Decimal jest wymagany dla MW i zapisywany w wyniku jako tekst dziesiętny wraz z jednostką.</x:v>
      </x:c>
    </x:row>
    <x:row r="498" ht="52" customHeight="1">
      <x:c r="A498" s="59" t="str">
        <x:v>docs/13_shared_connection_model.md</x:v>
      </x:c>
      <x:c r="B498" s="59" t="str">
        <x:v>Dane wejściowe</x:v>
      </x:c>
      <x:c r="C498" s="59" t="str">
        <x:v>Przypisanie dotyczy konkretnego przyłącza i scenariusza. Wpis na poziomie stacji nie jest wystarczający do przypisania do wspólnego mostu. ID miejsca może pozostać nieznane. Potwierdzone wskazanie projektu w scenariuszu PLANNED nie oznacza fizycznego przyłączenia. Model liczy przypisania, nie realizację budowy ani moc zarezerwowaną umową.</x:v>
      </x:c>
    </x:row>
    <x:row r="499" ht="94" customHeight="1">
      <x:c r="A499" s="59" t="str">
        <x:v>docs/13_shared_connection_model.md</x:v>
      </x:c>
      <x:c r="B499" s="59" t="str">
        <x:v>Wynik i reguły</x:v>
      </x:c>
      <x:c r="C499" s="59" t="str">
        <x:v>- known_assigned_positions: liczba jednoznacznych, potwierdzonych przypisań do zidentyfikowanych miejsc. Zero może oznaczać brak takich danych. - known_distinct_projects: liczba unikalnych ID z potwierdzonym wskazaniem przyłącza, także jeśli numer miejsca jest nieznany. Rozstrzygnięcie tożsamości projektu jest obowiązkiem wcześniejszej warstwy. - unassigned_positions: różnica między maksimum a przypisaniami, wyłącznie przy znanej liczbie miejsc, udokumentowanej deklaracji kompletności i braku nierozstrzygniętych przypisań. W przeciwnym razie null z przyczyną. To liczba miejsc w ewidencji, nie oferta przyłączenia. - Limity importu i eksportu są</x:v>
      </x:c>
    </x:row>
    <x:row r="500" ht="38" customHeight="1">
      <x:c r="A500" s="59" t="str">
        <x:v>docs/13_shared_connection_model.md</x:v>
      </x:c>
      <x:c r="B500" s="59" t="str">
        <x:v>Wynik i reguły</x:v>
      </x:c>
      <x:c r="C500" s="59" t="str">
        <x:v>niezależnymi wartościami źródłowymi. Zero jest różne od braku danych. - Dostępna moc importowa/eksportowa i możliwość rozpływu pozostają nieznane niezależnie od liczby miejsc.</x:v>
      </x:c>
    </x:row>
    <x:row r="501" ht="52" customHeight="1">
      <x:c r="A501" s="59" t="str">
        <x:v>docs/13_shared_connection_model.md</x:v>
      </x:c>
      <x:c r="B501" s="59" t="str">
        <x:v>Wynik i reguły</x:v>
      </x:c>
      <x:c r="C501" s="59" t="str">
        <x:v>Sprzeczne lub powtórzone przypisania do jednego miejsca powodują błąd; nie ma cichej deduplikacji. Ten sam projekt może zajmować więcej niż jedno miejsce: wtedy liczniki projektów i miejsc są różne. Niedozwolone są przypisania do innego przyłącza lub scenariusza, ujemne liczby, niefinitywne MW i brak dowodów.</x:v>
      </x:c>
    </x:row>
    <x:row r="502" ht="66" customHeight="1">
      <x:c r="A502" s="59" t="str">
        <x:v>docs/13_shared_connection_model.md</x:v>
      </x:c>
      <x:c r="B502" s="59" t="str">
        <x:v>Czas i prywatność</x:v>
      </x:c>
      <x:c r="C502" s="59" t="str">
        <x:v>W samodzielnym zestawieniu as_of jest datą zestawienia analityka. Nie dowodzi aktualności każdego dokumentu. Wyboru wersji i oceny kompletności dokonuje wcześniejsza warstwa; moduł nie scala historii ani nie rozstrzyga sprzecznych okresów. Pochodzenie każdej informacji pozostaje dostępne w wyniku. Integracja historyczna opisana w historii obserwacji (14_observation_history.md) rozdziela known_at i effective_on; w jej wyniku as_of jest dniem ocenianego stanu, czyli effective_on.</x:v>
      </x:c>
    </x:row>
    <x:row r="503" ht="52" customHeight="1">
      <x:c r="A503" s="59" t="str">
        <x:v>docs/13_shared_connection_model.md</x:v>
      </x:c>
      <x:c r="B503" s="59" t="str">
        <x:v>Czas i prywatność</x:v>
      </x:c>
      <x:c r="C503" s="59" t="str">
        <x:v>Każde prywatne wejście, także odrzucone z pewnego licznika, oznacza cały wynik jako PRIVATE. require_public_result odmawia eksportu takiego wyniku. Jest to kontrola logiczna biblioteki, nie uwierzytelnianie ani pełny system uprawnień. Produkcyjna integracja, automatyczne dziedziczenie dostępu w całym systemie i trwała historia pozostają otwarte w KSE-033.</x:v>
      </x:c>
    </x:row>
    <x:row r="504" ht="52" customHeight="1">
      <x:c r="A504" s="59" t="str">
        <x:v>docs/13_shared_connection_model.md</x:v>
      </x:c>
      <x:c r="B504" s="59" t="str">
        <x:v>Walidacja i dalsza praca</x:v>
      </x:c>
      <x:c r="C504" s="59" t="str">
        <x:v>Testy używają wyłącznie jawnie syntetycznych danych. Sprawdzają brak kompletności, nieznane miejsca, duplikaty, zakres przyłącza/scenariusza, wartości graniczne, rozdzielenie MW i liczby miejsc oraz prywatność wyniku. Nie wprowadzono syntetycznych obiektów do grafu Radkowic.</x:v>
      </x:c>
    </x:row>
    <x:row r="505" ht="30" customHeight="1">
      <x:c r="A505" s="59" t="str">
        <x:v>docs/13_shared_connection_model.md</x:v>
      </x:c>
      <x:c r="B505" s="59" t="str">
        <x:v>Walidacja i dalsza praca</x:v>
      </x:c>
      <x:c r="C505" s="59" t="str">
        <x:v>python -m unittest discover -s tests -p test_shared_connection.py -v</x:v>
      </x:c>
    </x:row>
    <x:row r="506" ht="52" customHeight="1">
      <x:c r="A506" s="59" t="str">
        <x:v>docs/13_shared_connection_model.md</x:v>
      </x:c>
      <x:c r="B506" s="59" t="str">
        <x:v>Odtwarzanie z zapisanego wejścia</x:v>
      </x:c>
      <x:c r="C506" s="59" t="str">
        <x:v>scripts/analyze_shared_connection.py odczytuje jeden wskazany JSON odpowiadający polom SharedConnectionSnapshot. Dowody mają pola klasy Evidence, a przypisania klasy Assignment. Nieznane dodatkowe pola są odrzucane. Limity MW można przekazać jako liczby dziesiętne lub tekst dziesiętny; nie używa się binarnego float do ich odczytu.</x:v>
      </x:c>
    </x:row>
    <x:row r="507" ht="30" customHeight="1">
      <x:c r="A507" s="59" t="str">
        <x:v>docs/13_shared_connection_model.md</x:v>
      </x:c>
      <x:c r="B507" s="59" t="str">
        <x:v>Odtwarzanie z zapisanego wejścia</x:v>
      </x:c>
      <x:c r="C507" s="59" t="str">
        <x:v>python scripts/analyze_shared_connection.py --input SCIEZKA_WEJSCIA.json --output SCIEZKA_NOWEGO_WYNIKU.json</x:v>
      </x:c>
    </x:row>
    <x:row r="508" ht="80" customHeight="1">
      <x:c r="A508" s="59" t="str">
        <x:v>docs/13_shared_connection_model.md</x:v>
      </x:c>
      <x:c r="B508" s="59" t="str">
        <x:v>Odtwarzanie z zapisanego wejścia</x:v>
      </x:c>
      <x:c r="C508" s="59" t="str">
        <x:v>Polecenie nie pobiera danych ani nie przeszukuje folderów. Wskazuje hashe wejścia, modułu i skryptu. Ponowne uruchomienie z tymi samymi bajtami daje identyczny wynik. Istniejący plik wyjściowy nie jest nadpisywany. Wynik prywatny można zapisać wyłącznie w data/private/; również samo pochodzenie wejścia z tego katalogu wymusza prywatność. JSON oraz dokumenty źródłowe należy przechowywać jako wersjonowany lokalny snapshot z niezależną kopią. Skrypt nie sprawdza automatycznie treści wszystkich dokumentów wskazanych przez hashe.</x:v>
      </x:c>
    </x:row>
    <x:row r="509" ht="66" customHeight="1">
      <x:c r="A509" s="59" t="str">
        <x:v>docs/13_shared_connection_model.md</x:v>
      </x:c>
      <x:c r="B509" s="59" t="str">
        <x:v>Kontrola wejścia — 15.09.2026</x:v>
      </x:c>
      <x:c r="C509" s="59" t="str">
        <x:v>Powtórzone nazwy pól JSON są odrzucane na każdym poziomie, również wewnątrz dowodów i przypisań. Dotyczy to także powtórzenia tej samej wartości. Parser nie wybiera ostatniej wersji liczby miejsc, identyfikatora ani klasy dostępu. Błąd występuje przed utworzeniem pliku wynikowego. Poprawne wejścia zachowują dotychczasową metodę obliczeń; zmiana walidacji jest identyfikowana hashem skryptu w wyniku i wersją Git. Raport Excel z 12.09 pozostaje historycznym snapshotem, bez tej późniejszej aktualizacji.</x:v>
      </x:c>
    </x:row>
    <x:row r="510" ht="52" customHeight="1">
      <x:c r="A510" s="59" t="str">
        <x:v>docs/13_shared_connection_model.md</x:v>
      </x:c>
      <x:c r="B510" s="59" t="str">
        <x:v>Kontrola wejścia — 15.09.2026</x:v>
      </x:c>
      <x:c r="C510" s="59" t="str">
        <x:v>Można rozwijać tę ewidencję bez ekspertyzy wpływu na KSE. Brak ekspertyzy ogranicza wnioski elektryczne, nie blokuje modelowania dokumentów, statusów i powiązań. Kolejne dane techniczne mogą doprecyzować konstrukcję przyłącza; same nie zastąpią topologii ruchowej, obciążeń, parametrów sieci i niezależnej walidacji.</x:v>
      </x:c>
    </x:row>
    <x:row r="511" ht="38" customHeight="1">
      <x:c r="A511" s="59" t="str">
        <x:v>docs/14_observation_history.md</x:v>
      </x:c>
      <x:c r="B511" s="59" t="str">
        <x:v>Historia obserwacji — prototyp v1</x:v>
      </x:c>
      <x:c r="C511" s="59" t="str">
        <x:v>Data: 2026-09-15. Zakres: dokumentacyjne obserwacje REPORTED / UNKNOWN, bez bazy produkcyjnej, automatycznej aktualizacji i obliczania mocy.</x:v>
      </x:c>
    </x:row>
    <x:row r="512" ht="52" customHeight="1">
      <x:c r="A512" s="59" t="str">
        <x:v>docs/14_observation_history.md</x:v>
      </x:c>
      <x:c r="B512" s="59" t="str">
        <x:v>Dwa niezależne pytania</x:v>
      </x:c>
      <x:c r="C512" s="59" t="str">
        <x:v>known_at określa, co było zapisane w tej historii do danego momentu. effective_on określa dzień, którego dotyczy analizowany stan. recorded_at to czas pierwszego wpisania obserwacji do historii, nie data pobrania dokumentu. Nie cofamy go do daty źródła. retrieval_date i source_date pozostają oddzielnie w dowodzie.</x:v>
      </x:c>
    </x:row>
    <x:row r="513" ht="52" customHeight="1">
      <x:c r="A513" s="59" t="str">
        <x:v>docs/14_observation_history.md</x:v>
      </x:c>
      <x:c r="B513" s="59" t="str">
        <x:v>Dwa niezależne pytania</x:v>
      </x:c>
      <x:c r="C513" s="59" t="str">
        <x:v>Przedziały ważności mają postać [valid_from, valid_to) — koniec jest wyłączony. Brak końca nie oznacza bezterminowej ważności: ta wymaga jawnego explicitly_open_ended oraz dowodu uzasadniającego takie twierdzenie. Brak rozstrzygniętej ważności powoduje UNKNOWN w odpowiedzi o stan dnia, ale oryginalne twierdzenie źródła nadal można odczytać.</x:v>
      </x:c>
    </x:row>
    <x:row r="514" ht="66" customHeight="1">
      <x:c r="A514" s="59" t="str">
        <x:v>docs/14_observation_history.md</x:v>
      </x:c>
      <x:c r="B514" s="59" t="str">
        <x:v>Korekty, konflikty i prywatność</x:v>
      </x:c>
      <x:c r="C514" s="59" t="str">
        <x:v>Nowy wpis nie zmienia poprzedniego. Korekta wskazuje supersedes, podaje powód i musi pochodzić z tej samej serii źródłowej oraz dotyczyć tego samego obiektu, pola, scenariusza i jednostki. Łańcuch korekt nie może się rozgałęziać. Zapytanie sprzed korekty nadal zwraca ówczesną wiedzę. Zwykła zmiana statusu projektu nie jest automatycznie korektą błędu i wymaga własnego dowodu czasu.</x:v>
      </x:c>
    </x:row>
    <x:row r="515" ht="66" customHeight="1">
      <x:c r="A515" s="59" t="str">
        <x:v>docs/14_observation_history.md</x:v>
      </x:c>
      <x:c r="B515" s="59" t="str">
        <x:v>Korekty, konflikty i prywatność</x:v>
      </x:c>
      <x:c r="C515" s="59" t="str">
        <x:v>Różne źródła zachowują niezależne obserwacje. Sprzeczne wartości obowiązujące w tym samym dniu dają CONFLICT, bez wyboru najnowszej i bez uśredniania. Niepewne daty lub jawny UNKNOWN nie są pomijane dla uzyskania pewnego wyniku. Prywatny dowód widoczny w historii danego pola nadaje całemu wynikowi PRIVATE, również po korekcie. Przyszła prywatna obserwacja nie jest ujawniana w zapytaniu o wcześniejszy stan wiedzy. To kontrola eksportu, nie system uprawnień użytkowników.</x:v>
      </x:c>
    </x:row>
    <x:row r="516" ht="66" customHeight="1">
      <x:c r="A516" s="59" t="str">
        <x:v>docs/14_observation_history.md</x:v>
      </x:c>
      <x:c r="B516" s="59" t="str">
        <x:v>Próba Radkowice na rzeczywistych danych</x:v>
      </x:c>
      <x:c r="C516" s="59" t="str">
        <x:v>Zarejestrowano trzy obserwacje statusu z zachowanego wykazu PSE, stan na 2026-07-31, pobranego 2026-09-10. Odtworzenie sprawdza SHA-256 oryginalnego XLSX. Dokładny URL, data pobrania, hash, arkusz i komórka pozostają w pliku data/reference/radkowice_observation_history_v1.json i katalogu PSE_PIPELINE. To odtworzenie zachowanego źródła, nie ponowna weryfikacja strony 15 września.</x:v>
      </x:c>
    </x:row>
    <x:row r="517" ht="52" customHeight="1">
      <x:c r="A517" s="59" t="str">
        <x:v>docs/14_observation_history.md</x:v>
      </x:c>
      <x:c r="B517" s="59" t="str">
        <x:v>Próba Radkowice na rzeczywistych danych</x:v>
      </x:c>
      <x:c r="C517" s="59" t="str">
        <x:v>Identyfikatory odnoszą się do wierszy źródła, nie do ostatecznie scalonych projektów. Wszystkie trzy wpisy dokumentują publikowane umowy przyłączeniowe; nie dowodzą fizycznego przyłączenia. Jeden snapshot nie pozwala odtworzyć zmian statusów. Dla pytania o stan na 2026-09-15 wynik pozostaje UNKNOWN, ponieważ nie potwierdzono ciągłej ważności tych twierdzeń.</x:v>
      </x:c>
    </x:row>
    <x:row r="518" ht="30" customHeight="1">
      <x:c r="A518" s="59" t="str">
        <x:v>docs/14_observation_history.md</x:v>
      </x:c>
      <x:c r="B518" s="59" t="str">
        <x:v>Próba Radkowice na rzeczywistych danych</x:v>
      </x:c>
      <x:c r="C518" s="59" t="str">
        <x:v>Odtworzenie z katalogu repozytorium:</x:v>
      </x:c>
    </x:row>
    <x:row r="519" ht="30" customHeight="1">
      <x:c r="A519" s="59" t="str">
        <x:v>docs/14_observation_history.md</x:v>
      </x:c>
      <x:c r="B519" s="59" t="str">
        <x:v>Próba Radkowice na rzeczywistych danych</x:v>
      </x:c>
      <x:c r="C519" s="59" t="str">
        <x:v>python -m scripts.build_radkowice_history --recorded-at 2026-09-15T11:21:36Z</x:v>
      </x:c>
    </x:row>
    <x:row r="520" ht="52" customHeight="1">
      <x:c r="A520" s="59" t="str">
        <x:v>docs/14_observation_history.md</x:v>
      </x:c>
      <x:c r="B520" s="59" t="str">
        <x:v>Próba Radkowice na rzeczywistych danych</x:v>
      </x:c>
      <x:c r="C520" s="59" t="str">
        <x:v>Ten znacznik odtwarza istniejącą pierwszą rejestrację. Nowe źródła muszą otrzymać rzeczywisty czas nowego zapisu. Identyczne odtworzenie jest dozwolone; zmienione bajty wymagają nowej ścieżki --output, bez nadpisania poprzedniej. Potrzebny jest zachowany surowy XLSX, nie sam URL i hash. Oddzielna kopia archiwum poza komputerem nadal nie jest potwierdzona.</x:v>
      </x:c>
    </x:row>
    <x:row r="521" ht="66" customHeight="1">
      <x:c r="A521" s="59" t="str">
        <x:v>docs/14_observation_history.md</x:v>
      </x:c>
      <x:c r="B521" s="59" t="str">
        <x:v>Ograniczenia i kolejny krok</x:v>
      </x:c>
      <x:c r="C521" s="59" t="str">
        <x:v>Moduł operuje na niezmiennych obiektach w pamięci; przykład zapisuje jawny snapshot JSON. Nie ma jeszcze transakcyjnego rejestru ani automatycznego porównania kolejnych publikacji. Integracja z ewidencją przypisań jest opisana poniżej. Kolejność czasu jest walidowana, lecz biblioteka nie uwierzytelnia zegara. Wartości są tekstem normalizowanym na wejściu; jednostki i scenariusze rozdzielają klucze. CALCULATED / ESTIMATED / INFERRED wymagają osobnego kontraktu metod i wejść.</x:v>
      </x:c>
    </x:row>
    <x:row r="522" ht="38" customHeight="1">
      <x:c r="A522" s="59" t="str">
        <x:v>docs/14_observation_history.md</x:v>
      </x:c>
      <x:c r="B522" s="59" t="str">
        <x:v>Ograniczenia i kolejny krok</x:v>
      </x:c>
      <x:c r="C522" s="59" t="str">
        <x:v>Integrację historii z ewidencją przypisań dodano w kolejnym przyroście poniżej. Nie wymaga to ekspertyzy wpływu; nie uprawnia do wyliczania rezerwy MW ani prawdopodobieństwa przyłączenia.</x:v>
      </x:c>
    </x:row>
    <x:row r="523" ht="66" customHeight="1">
      <x:c r="A523" s="59" t="str">
        <x:v>docs/14_observation_history.md</x:v>
      </x:c>
      <x:c r="B523" s="59" t="str">
        <x:v>Ograniczenia i kolejny krok</x:v>
      </x:c>
      <x:c r="C523" s="59" t="str">
        <x:v>Walidacja 2026-09-15: 64 testy Python i 8 testów generatora raportu — wszystkie przeszły. Obejmuje to odtworzenie trzech wpisów z zachowanego XLSX, ochronę przed nadpisaniem, korekty, konflikty, granice dat i prywatność. Kontrola git diff --check nie wykazała błędów. Raport Excel z 12 września pozostaje historycznym snapshotem; nowy dokument jest już na liście wejść generatora do kolejnego odświeżenia raportu.</x:v>
      </x:c>
    </x:row>
    <x:row r="524" ht="38" customHeight="1">
      <x:c r="A524" s="59" t="str">
        <x:v>docs/14_observation_history.md</x:v>
      </x:c>
      <x:c r="B524" s="59" t="str">
        <x:v>Integracja z przypisaniami — 2026-09-15</x:v>
      </x:c>
      <x:c r="C524" s="59" t="str">
        <x:v>grid_engine/historical_assignments.py łączy zapytanie as_known z istniejącym licznikiem summarize. Przyjmuje pełną historię oraz identyfikator przyłącza, scenariusz CURRENT / PLANNED, moment wiedzy i dzień ocenianego stanu.</x:v>
      </x:c>
    </x:row>
    <x:row r="525" ht="66" customHeight="1">
      <x:c r="A525" s="59" t="str">
        <x:v>docs/14_observation_history.md</x:v>
      </x:c>
      <x:c r="B525" s="59" t="str">
        <x:v>Integracja z przypisaniami — 2026-09-15</x:v>
      </x:c>
      <x:c r="C525" s="59" t="str">
        <x:v>Kontrakt wejścia obserwacji: entity_id to ID wspólnego przyłącza, field = position_project:&lt;position_id&gt;, value to ID przypisanego projektu, unit = null. UNKNOWN pozostaje null. Takie przypisanie musi wynikać z dowodu dotyczącego konkretnego miejsca. Publikowana nazwa stacji lub bliskość projektu nie wystarczają. Ten kontrakt opisuje jeden projekt na miejsce; jeden projekt może zajmować kilka miejsc. Nie mapujemy nieznanych miejsc na sztuczne identyfikatory.</x:v>
      </x:c>
    </x:row>
    <x:row r="526" ht="66" customHeight="1">
      <x:c r="A526" s="59" t="str">
        <x:v>docs/14_observation_history.md</x:v>
      </x:c>
      <x:c r="B526" s="59" t="str">
        <x:v>Integracja z przypisaniami — 2026-09-15</x:v>
      </x:c>
      <x:c r="C526" s="59" t="str">
        <x:v>Do licznika trafia tylko rozstrzygnięta wartość z dokumentem i ustaloną ważnością. Sam USER_PROVIDED zachowuje źródłowe twierdzenie, ale wymaga dokumentacyjnego potwierdzenia. Wszystkie dowody, również zgodne, sprzeczne, prywatne i skorygowane, pozostają w position_history oraz ogólnej liście evidence. Pojedynczy dowód w strukturze Assignment jest odnośnikiem reprezentatywnym, nie wyborem źródła rozstrzygającym konflikt. Prywatność dziedziczy cały wynik.</x:v>
      </x:c>
    </x:row>
    <x:row r="527" ht="52" customHeight="1">
      <x:c r="A527" s="59" t="str">
        <x:v>docs/14_observation_history.md</x:v>
      </x:c>
      <x:c r="B527" s="59" t="str">
        <x:v>Integracja z przypisaniami — 2026-09-15</x:v>
      </x:c>
      <x:c r="C527" s="59" t="str">
        <x:v>unresolved_position_histories liczy historie miejsc niewłączone do potwierdzonych przypisań. Obejmuje również wpisy wygasłe lub jeszcze nieobowiązujące; przyczyny można odczytać w danej historii. Ten licznik nie jest liczbą projektów ani wolnych miejsc. Przyszły, jeszcze niezarejestrowany wpis nie ujawnia nawet ID miejsca.</x:v>
      </x:c>
    </x:row>
    <x:row r="528" ht="80" customHeight="1">
      <x:c r="A528" s="59" t="str">
        <x:v>docs/14_observation_history.md</x:v>
      </x:c>
      <x:c r="B528" s="59" t="str">
        <x:v>Integracja z przypisaniami — 2026-09-15</x:v>
      </x:c>
      <x:c r="C528" s="59" t="str">
        <x:v>W tej wersji kompletność pozostaje false, maksimum miejsc i limity MW są null. Nie przenosimy parametrów bieżącego snapshotu do wcześniejszego dnia. as_of wynikowej ewidencji oznacza tu effective_on; known_at jest osobnym polem. Identyfikator historical_assignment_view opisuje widok w pamięci, nie unikalny utrwalony snapshot. Wynik jest deterministyczny dla tej samej historii, parametrów i wersji kodu. Zapis plikowy i manifest dodano w kolejnym przyroście, opisanym poniżej; nie jest to transakcyjna baza historii.</x:v>
      </x:c>
    </x:row>
    <x:row r="529" ht="52" customHeight="1">
      <x:c r="A529" s="59" t="str">
        <x:v>docs/14_observation_history.md</x:v>
      </x:c>
      <x:c r="B529" s="59" t="str">
        <x:v>Integracja z przypisaniami — 2026-09-15</x:v>
      </x:c>
      <x:c r="C529" s="59" t="str">
        <x:v>Testy integracyjne sprawdzają korekty, konflikty, prywatność, wygasłe wpisy, rozdział scenariuszy i jednostek oraz różnicę liczby projektów i miejsc. Test na zachowanych publicznych wpisach Radkowic potwierdza, że nie powstaje z nich żadne przypisanie do mostu. Syntetyczne przypisania istnieją tylko w testach.</x:v>
      </x:c>
    </x:row>
    <x:row r="530" ht="30" customHeight="1">
      <x:c r="A530" s="59" t="str">
        <x:v>docs/14_observation_history.md</x:v>
      </x:c>
      <x:c r="B530" s="59" t="str">
        <x:v>Integracja z przypisaniami — 2026-09-15</x:v>
      </x:c>
      <x:c r="C530" s="59" t="str">
        <x:v>Następny krok po odtwarzaniu plikowym: historia parametrów i jawnych deklaracji kompletności.</x:v>
      </x:c>
    </x:row>
    <x:row r="531" ht="52" customHeight="1">
      <x:c r="A531" s="59" t="str">
        <x:v>docs/14_observation_history.md</x:v>
      </x:c>
      <x:c r="B531" s="59" t="str">
        <x:v>Integracja z przypisaniami — 2026-09-15</x:v>
      </x:c>
      <x:c r="C531" s="59" t="str">
        <x:v>Aktualizacja: ten krok wykonano w wariancie v2 opisanym na końcu dokumentu; wcześniejsze akapity opisują zachowany wariant v1. Trwała baza, kontrola dostępu aplikacji i weryfikacja realnych przypisań pozostają otwarte w KSE-033. Excel z 12 września nadal jest historycznym raportem.</x:v>
      </x:c>
    </x:row>
    <x:row r="532" ht="38" customHeight="1">
      <x:c r="A532" s="59" t="str">
        <x:v>docs/14_observation_history.md</x:v>
      </x:c>
      <x:c r="B532" s="59" t="str">
        <x:v>Integracja z przypisaniami — 2026-09-15</x:v>
      </x:c>
      <x:c r="C532" s="59" t="str">
        <x:v>Walidacja przyrostu integracyjnego: 76 testów Python (w tym 12 testów nowego adaptera) oraz 8 testów raportowania przeszło 2026-09-15. git diff --check bez błędów. Nie wprowadzono nowych zależności ani danych prywatnych do repozytorium.</x:v>
      </x:c>
    </x:row>
    <x:row r="533" ht="30" customHeight="1">
      <x:c r="A533" s="59" t="str">
        <x:v>docs/14_observation_history.md</x:v>
      </x:c>
      <x:c r="B533" s="59" t="str">
        <x:v>Odtwarzanie plikowe z manifestem — 2026-09-15</x:v>
      </x:c>
      <x:c r="C533" s="59" t="str">
        <x:v>python scripts/analyze_historical_assignments.py --input SCIEZKA_WEJSCIA.json --output SCIEZKA_NOWEGO_WYNIKU.json</x:v>
      </x:c>
    </x:row>
    <x:row r="534" ht="66" customHeight="1">
      <x:c r="A534" s="59" t="str">
        <x:v>docs/14_observation_history.md</x:v>
      </x:c>
      <x:c r="B534" s="59" t="str">
        <x:v>Odtwarzanie plikowe z manifestem — 2026-09-15</x:v>
      </x:c>
      <x:c r="C534" s="59" t="str">
        <x:v>Wejście ma dokładnie trzy pola: schema_version o wartości historical_assignments_request_v1, query i observations. query zawiera dokładnie connection_id, scenario, known_at, effective_on. observations to lista obiektów Observation opisanych powyżej, z kompletnym Evidence w każdym wpisie. Daty i identyfikatory są parametrami użytkownika, nie domyślnym czasem uruchomienia. Zapisany przykład historii statusów Radkowic nie jest sam w sobie takim żądaniem ani historią miejsc na moście.</x:v>
      </x:c>
    </x:row>
    <x:row r="535" ht="52" customHeight="1">
      <x:c r="A535" s="59" t="str">
        <x:v>docs/14_observation_history.md</x:v>
      </x:c>
      <x:c r="B535" s="59" t="str">
        <x:v>Odtwarzanie plikowe z manifestem — 2026-09-15</x:v>
      </x:c>
      <x:c r="C535" s="59" t="str">
        <x:v>Skrypt nie pobiera danych i nie skanuje folderów. Weryfikuje schemat, historię, daty i proweniencję. Wspólny dekoder grid_engine/strict_json.py odrzuca powtórzone pola na każdym poziomie i NaN/Infinity. Nieznane pola wejścia, obserwacji, dowodów lub zapytania powodują błąd przed zapisem.</x:v>
      </x:c>
    </x:row>
    <x:row r="536" ht="80" customHeight="1">
      <x:c r="A536" s="59" t="str">
        <x:v>docs/14_observation_history.md</x:v>
      </x:c>
      <x:c r="B536" s="59" t="str">
        <x:v>Odtwarzanie plikowe z manifestem — 2026-09-15</x:v>
      </x:c>
      <x:c r="C536" s="59" t="str">
        <x:v>Manifest jest osadzony w reproducibility tego samego pliku. Zawiera hash oryginalnych bajtów wejścia, hashe pięciu lokalnych modułów, wersję i implementację Pythona, komplet parametrów oraz hash analitycznej części wyniku. Dla ostatniego hasha używany jest UTF-8, JSON ze sortowanymi kluczami, bez spacji i końcowego LF, bez pola reproducibility. Nie zapisujemy lokalnych ścieżek użytkownika ani sekretów środowiska. Manifest identyfikuje dane i kod, ale nie zastępuje ich kopii i nie dowodzi autentyczności dokumentu źródłowego. Dowodów zewnętrznych nie pobiera ani nie weryfikuje względem podanego hasha.</x:v>
      </x:c>
    </x:row>
    <x:row r="537" ht="52" customHeight="1">
      <x:c r="A537" s="59" t="str">
        <x:v>docs/14_observation_history.md</x:v>
      </x:c>
      <x:c r="B537" s="59" t="str">
        <x:v>Odtwarzanie plikowe z manifestem — 2026-09-15</x:v>
      </x:c>
      <x:c r="C537" s="59" t="str">
        <x:v>Wynik z tym samym wejściem, kodem i środowiskiem jest identyczny bajtowo. Istniejący plik wynikowy nie jest nadpisywany, również przy identycznym wyniku. Ponowne wykonanie wymaga nowej nazwy pliku. Zapis jest wyłączny, lecz nie stanowi transakcji bazy; awaria dysku podczas zapisu może pozostawić niepełny plik.</x:v>
      </x:c>
    </x:row>
    <x:row r="538" ht="80" customHeight="1">
      <x:c r="A538" s="59" t="str">
        <x:v>docs/14_observation_history.md</x:v>
      </x:c>
      <x:c r="B538" s="59" t="str">
        <x:v>Odtwarzanie plikowe z manifestem — 2026-09-15</x:v>
      </x:c>
      <x:c r="C538" s="59" t="str">
        <x:v>Dowolny prywatny rekord w pełnym wejściu lub pochodzenie wejścia z data/private/ wymusza PRIVATE. To celowo silniejsza reguła niż widok w pamięci: manifest identyfikuje całe wejście, także rekordy przyszłe i dotyczące innych pól. Prywatny wynik można zapisać wyłącznie pod data/private/. Nie odczytujemy ani nie zapisujemy ścieżek zawierających _secrets. Eksport poza katalog prywatny wymaga publicznych dowodów; pusty wynik bez dowodów nie jest publiczną ewidencją. Nie jest to mechanizm uwierzytelniania ani kontrola dostępu systemu operacyjnego.</x:v>
      </x:c>
    </x:row>
    <x:row r="539" ht="66" customHeight="1">
      <x:c r="A539" s="59" t="str">
        <x:v>docs/14_observation_history.md</x:v>
      </x:c>
      <x:c r="B539" s="59" t="str">
        <x:v>Odtwarzanie plikowe z manifestem — 2026-09-15</x:v>
      </x:c>
      <x:c r="C539" s="59" t="str">
        <x:v>Dotychczasowy runner pojedynczego snapshotu korzysta z tego samego dekodera; jego manifest uwzględnia dodatkowy hash dekodera. Reguły liczenia pozostają te same. Brak zweryfikowanych przypisań Radkowic nadal uniemożliwia przygotowanie rzeczywistego raportu o obsadzeniu mostu. Testy plikowego odtwarzania używają jawnie syntetycznych rekordów w katalogach tymczasowych. Nie dodano ich do danych pilota.</x:v>
      </x:c>
    </x:row>
    <x:row r="540" ht="52" customHeight="1">
      <x:c r="A540" s="59" t="str">
        <x:v>docs/14_observation_history.md</x:v>
      </x:c>
      <x:c r="B540" s="59" t="str">
        <x:v>Odtwarzanie plikowe z manifestem — 2026-09-15</x:v>
      </x:c>
      <x:c r="C540" s="59" t="str">
        <x:v>Walidacja przyrostu plikowego 2026-09-15: 84 testy Python i 8 testów raportowania przeszły; git diff --check bez błędów. Osiem nowych testów obejmuje manifest, deterministyczny zapis, zakaz nadpisania, zmianę parametrów, prywatność całego wejścia, ścieżki sekretów i odrzucanie błędnego schematu przed zapisem.</x:v>
      </x:c>
    </x:row>
    <x:row r="541" ht="80" customHeight="1">
      <x:c r="A541" s="59" t="str">
        <x:v>docs/14_observation_history.md</x:v>
      </x:c>
      <x:c r="B541" s="59" t="str">
        <x:v>Historyczne parametry przyłącza — wariant v2, 2026-09-15</x:v>
      </x:c>
      <x:c r="C541" s="59" t="str">
        <x:v>grid_engine/historical_connection_parameters.py dodaje parametry i kompletność do istniejącej historii przypisań, bez zmiany obliczeń wariantu v1. Aby użyć go w tym samym runnerze, wejście musi jawnie wskazać schema_version = historical_connection_request_v2. Pozostałe pola żądania są takie same. Wynik nosi metodę historical_shared_connection_v2. Żądania historical_assignments_request_v1 nadal używają pierwotnego modelu przypisań. Odtworzenie identycznych historycznych bajtów manifestu wymaga również starego commita, ponieważ aktualny runner ma nowy hash i dodatkowy moduł w manifeście.</x:v>
      </x:c>
    </x:row>
    <x:row r="542" ht="38" customHeight="1">
      <x:c r="A542" s="59" t="str">
        <x:v>docs/14_observation_history.md</x:v>
      </x:c>
      <x:c r="B542" s="59" t="str">
        <x:v>Historyczne parametry przyłącza — wariant v2, 2026-09-15</x:v>
      </x:c>
      <x:c r="C542" s="59" t="str">
        <x:v>Wspólne dla parametrów: entity_id oznacza konkretne przyłącze, scenario rozdziela CURRENT / PLANNED, a daty i dowody mają kontrakt Observation.</x:v>
      </x:c>
    </x:row>
    <x:row r="543" ht="38" customHeight="1">
      <x:c r="A543" s="59" t="str">
        <x:v>docs/14_observation_history.md</x:v>
      </x:c>
      <x:c r="B543" s="59" t="str">
        <x:v>Historyczne parametry przyłącza — wariant v2, 2026-09-15</x:v>
      </x:c>
      <x:c r="C543" s="59" t="str">
        <x:v>field / unit / value jako tekst</x:v>
      </x:c>
    </x:row>
    <x:row r="544" ht="38" customHeight="1">
      <x:c r="A544" s="59" t="str">
        <x:v>docs/14_observation_history.md</x:v>
      </x:c>
      <x:c r="B544" s="59" t="str">
        <x:v>Historyczne parametry przyłącza — wariant v2, 2026-09-15</x:v>
      </x:c>
      <x:c r="C544" s="59" t="str">
        <x:v>maximum_positions / position / Nieujemna liczba całkowita</x:v>
      </x:c>
    </x:row>
    <x:row r="545" ht="38" customHeight="1">
      <x:c r="A545" s="59" t="str">
        <x:v>docs/14_observation_history.md</x:v>
      </x:c>
      <x:c r="B545" s="59" t="str">
        <x:v>Historyczne parametry przyłącza — wariant v2, 2026-09-15</x:v>
      </x:c>
      <x:c r="C545" s="59" t="str">
        <x:v>inventory_complete / null / Dokładnie true albo false</x:v>
      </x:c>
    </x:row>
    <x:row r="546" ht="38" customHeight="1">
      <x:c r="A546" s="59" t="str">
        <x:v>docs/14_observation_history.md</x:v>
      </x:c>
      <x:c r="B546" s="59" t="str">
        <x:v>Historyczne parametry przyłącza — wariant v2, 2026-09-15</x:v>
      </x:c>
      <x:c r="C546" s="59" t="str">
        <x:v>export_limit_MW / MW / Nieujemna liczba dziesiętna z kropką</x:v>
      </x:c>
    </x:row>
    <x:row r="547" ht="38" customHeight="1">
      <x:c r="A547" s="59" t="str">
        <x:v>docs/14_observation_history.md</x:v>
      </x:c>
      <x:c r="B547" s="59" t="str">
        <x:v>Historyczne parametry przyłącza — wariant v2, 2026-09-15</x:v>
      </x:c>
      <x:c r="C547" s="59" t="str">
        <x:v>import_limit_MW / MW / Nieujemna liczba dziesiętna z kropką</x:v>
      </x:c>
    </x:row>
    <x:row r="548" ht="66" customHeight="1">
      <x:c r="A548" s="59" t="str">
        <x:v>docs/14_observation_history.md</x:v>
      </x:c>
      <x:c r="B548" s="59" t="str">
        <x:v>Historyczne parametry przyłącza — wariant v2, 2026-09-15</x:v>
      </x:c>
      <x:c r="C548" s="59" t="str">
        <x:v>Przy UNKNOWN wartość to null. Błędne jednostki, ujemne wartości, NaN/Infinity, ułamkowa liczba miejsc i nieznana deklaracja kompletności powodują błąd. Nie ma cichej konwersji kW na MW ani tekstu „tak” na true. Normalizacja wartości należy do warstwy pozyskiwania: różne teksty 50 i 50.0 z niezależnych źródeł mogą nadal stanowić konflikt w ogólnym modelu obserwacji; nie rozstrzygamy go automatycznie w tym adapterze.</x:v>
      </x:c>
    </x:row>
    <x:row r="549" ht="52" customHeight="1">
      <x:c r="A549" s="59" t="str">
        <x:v>docs/14_observation_history.md</x:v>
      </x:c>
      <x:c r="B549" s="59" t="str">
        <x:v>Historyczne parametry przyłącza — wariant v2, 2026-09-15</x:v>
      </x:c>
      <x:c r="C549" s="59" t="str">
        <x:v>Każdy parametr jest rozstrzygany dla tego samego known_at i effective_on co przypisania. Wymaga dokumentu i rozstrzygniętego okresu ważności. Twierdzenie USER_PROVIDED, brak danych lub konflikt pozostają jawne w parameter_history. Dowody prywatne, również skorygowane i konfliktowe, chronią cały wynik.</x:v>
      </x:c>
    </x:row>
    <x:row r="550" ht="80" customHeight="1">
      <x:c r="A550" s="59" t="str">
        <x:v>docs/14_observation_history.md</x:v>
      </x:c>
      <x:c r="B550" s="59" t="str">
        <x:v>Historyczne parametry przyłącza — wariant v2, 2026-09-15</x:v>
      </x:c>
      <x:c r="C550" s="59" t="str">
        <x:v>Nieprzypisane miejsca mogą zostać policzone tylko przy znanym maksimum, udokumentowanym true dla kompletności i braku nierozstrzygniętych historii miejsc. To nadal deklaracja źródłowa o kompletności, nie niezależny audyt całego pipeline. inventory_complete zachowuje rozstrzygnięte twierdzenie źródła; może pozostać true, podczas gdy wynik liczby miejsc jest UNKNOWN z powodu sprzecznych przypisań. Wygasły wpis nie staje się automatycznie dowodem wolnego miejsca. Liczba przypisań większa od maksimum powoduje błąd walidacji. Zero jest wartością inną niż null.</x:v>
      </x:c>
    </x:row>
    <x:row r="551" ht="52" customHeight="1">
      <x:c r="A551" s="59" t="str">
        <x:v>docs/14_observation_history.md</x:v>
      </x:c>
      <x:c r="B551" s="59" t="str">
        <x:v>Historyczne parametry przyłącza — wariant v2, 2026-09-15</x:v>
      </x:c>
      <x:c r="C551" s="59" t="str">
        <x:v>Limity MW zachowują dokładność dziesiętną i niezależne kierunki. Nigdy nie wyliczamy z nich dostępnej mocy ani nie utożsamiamy miejsc z MW. Nie ma nowych technicznych faktów o Radkowicach: wartości, ważność i kompletność w testach są jawnie syntetyczne. Nie przeniesiono twierdzenia o sześciu miejscach do parametrów potwierdzonych dokumentem i nie dopisano przypisań projektów.</x:v>
      </x:c>
    </x:row>
    <x:row r="552" ht="38" customHeight="1">
      <x:c r="A552" s="59" t="str">
        <x:v>docs/14_observation_history.md</x:v>
      </x:c>
      <x:c r="B552" s="59" t="str">
        <x:v>Historyczne parametry przyłącza — wariant v2, 2026-09-15</x:v>
      </x:c>
      <x:c r="C552" s="59" t="str">
        <x:v>Po zamknięciu tego przyrostu kolejnym krokiem jest sprawdzenie, które rzeczywiste dowody pilota spełniają kontrakt parametrów i jakie dokładnie braki pozostają. Trwała baza i kontrola dostępu aplikacji nadal nie są wdrożone.</x:v>
      </x:c>
    </x:row>
    <x:row r="553" ht="66" customHeight="1">
      <x:c r="A553" s="59" t="str">
        <x:v>docs/14_observation_history.md</x:v>
      </x:c>
      <x:c r="B553" s="59" t="str">
        <x:v>Historyczne parametry przyłącza — wariant v2, 2026-09-15</x:v>
      </x:c>
      <x:c r="C553" s="59" t="str">
        <x:v>Walidacja wariantu v2, 2026-09-15: 96 testów Python i 8 testów raportowania przeszły; git diff --check bez błędów. Dwanaście nowych testów obejmuje m.in. konflikty parametrów, prywatność, kompletność, korekty, jednostki, zero, scenariusze oraz zachowanie żądań v1. Excel z 12 września pozostaje poprzednim snapshotem; niniejsza aktualizacja wejdzie do kolejnego odświeżenia raportu.</x:v>
      </x:c>
    </x:row>
    <x:row r="554" ht="52" customHeight="1">
      <x:c r="A554" s="59" t="str">
        <x:v>docs/15_information_requests.md</x:v>
      </x:c>
      <x:c r="B554" s="59" t="str">
        <x:v>Rejestr potrzebnych dokumentów i informacji</x:v>
      </x:c>
      <x:c r="C554" s="59" t="str">
        <x:v>Aktualizacja: 2026-09-15. Rejestr edytowalny: data/project/information_requests.json. Widok w Excelu: Potrzebne informacje. Przegląd opiera się na dotychczasowej dokumentacji pilota i informacjach użytkownika; nie jest nową weryfikacją dostępności serwisów operatorów.</x:v>
      </x:c>
    </x:row>
    <x:row r="555" ht="52" customHeight="1">
      <x:c r="A555" s="59" t="str">
        <x:v>docs/15_information_requests.md</x:v>
      </x:c>
      <x:c r="B555" s="59" t="str">
        <x:v>Rejestr potrzebnych dokumentów i informacji</x:v>
      </x:c>
      <x:c r="C555" s="59" t="str">
        <x:v>Każda potrzeba ma stabilny ID, priorytet, status, potrzebny zakres, wyjaśnienie zastosowania, następny krok, sposób pracy bez danych, możliwego pomocnika, datę aktualizacji i podstawę wpisu. P0 dotyczy najbliższego kroku dokumentacyjnego, P1 dalszej analizy, P2 zakresu bardziej zaawansowanego. Nie są to oceny sieci.</x:v>
      </x:c>
    </x:row>
    <x:row r="556" ht="52" customHeight="1">
      <x:c r="A556" s="59" t="str">
        <x:v>docs/15_information_requests.md</x:v>
      </x:c>
      <x:c r="B556" s="59" t="str">
        <x:v>Rejestr potrzebnych dokumentów i informacji</x:v>
      </x:c>
      <x:c r="C556" s="59" t="str">
        <x:v>Statusy: Do sprawdzenia; W pozyskiwaniu; Niedostępne; Otrzymano — do oceny zakresu; Zweryfikowano. Otrzymanie pliku nie zamyka analizy: trzeba jeszcze ocenić jego wersję, daty, zakres i znaczenie poszczególnych tez. Statusy otrzymania i weryfikacji wymagają zapisanego potwierdzenia. Nie ustalamy fikcyjnych terminów.</x:v>
      </x:c>
    </x:row>
    <x:row r="557" ht="52" customHeight="1">
      <x:c r="A557" s="59" t="str">
        <x:v>docs/15_information_requests.md</x:v>
      </x:c>
      <x:c r="B557" s="59" t="str">
        <x:v>Rejestr potrzebnych dokumentów i informacji</x:v>
      </x:c>
      <x:c r="C557" s="59" t="str">
        <x:v>Najpilniejsze dla Radkowic są projekt techniczny mostu (NEED-001, w pozyskiwaniu) oraz udokumentowane przypisania projektów do konkretnych miejsc (NEED-002). Odrębne potrzeby obejmują granice PSE/PGE, statusy wniosków, obciążenia, stan inwestycji sieciowych i parametry modelu elektrycznego. Nazwa stacji w wykazie PSE nie wypełnia braku przypisań do mostu.</x:v>
      </x:c>
    </x:row>
    <x:row r="558" ht="66" customHeight="1">
      <x:c r="A558" s="59" t="str">
        <x:v>docs/15_information_requests.md</x:v>
      </x:c>
      <x:c r="B558" s="59" t="str">
        <x:v>Rejestr potrzebnych dokumentów i informacji</x:v>
      </x:c>
      <x:c r="C558" s="59" t="str">
        <x:v>Ekspertyza wpływu (NEED-008) pozostaje niedostępna zgodnie z informacją użytkownika. Nie ponawiamy prośby i nie blokujemy niezależnej pracy. Przekazane warunki przyłączenia (NEED-009) są już otrzymane; nie prosimy o ponowne przesłanie. Ich treść i ustalenia pochodne pozostają poza ogólnym raportem i Git. NEED-010 dotyczy potwierdzenia niezależnej kopii archiwum, bez danych logowania.</x:v>
      </x:c>
    </x:row>
    <x:row r="559" ht="66" customHeight="1">
      <x:c r="A559" s="59" t="str">
        <x:v>docs/15_information_requests.md</x:v>
      </x:c>
      <x:c r="B559" s="59" t="str">
        <x:v>Rejestr potrzebnych dokumentów i informacji</x:v>
      </x:c>
      <x:c r="C559" s="59" t="str">
        <x:v>Po otrzymaniu nowej informacji aktualizujemy właściwy ID, datę i status oraz zachowujemy poprzedni stan w Git. Jeżeli dokument ma ograniczony zakres, pozostały brak zostaje jawny albo otrzymuje osobny ID. Nie usuwamy pozycji niedostępnych ani zamkniętych. Rejestr opisuje również informacje, które użytkownik może znać bez posiadania dokumentu; takie twierdzenia nie zastępują dowodu operatora.</x:v>
      </x:c>
    </x:row>
    <x:row r="560" ht="66" customHeight="1">
      <x:c r="A560" s="59" t="str">
        <x:v>docs/15_information_requests.md</x:v>
      </x:c>
      <x:c r="B560" s="59" t="str">
        <x:v>Rejestr potrzebnych dokumentów i informacji</x:v>
      </x:c>
      <x:c r="C560" s="59" t="str">
        <x:v>Generator czyta wyłącznie jawnie wskazany rejestr i waliduje ID, statusy, daty oraz wymagane wyjaśnienia. Eksport jest kontrolowany pole po polu. Nie skanuje prywatnych folderów. Do rejestru wpisujemy opis potrzeby i ogólny stan procesu, bez parametrów z poufnych dokumentów, ich lokalnych ścieżek, danych osobowych i sekretów. Sam walidator nie wykrywa automatycznie poufnych informacji w tekście.</x:v>
      </x:c>
    </x:row>
    <x:row r="561" ht="38" customHeight="1">
      <x:c r="A561" s="59" t="str">
        <x:v>docs/15_information_requests.md</x:v>
      </x:c>
      <x:c r="B561" s="59" t="str">
        <x:v>Rejestr potrzebnych dokumentów i informacji</x:v>
      </x:c>
      <x:c r="C561" s="59" t="str">
        <x:v>Możesz odpowiadać numerem, np. „NEED-001: mam projekt, rewizja ...” albo „NEED-004: nie uda się uzyskać”. Zaktualizuję rejestr i kolejny raport. Zmiany wpisane bezpośrednio w Excel nie wracają automatycznie do rejestru.</x:v>
      </x:c>
    </x:row>
    <x:row r="562" ht="52" customHeight="1">
      <x:c r="A562" s="59" t="str">
        <x:v>docs/15_information_requests.md</x:v>
      </x:c>
      <x:c r="B562" s="59" t="str">
        <x:v>Rejestr potrzebnych dokumentów i informacji</x:v>
      </x:c>
      <x:c r="C562" s="59" t="str">
        <x:v>16.09.2026: dodano NEED-011 — dwa publiczne dokumenty PGE, których bezpośrednie pobranie ponownie zwraca HTML zamiast PDF. Dokładne linki są w końcowej sekcji raportu badawczego. Pomoc polega na przekazaniu oryginalnych plików z datą i URL, jeśli użytkownik może je zwyczajnie pobrać; nie wymaga przekazywania poświadczeń.</x:v>
      </x:c>
    </x:row>
    <x:row r="563" ht="52" customHeight="1">
      <x:c r="A563" s="59" t="str">
        <x:v>docs/16_radkowice_public_followup.md</x:v>
      </x:c>
      <x:c r="B563" s="59" t="str">
        <x:v>Nowy punkt odniesienia dla projektu mostu</x:v>
      </x:c>
      <x:c r="C563" s="59" t="str">
        <x:v>Ogłoszenie PSE 205815-2025 (https://www.pse.pl/documents/20182/5928746423/OKRESOWE_OGLOSZENIE_ROBOTY_BUDOWLANE.pdf/883a7669-eb9a-4650-84f4-cd67502fd545?safeargs=76657273696f6e3d312e31), publikacja 31.03.2025 (PDF s.37), na s.29 wymienia rozbudowę Radkowic o pole 220 kV i most szynowy. Treść strony sprawdzono również wizualnie.</x:v>
      </x:c>
    </x:row>
    <x:row r="564" ht="66" customHeight="1">
      <x:c r="A564" s="59" t="str">
        <x:v>docs/16_radkowice_public_followup.md</x:v>
      </x:c>
      <x:c r="B564" s="59" t="str">
        <x:v>Nowy punkt odniesienia dla projektu mostu</x:v>
      </x:c>
      <x:c r="C564" s="59" t="str">
        <x:v>To REPORTED — planowany zakres zamówienia. Ogłoszenie dotyczy prognozowanych postępowań od kwietnia 2025 do I kwartału 2026, z możliwością zmian i późniejszym udostępnieniem wiążącej dokumentacji. Nie potwierdza wykonawcy, rozpoczęcia, odbioru, geometrii, liczby miejsc ani dostępnych MW. Adres Warszawska 165 jest wskazany na potrzeby ogłoszenia, nie jako geolokalizacja stacji. Nie wolno geokodować po nim Radkowic.</x:v>
      </x:c>
    </x:row>
    <x:row r="565" ht="38" customHeight="1">
      <x:c r="A565" s="59" t="str">
        <x:v>docs/16_radkowice_public_followup.md</x:v>
      </x:c>
      <x:c r="B565" s="59" t="str">
        <x:v>Nowy punkt odniesienia dla projektu mostu</x:v>
      </x:c>
      <x:c r="C565" s="59" t="str">
        <x:v>NEED-001 pozostaje „W pozyskiwaniu”. Numer ogłoszenia i dokładny zakres pomagają szukać projektu i dokumentacji postępowania. Nie utożsamiamy automatycznie tego zamówienia z konkretną rewizją prywatnego projektu ani z wszystkimi etapami stacji.</x:v>
      </x:c>
    </x:row>
    <x:row r="566" ht="66" customHeight="1">
      <x:c r="A566" s="59" t="str">
        <x:v>docs/16_radkowice_public_followup.md</x:v>
      </x:c>
      <x:c r="B566" s="59" t="str">
        <x:v>Linia Radkowice–Kielce Piaski</x:v>
      </x:c>
      <x:c r="C566" s="59" t="str">
        <x:v>Obwieszczenie RDOŚ Kielce (https://www.gov.pl/web/rdos-kielce/obwieszczenie-regionalnego-dyrektora-ochrony-srodowiska-w-kielcach-z-dnia-04122025-r-znak-woo-i42072025pjpp16) z 04.12.2025, opublikowane 09.12.2025, informuje o wydaniu decyzji środowiskowej WOO-I.420.7.2025.PJ/PP.14 dla przebudowy linii 220 kV Radkowice–Kielce Piaski w ramach zadania stacji, planowanego przez PSE. To REPORTED — informacja o etapie administracyjnym, nie dowód realizacji lub prawomocności. Zachowano HTML.</x:v>
      </x:c>
    </x:row>
    <x:row r="567" ht="38" customHeight="1">
      <x:c r="A567" s="59" t="str">
        <x:v>docs/16_radkowice_public_followup.md</x:v>
      </x:c>
      <x:c r="B567" s="59" t="str">
        <x:v>Linia Radkowice–Kielce Piaski</x:v>
      </x:c>
      <x:c r="C567" s="59" t="str">
        <x:v>NEED-006 uzupełniono o ten trop. Nie połączono automatycznie robót na linii z zakresem mostu ani przebudową linii 110 kV Radkowice–Wolica.</x:v>
      </x:c>
    </x:row>
    <x:row r="568" ht="66" customHeight="1">
      <x:c r="A568" s="59" t="str">
        <x:v>docs/16_radkowice_public_followup.md</x:v>
      </x:c>
      <x:c r="B568" s="59" t="str">
        <x:v>Ponowny odczyt portalu PSE</x:v>
      </x:c>
      <x:c r="C568" s="59" t="str">
        <x:v>Portal inwestycji PSE (https://inwestycje.pse.pl/) nadal opisuje etap I rozbudowy Radkowic jako „w budowie”, etap II jako „w przygotowaniu”, wymianę transformatora jako zakończoną w 2025 i wcześniejszą rozbudowę jako zakończoną w 2020. Zakres tych opisów jest zgodny z przeglądem 11.09.2026. Nie ma dowodu, że konkretna część wspólnego przyłącza została uruchomiona, ani znamionowej mocy wymienionego urządzenia. Snapshot z 15.09 nie wyznacza początku obowiązywania statusu.</x:v>
      </x:c>
    </x:row>
    <x:row r="569" ht="66" customHeight="1">
      <x:c r="A569" s="59" t="str">
        <x:v>docs/16_radkowice_public_followup.md</x:v>
      </x:c>
      <x:c r="B569" s="59" t="str">
        <x:v>Automatyzacja i odtwarzanie</x:v>
      </x:c>
      <x:c r="C569" s="59" t="str">
        <x:v>Trzy zasoby pobrano bez konta (HTTP 200), zachowano oryginalne bajty i SHA-256. PDF zawiera tekst, HTML wymaga rozpoznania właściwej sekcji. Nie ustalono API, GIS, limitów wywołań ani gwarantowanego cyklu dla tych konkretnych publikacji. To jednorazowy odczyt, bez cyklicznego scrapera. Katalog zawiera obecnie 63 źródła; aktualizacja dotyczy tych trzech pozycji, nie ponownej weryfikacji całego katalogu.</x:v>
      </x:c>
    </x:row>
    <x:row r="570" ht="52" customHeight="1">
      <x:c r="A570" s="59" t="str">
        <x:v>docs/16_radkowice_public_followup.md</x:v>
      </x:c>
      <x:c r="B570" s="59" t="str">
        <x:v>Automatyzacja i odtwarzanie</x:v>
      </x:c>
      <x:c r="C570" s="59" t="str">
        <x:v>Zasady Gov.pl (https://www.gov.pl/web/gov/prawa-autorskie), sprawdzone 15.09.2026, wskazują CC BY-SA 4.0 dla tekstów oraz zastrzeżenia dotyczące materiałów osób trzecich. Załączniki i komercyjną integrację trzeba oceniać odrębnie. Dla dokumentu PSE nie potwierdzono otwartej licencji. Nie deklarujemy nieograniczonej redystrybucji.</x:v>
      </x:c>
    </x:row>
    <x:row r="571" ht="52" customHeight="1">
      <x:c r="A571" s="59" t="str">
        <x:v>docs/16_radkowice_public_followup.md</x:v>
      </x:c>
      <x:c r="B571" s="59" t="str">
        <x:v>Automatyzacja i odtwarzanie</x:v>
      </x:c>
      <x:c r="C571" s="59" t="str">
        <x:v>Manifest pobrań: data/catalog/probe_results_radkowice_followup_2026-09-15.json. Archiwum lokalne: data/archives/radkowice_followup_2026-09-15.zip. Jego manifest: data/catalog/radkowice_followup_archive_2026-09-15.json. Sprawdzono hashe wszystkich trzech elementów po odczycie z ZIP. Kopia poza komputerem pozostaje niepotwierdzona. Nie zmieniono wcześniejszych snapshotów.</x:v>
      </x:c>
    </x:row>
    <x:row r="572" ht="38" customHeight="1">
      <x:c r="A572" s="59" t="str">
        <x:v>docs/16_radkowice_public_followup.md</x:v>
      </x:c>
      <x:c r="B572" s="59" t="str">
        <x:v>Automatyzacja i odtwarzanie</x:v>
      </x:c>
      <x:c r="C572" s="59" t="str">
        <x:v>Tropy niezaliczone do dowodów modelu: prognoza postępowań z innym plikiem PSE (odczyt web zwrócił błąd), projekt PRSP 2027–2036 i projekt planu PGE 2026–2031 (w tym przyroście tylko wyniki wyszukiwania). Daty z ich snippetów nie zasilają modelu.</x:v>
      </x:c>
    </x:row>
    <x:row r="573" ht="52" customHeight="1">
      <x:c r="A573" s="59" t="str">
        <x:v>docs/16_radkowice_public_followup.md</x:v>
      </x:c>
      <x:c r="B573" s="59" t="str">
        <x:v>Automatyzacja i odtwarzanie</x:v>
      </x:c>
      <x:c r="C573" s="59" t="str">
        <x:v>Nie uzupełniono fikcyjnie parametrów v2 ani przypisań miejsc. Najbliższy krok to poszukiwanie dokumentacji konkretnego postępowania i aktualnych dowodów realizacji. Rejestr potrzeb został uaktualniony; poprzedni Excel pozostaje snapshotem sprzed tego uzupełnienia, a nowe wpisy trafią do następnego odświeżenia.</x:v>
      </x:c>
    </x:row>
    <x:row r="574" ht="52" customHeight="1">
      <x:c r="A574" s="59" t="str">
        <x:v>docs/16_radkowice_public_followup.md</x:v>
      </x:c>
      <x:c r="B574" s="59" t="str">
        <x:v>Automatyzacja i odtwarzanie</x:v>
      </x:c>
      <x:c r="C574" s="59" t="str">
        <x:v>Kontrola katalogu obejmuje obecnie wszystkie datowane foldery data/raw/research i dodatkowe manifesty pilota. Identyfikator źródła może wystąpić ponownie przy nowym pobraniu; unikalna musi być tożsamość snapshotu (źródło, czas, ścieżka). 663 kontrole katalogu przeszły; zachowano cztery wcześniejsze ostrzeżenia źródłowe.</x:v>
      </x:c>
    </x:row>
    <x:row r="575" ht="80" customHeight="1">
      <x:c r="A575" s="59" t="str">
        <x:v>docs/16_radkowice_public_followup.md</x:v>
      </x:c>
      <x:c r="B575" s="59" t="str">
        <x:v>Pełna decyzja i rozróżnienie pól 8/6 — dalsza weryfikacja 15.09.2026</x:v>
      </x:c>
      <x:c r="C575" s="59" t="str">
        <x:v>Pozyskano pełną decyzję RDOŚ WOO-I.420.7.2025.PJ/PP.14 (https://www.gov.pl/attachment/27ef7a8e-5094-4391-be1c-7e23cb1038b2) z 04.12.2025, 8 stron. Strona 3, sprawdzona również na renderze PDF, opisuje planowane zdjęcie przęsła od słupa 81 do pola 8 i budowę przęsła do pola 6. Podana długość około 60 m dotyczy wyłącznie przebudowywanego odcinka, nie całej linii Radkowice–Kielce Piaski. Klasyfikacja: REPORTED, jakość C, zakres FUTURE GRID. Opis dotychczasowego układu jest stanem opisanym w dokumencie, a nie zweryfikowaną topologią na 15.09.2026. Data wykonania i ostateczność decyzji pozostają UNKNOWN.</x:v>
      </x:c>
    </x:row>
    <x:row r="576" ht="52" customHeight="1">
      <x:c r="A576" s="59" t="str">
        <x:v>docs/16_radkowice_public_followup.md</x:v>
      </x:c>
      <x:c r="B576" s="59" t="str">
        <x:v>Pełna decyzja i rozróżnienie pól 8/6 — dalsza weryfikacja 15.09.2026</x:v>
      </x:c>
      <x:c r="C576" s="59" t="str">
        <x:v>To konkretny dowód planowanej zmiany zakończenia linii. Nie łączymy go automatycznie z mostem, przypisaniami inwestycji, zajętością pól ani dodatkowymi MW. NEED-006 w rejestrze raportowym wskazuje teraz potrzebę aktualnego schematu lub protokołu potwierdzającego wykonanie tej zmiany. Nie zamykamy potrzeby całościowego statusu robót.</x:v>
      </x:c>
    </x:row>
    <x:row r="577" ht="80" customHeight="1">
      <x:c r="A577" s="59" t="str">
        <x:v>docs/16_radkowice_public_followup.md</x:v>
      </x:c>
      <x:c r="B577" s="59" t="str">
        <x:v>Pełna decyzja i rozróżnienie pól 8/6 — dalsza weryfikacja 15.09.2026</x:v>
      </x:c>
      <x:c r="C577" s="59" t="str">
        <x:v>Źródło RDOS_RADK_PIASKI_DECISION_2025 pobrano bez konta, HTTP 200; ekstrakcja tekstu jest możliwa. Nie ustalono API ani częstotliwości zmian tego załącznika. Licencja i prawa do ewentualnych materiałów osób trzecich wymagają osobnej oceny; nie wywodzimy nieograniczonej redystrybucji z samej dostępności PDF. Zachowano bajty, SHA-256, manifest probe_results_radkowice_decision_2026-09-15.json i lokalny ZIP data/archives/radkowice_decision_2026-09-15.zip; kopia zewnętrzna niepotwierdzona. Katalog po dodaniu dokumentu zawiera 64 źródła.</x:v>
      </x:c>
    </x:row>
    <x:row r="578" ht="80" customHeight="1">
      <x:c r="A578" s="59" t="str">
        <x:v>docs/16_radkowice_public_followup.md</x:v>
      </x:c>
      <x:c r="B578" s="59" t="str">
        <x:v>Pełna decyzja i rozróżnienie pól 8/6 — dalsza weryfikacja 15.09.2026</x:v>
      </x:c>
      <x:c r="C578" s="59" t="str">
        <x:v>Sprawdzono również publiczny interfejs postępowań PSE (https://przetargi.pse.pl/open-auctions.html) i wyników (https://przetargi.pse.pl/auction-result-publication.html), filtr nazwy „Radkowice”. Pierwszy nie zwrócił rekordów; drugi pokazał dwa starsze opracowania projektowe (AU-001312, AU-000861). To wynik konkretnego widoku i filtra, nie dowód braku przetargu lub wykonawcy. Wynik nie jest snapshotem API i nie zasila modelu. Trop TED 771822-2025 oraz informacje z agregatorów pozostają niezweryfikowane: odczyt TED nie powiódł się. Nie przyjęto z nich numeru pola mostu ani przypisania BESS.</x:v>
      </x:c>
    </x:row>
    <x:row r="579" ht="52" customHeight="1">
      <x:c r="A579" s="59" t="str">
        <x:v>docs/16_radkowice_public_followup.md</x:v>
      </x:c>
      <x:c r="B579" s="59" t="str">
        <x:v>17.09.2026 — nierozstrzygnięty rok lub zakres wymiany transformatora</x:v>
      </x:c>
      <x:c r="C579" s="59" t="str">
        <x:v>Nowy przegląd wskazuje różnicę 2023/2025 między raportem wpływu a portalem PSE; źródła i datę sprawdzenia zapisano w sekcji 17.09 w docs/01_data_research.md. Wcześniejsze odczyty portalu pozostają prawidłowymi zapisami jego treści, ale nie stanowią rozstrzygnięcia daty odbioru. Dane źródłowe: data/reference/radkowice_investment_dates_2026-09-17_v1.json.</x:v>
      </x:c>
    </x:row>
    <x:row r="580" ht="66" customHeight="1">
      <x:c r="A580" s="59" t="str">
        <x:v>docs/16_radkowice_public_followup.md</x:v>
      </x:c>
      <x:c r="B580" s="59" t="str">
        <x:v>17.09.2026 — nierozstrzygnięty rok lub zakres wymiany transformatora</x:v>
      </x:c>
      <x:c r="C580" s="59" t="str">
        <x:v>Odtwarzanie: python scripts/build_radkowice_investment_review.py --output NOWY_PLIK.json. Skrypt kontroluje hashe, kontekst listy PDF oraz jedną dokładnie oznaczoną sekcję HTML. Błąd schematu zatrzymuje ekstrakcję. Testy obejmują brak roku, sąsiednią inwestycję, powtórzony nagłówek, przypis i rzeczywiste snapshoty. Nie jest to pełny parser raportów PSE. Obie wartości pozostają REPORTED, wybrany rok i dodatkowe MW są null.</x:v>
      </x:c>
    </x:row>
    <x:row r="581" ht="38" customHeight="1">
      <x:c r="A581" s="59" t="str">
        <x:v>docs/17_local_application.md</x:v>
      </x:c>
      <x:c r="B581" s="59" t="str">
        <x:v>Lokalna aplikacja pilotażowa — Radkowice</x:v>
      </x:c>
      <x:c r="C581" s="59" t="str">
        <x:v>Stan: 2026-09-16. Użytkownik zatwierdził rozpoczęcie aplikacji z oceną przesłanek i ryzyk; porównanie stacji pozostaje późniejszym etapem.</x:v>
      </x:c>
    </x:row>
    <x:row r="582" ht="30" customHeight="1">
      <x:c r="A582" s="59" t="str">
        <x:v>docs/17_local_application.md</x:v>
      </x:c>
      <x:c r="B582" s="59" t="str">
        <x:v>Uruchomienie</x:v>
      </x:c>
      <x:c r="C582" s="59" t="str">
        <x:v>W PowerShell, z folderu projektu:</x:v>
      </x:c>
    </x:row>
    <x:row r="583" ht="30" customHeight="1">
      <x:c r="A583" s="59" t="str">
        <x:v>docs/17_local_application.md</x:v>
      </x:c>
      <x:c r="B583" s="59" t="str">
        <x:v>Uruchomienie</x:v>
      </x:c>
      <x:c r="C583" s="59" t="str">
        <x:v>./scripts/start_local_app.ps1</x:v>
      </x:c>
    </x:row>
    <x:row r="584" ht="66" customHeight="1">
      <x:c r="A584" s="59" t="str">
        <x:v>docs/17_local_application.md</x:v>
      </x:c>
      <x:c r="B584" s="59" t="str">
        <x:v>Uruchomienie</x:v>
      </x:c>
      <x:c r="C584" s="59" t="str">
        <x:v>Otwórz http://127.0.0.1:8787. Zatrzymanie: Ctrl+C w terminalu serwera. Skrypt wybiera Python z .venv, lokalnego środowiska Codex lub PATH; można wskazać -PythonPath i -Port. Aplikacja korzysta wyłącznie z biblioteki standardowej Pythona i lokalnych plików HTML/CSS/JS. Nie wymaga instalowania pakietów. Serwer nasłuchuje wyłącznie na 127.0.0.1. Nie należy udostępniać go jako serwera produkcyjnego.</x:v>
      </x:c>
    </x:row>
    <x:row r="585" ht="66" customHeight="1">
      <x:c r="A585" s="59" t="str">
        <x:v>docs/17_local_application.md</x:v>
      </x:c>
      <x:c r="B585" s="59" t="str">
        <x:v>Zakres</x:v>
      </x:c>
      <x:c r="C585" s="59" t="str">
        <x:v>- Przegląd Radkowic i formularz technologii, napięcia 110/220 kV, maksymalnych mocy importu/eksportu na PCC oraz pojemności BESS. - Trzy zachowane wpisy PSE ze stanem na 31.07.2026, wyszukiwanie, statusy, daty i pochodzenie wartości. - Graf dokumentacyjny 13 obiektów z relacjami i dowodami; nie jest schematem ruchowym ani mapą geograficzną. - Wybrane źródła i 11 potrzeb informacyjnych z dalszym działaniem. - Opinia z uzasadnieniem, osobnymi kierunkami przepływu oraz eksportem JSON.</x:v>
      </x:c>
    </x:row>
    <x:row r="586" ht="66" customHeight="1">
      <x:c r="A586" s="59" t="str">
        <x:v>docs/17_local_application.md</x:v>
      </x:c>
      <x:c r="B586" s="59" t="str">
        <x:v>Interpretacja opinii</x:v>
      </x:c>
      <x:c r="C586" s="59" t="str">
        <x:v>Metoda documentary_screening_v1 jest jakościowym przeglądem dowodów. Dostępna moc, score i prawdopodobieństwo pozostają nieustalone. Zmiana zadanych MW nie uruchamia obliczeń rozpływowych. Technologia i MWh są zapisywane jako kontekst; nie mamy profili pracy ani modelu wykorzystującego pojemność do oceny ograniczeń. Dodatnia moc w każdym kierunku wymaga potwierdzenia operatora. Zero różni się od braku wartości.</x:v>
      </x:c>
    </x:row>
    <x:row r="587" ht="52" customHeight="1">
      <x:c r="A587" s="59" t="str">
        <x:v>docs/17_local_application.md</x:v>
      </x:c>
      <x:c r="B587" s="59" t="str">
        <x:v>Interpretacja opinii</x:v>
      </x:c>
      <x:c r="C587" s="59" t="str">
        <x:v>Wpisy umów 220 kV stanowią punkt odniesienia, a nie dowód rezerwy dla nowego projektu. Ocena 110 kV nie przypisuje tych umów do części PGE. Brak wpisów operacyjnych/oczekujących w próbce nie jest zerową liczbą takich projektów. Sumy mocy są sumami wierszy zachowanej publikacji, nie obciążeniem stacji ani zajętością mostu.</x:v>
      </x:c>
    </x:row>
    <x:row r="588" ht="66" customHeight="1">
      <x:c r="A588" s="59" t="str">
        <x:v>docs/17_local_application.md</x:v>
      </x:c>
      <x:c r="B588" s="59" t="str">
        <x:v>Dane, prywatność i odtwarzalność</x:v>
      </x:c>
      <x:c r="C588" s="59" t="str">
        <x:v>Backend czyta jawną listę czterech plików: widok pipeline v1, graf v2, rejestr potrzeb i katalog źródeł. Nie udostępnia katalogów repozytorium, _secrets ani prywatnych warunków przyłączenia. Parametry formularza pozostają w pamięci sesji; odświeżenie usuwa je. Eksport zawiera parametry, datę UTC, wersję i hash metody oraz dokładny zestaw dowodów użytych podczas oceny z hashami plików wejściowych. Nie zawiera oryginalnych PDF/XLSX; ich odtworzenie wymaga zachowanego archiwum źródeł.</x:v>
      </x:c>
    </x:row>
    <x:row r="589" ht="38" customHeight="1">
      <x:c r="A589" s="59" t="str">
        <x:v>docs/17_local_application.md</x:v>
      </x:c>
      <x:c r="B589" s="59" t="str">
        <x:v>Dane, prywatność i odtwarzalność</x:v>
      </x:c>
      <x:c r="C589" s="59" t="str">
        <x:v>Zmiana formularza unieważnia poprzednią opinię. Źródła mają własne daty; uruchomienie aplikacji nie pobiera nowych danych operatorów. Linki zewnętrzne otwierają się dopiero po wybraniu przez użytkownika.</x:v>
      </x:c>
    </x:row>
    <x:row r="590" ht="66" customHeight="1">
      <x:c r="A590" s="59" t="str">
        <x:v>docs/17_local_application.md</x:v>
      </x:c>
      <x:c r="B590" s="59" t="str">
        <x:v>Walidacja i dalszy rozwój</x:v>
      </x:c>
      <x:c r="C590" s="59" t="str">
        <x:v>Testy tests/test_local_app.py sprawdzają niezależność kierunków, brak przenoszenia wniosków 220→110 kV, walidację formularza, wersjonowanie wyniku i brak dostępu do dowolnych plików. W przeglądarce sprawdzono formularz oraz zmianę poziomu napięcia. Automatyczne potwierdzenie zdarzenia pobrania JSON w przeglądarce Codex nie powiodło się; dostępny jest też tekst raportu do ręcznego zapisania.</x:v>
      </x:c>
    </x:row>
    <x:row r="591" ht="52" customHeight="1">
      <x:c r="A591" s="59" t="str">
        <x:v>docs/17_local_application.md</x:v>
      </x:c>
      <x:c r="B591" s="59" t="str">
        <x:v>Walidacja i dalszy rozwój</x:v>
      </x:c>
      <x:c r="C591" s="59" t="str">
        <x:v>To ograniczony pilot, nie zamknięcie zadania pełnego MVP. Następne kroki: uzupełnienie źródeł PGE, test użytkownika, lepsza prezentacja relacji, następnie mapa na zweryfikowanych współrzędnych. Docelowa architektura PostgreSQL/PostGIS i API pozostaje rekomendacją; obecny adapter można zastąpić bez przenoszenia metody analitycznej do UI.</x:v>
      </x:c>
    </x:row>
    <x:row r="592" ht="52" customHeight="1">
      <x:c r="A592" s="59" t="str">
        <x:v>docs/17_local_application.md</x:v>
      </x:c>
      <x:c r="B592" s="59" t="str">
        <x:v>Uzupełnienie 17.09.2026</x:v>
      </x:c>
      <x:c r="C592" s="59" t="str">
        <x:v>Ocena documentary_screening_v2 korzysta także z piątego jawnie wskazanego snapshotu: przeglądu dat inwestycji PSE. Pokazuje rozbieżność roku lub zakresu wraz z dwoma źródłami, bez wyboru daty odbioru lub dodatkowej mocy. Eksport zapisuje przegląd i jego hash. Wcześniejsze wyniki v1 pozostają historyczne; nie są nadpisywane. Nie dodano prywatnych dokumentów do API.</x:v>
      </x:c>
    </x:row>
    <x:row r="593" ht="52" customHeight="1">
      <x:c r="A593" s="59" t="str">
        <x:v>docs/17_local_application.md</x:v>
      </x:c>
      <x:c r="B593" s="59" t="str">
        <x:v>Uzupełnienie 17.09.2026</x:v>
      </x:c>
      <x:c r="C593" s="59" t="str">
        <x:v>Sprawdzono działającą aplikację w przeglądarce: scenariusz testowy BESS 50 MW eksportu i 20 MW importu pokazuje nową rozbieżność oraz oba źródła, zachowując niezależne kierunki i nieznaną rezerwę. Są to parametry testu interfejsu, nie nowy rekord inwestycji.</x:v>
      </x:c>
    </x:row>
    <x:row r="594" ht="52" customHeight="1">
      <x:c r="A594" s="59" t="str">
        <x:v>docs/private_sources.md</x:v>
      </x:c>
      <x:c r="B594" s="59" t="str">
        <x:v>Materiały użytkownika i prywatne wyniki</x:v>
      </x:c>
      <x:c r="C594" s="59" t="str">
        <x:v>Od 11.09.2026 dokumenty przekazane do analizy mogą być przechowywane w data/private/. Ten katalog jest wyłączony z Git. Ogólny raport Excel czyta jawną listę dokumentów i nie obejmuje prywatnych plików ani ich treści. Dane nie stają się publicznym źródłem operatora przez samo przesłanie pliku.</x:v>
      </x:c>
    </x:row>
    <x:row r="595" ht="52" customHeight="1">
      <x:c r="A595" s="59" t="str">
        <x:v>docs/private_sources.md</x:v>
      </x:c>
      <x:c r="B595" s="59" t="str">
        <x:v>Materiały użytkownika i prywatne wyniki</x:v>
      </x:c>
      <x:c r="C595" s="59" t="str">
        <x:v>Prywatny przegląd zachowuje niezmieniony dokument, SHA-256, wersję notatki i obserwacji, strony dowodowe, datę odczytu oraz osobną paczkę z manifestem. Zmiana przeglądu wymaga nowej wersji; nie należy nadpisywać poprzedniej. Prywatne archiwum wymaga niezależnej kopii, podobnie jak archiwum publicznych źródeł. Nie potwierdzono jej wykonania.</x:v>
      </x:c>
    </x:row>
    <x:row r="596" ht="66" customHeight="1">
      <x:c r="A596" s="59" t="str">
        <x:v>docs/private_sources.md</x:v>
      </x:c>
      <x:c r="B596" s="59" t="str">
        <x:v>Materiały użytkownika i prywatne wyniki</x:v>
      </x:c>
      <x:c r="C596" s="59" t="str">
        <x:v>Wykonano pierwszy lokalny przegląd wybranych części dokumentu użytkownika z kontrolą rysunków. Jest to przegląd techniczny, nie weryfikacja kryptograficzna podpisu, pełna analiza prawna ani potwierdzenie najnowszej wersji. Szczegółowe wyniki pozostają w katalogu prywatnym. Informacje dopowiedziane przez użytkownika mają odrębną proweniencję i nie są przedstawiane jako treść PDF.</x:v>
      </x:c>
    </x:row>
    <x:row r="597" ht="52" customHeight="1">
      <x:c r="A597" s="59" t="str">
        <x:v>docs/private_sources.md</x:v>
      </x:c>
      <x:c r="B597" s="59" t="str">
        <x:v>Materiały użytkownika i prywatne wyniki</x:v>
      </x:c>
      <x:c r="C597" s="59" t="str">
        <x:v>Integracja prywatnych obserwacji z aplikacją pozostaje osobnym zadaniem. Wynik oparty choć częściowo na źródle prywatnym powinien dziedziczyć jego ograniczenia dostępu. Nie można wysłać takiego wyniku do ogólnego eksportu wyłącznie dlatego, że usunięto sam PDF. Na razie nie wdrożono mechanizmu kontroli dostępu w aplikacji.</x:v>
      </x:c>
    </x:row>
    <x:row r="598" ht="66" customHeight="1">
      <x:c r="A598" s="59" t="str">
        <x:v>docs/private_sources.md</x:v>
      </x:c>
      <x:c r="B598" s="59" t="str">
        <x:v>16.09.2026 — nowy pakiet mostu i historyczny GIS</x:v>
      </x:c>
      <x:c r="C598" s="59" t="str">
        <x:v>Wykonano inwentaryzację nowych materiałów użytkownika, zachowano sumy kontrolne i prywatne przeglądy. Kontrola objęła kluczowe rysunki i wytyczne mostu oraz strukturę, liczebność i podstawowe kontrole GeoPackage. Nie obejmuje pełnego audytu CAD, konstrukcji, podpisów ani geometrycznej dokładności GIS. Szczegółowe parametry, przypisania i rozbieżności pozostają poza ogólnym raportem i aplikacją.</x:v>
      </x:c>
    </x:row>
    <x:row r="599" ht="66" customHeight="1">
      <x:c r="A599" s="59" t="str">
        <x:v>docs/private_sources.md</x:v>
      </x:c>
      <x:c r="B599" s="59" t="str">
        <x:v>16.09.2026 — nowy pakiet mostu i historyczny GIS</x:v>
      </x:c>
      <x:c r="C599" s="59" t="str">
        <x:v>Użytkownik określił zbiór GIS jako kompilację danych publicznych ze stanem na 2024 rok. Zachować oddzielnie deklarowaną datę zbioru, metadane plików i horyzonty prognoz. Potrzeba ustalenia pochodzenia i zasad użycia trafiła do NEED-012; aktualne rewizje dokumentacji do NEED-013. NEED-001 oznaczono jako otrzymany materiał, bez uznawania go za kompletny projekt wykonawczy/powykonawczy.</x:v>
      </x:c>
    </x:row>
    <x:row r="600" ht="66" customHeight="1">
      <x:c r="A600" s="59" t="str">
        <x:v>docs/private_sources.md</x:v>
      </x:c>
      <x:c r="B600" s="59" t="str">
        <x:v>16.09.2026 — nowy pakiet mostu i historyczny GIS</x:v>
      </x:c>
      <x:c r="C600" s="59" t="str">
        <x:v>Odtwarzalny inspektor: scripts/inspect_private_materials.py ROOT OUTPUT. Oba katalogi muszą być w data/private; OUTPUT musi być nowy i poza ROOT. Oryginały nie są modyfikowane; SQLite otwierany jest tylko do odczytu. Wszystkie wyjścia inspekcji i manifesty prywatnych plików pozostają poza Git. Repozytorium wersjonuje kod i ogólny status prac. Pełna odtwarzalność wymaga prywatnej kopii źródeł i wyników poza komputerem.</x:v>
      </x:c>
    </x:row>
    <x:row r="601" ht="38" customHeight="1">
      <x:c r="A601" s="59" t="str">
        <x:v>docs/private_sources.md</x:v>
      </x:c>
      <x:c r="B601" s="59" t="str">
        <x:v>Kontrola geometrii i historycznych pól mocowych</x:v>
      </x:c>
      <x:c r="C601" s="59" t="str">
        <x:v>Opcjonalne zależności GIS są przypięte w requirements-gis.txt. Instalacja: python -m venv .venv, następnie .venv/Scripts/python.exe -m pip install -r requirements-gis.txt. Nie są wymagane do aplikacji pilotażowej. Testy GIS wymagają tego środowiska.</x:v>
      </x:c>
    </x:row>
    <x:row r="602" ht="30" customHeight="1">
      <x:c r="A602" s="59" t="str">
        <x:v>docs/private_sources.md</x:v>
      </x:c>
      <x:c r="B602" s="59" t="str">
        <x:v>Kontrola geometrii i historycznych pól mocowych</x:v>
      </x:c>
      <x:c r="C602" s="59" t="str">
        <x:v>Polecenia (OUTPUT musi być nowym katalogiem pod data/private, poza ROOT):</x:v>
      </x:c>
    </x:row>
    <x:row r="603" ht="38" customHeight="1">
      <x:c r="A603" s="59" t="str">
        <x:v>docs/private_sources.md</x:v>
      </x:c>
      <x:c r="B603" s="59" t="str">
        <x:v>Kontrola geometrii i historycznych pól mocowych</x:v>
      </x:c>
      <x:c r="C603" s="59" t="str">
        <x:v>.venv/Scripts/python.exe scripts/audit_private_gis_geometry.py ROOT OUTPUT .venv/Scripts/python.exe scripts/normalize_private_gis_capacity.py ROOT OUTPUT --compilation-year 2024 .venv/Scripts/python.exe -m unittest discover -s tests</x:v>
      </x:c>
    </x:row>
    <x:row r="604" ht="80" customHeight="1">
      <x:c r="A604" s="59" t="str">
        <x:v>docs/private_sources.md</x:v>
      </x:c>
      <x:c r="B604" s="59" t="str">
        <x:v>Kontrola geometrii i historycznych pól mocowych</x:v>
      </x:c>
      <x:c r="C604" s="59" t="str">
        <x:v>Audyt odczytuje nagłówki GeoPackage i WKB, sprawdza CRS, poprawność geometrii, zakres współrzędnych oraz zgodność XY z KMZ. Brak fid w KMZ uruchamia porównanie multizbioru geometrii bez dowodu tożsamości obiektów. Jeden rekord KMZ może dopasować się tylko raz. Jednoczęściowy MultiLineString i LineString są równoważne wyłącznie w tym porównaniu eksportów. Zbieżne punkty pozostają kandydatami do ręcznej analizy. Kontrola nie dowodzi dokładności terenowej, topologii elektrycznej ani zgodności ze wszystkimi wymaganiami OGC.</x:v>
      </x:c>
    </x:row>
    <x:row r="605" ht="80" customHeight="1">
      <x:c r="A605" s="59" t="str">
        <x:v>docs/private_sources.md</x:v>
      </x:c>
      <x:c r="B605" s="59" t="str">
        <x:v>Kontrola geometrii i historycznych pól mocowych</x:v>
      </x:c>
      <x:c r="C605" s="59" t="str">
        <x:v>Normalizacja zachowuje każdą rozpoznaną kolumnę mocy, nazwę pola, fid, tabelę i hash źródła. REPORTED oznacza przepisanie z kompilacji użytkownika, nie bezpośrednie potwierdzenie operatora. Zero pozostaje zerem, braki pozostają UNKNOWN. Złożone lub nierozpoznane wartości zachowują treść źródłową i trafiają do przeglądu. Nieznana kolumna jest zgłaszana osobno. Nic nie jest automatycznie sumowane. Kierunek mocy i niepotwierdzone daty pozostają nieznane. Rok kolumny jest horyzontem starego zbioru, a nie datą nowej obserwacji.</x:v>
      </x:c>
    </x:row>
    <x:row r="606" ht="52" customHeight="1">
      <x:c r="A606" s="59" t="str">
        <x:v>docs/private_sources.md</x:v>
      </x:c>
      <x:c r="B606" s="59" t="str">
        <x:v>Kontrola geometrii i historycznych pól mocowych</x:v>
      </x:c>
      <x:c r="C606" s="59" t="str">
        <x:v>Grupy stacji, obszary i dzielnice mają oddzielny zakres obowiązywania; diagnostyka powtarzających się wartości nie tworzy rezerwy stacji ani mapowania sekcji szyn. Szczegóły pozostają w data/private/reviews. Ogólny raport zawiera postęp i dalsze zadania. Oryginały są tylko odczytywane, a ich hashe sprawdzane ponownie na końcu przetwarzania każdego pliku.</x:v>
      </x:c>
    </x:row>
    <x:row r="607" ht="80" customHeight="1">
      <x:c r="A607" s="59" t="str">
        <x:v>docs/private_sources.md</x:v>
      </x:c>
      <x:c r="B607" s="59" t="str">
        <x:v>Kontrola geometrii i historycznych pól mocowych</x:v>
      </x:c>
      <x:c r="C607" s="59" t="str">
        <x:v>Porównanie atrybutów alternatywnych eksportów: .venv/Scripts/python.exe scripts/compare_private_gis_tables.py ROOT OUTPUT. Wymaga także zależności z requirements-research.txt. Czyta XLSX tylko do odczytu, odrzuca formuły zamiast ufać nieaktualnym wynikom zapisanym w pliku. Sprawdza nagłówki i porównuje multizbiory pełnych wierszy, więc kolejność i powtórzenia nie powodują automatycznego scalania. Zmiany schematu przerywają porównanie. Diagnostyka możliwej zamiany dwóch kolumn nie naprawia źródła i nie usuwa oryginalnego ostrzeżenia. Wyniki są prywatne.</x:v>
      </x:c>
    </x:row>
    <x:row r="608" ht="80" customHeight="1">
      <x:c r="A608" s="59" t="str">
        <x:v>docs/private_sources.md</x:v>
      </x:c>
      <x:c r="B608" s="59" t="str">
        <x:v>17.09.2026 — uzupełnienie dokumentacji mostu</x:v>
      </x:c>
      <x:c r="C608" s="59" t="str">
        <x:v>Rozszerzono prywatny przegląd o przekrój pola, zestawienie szaf oraz cztery arkusze etapowania. Zachowano nowe obserwacje i nierozstrzygniętą rozbieżność przypisań między dokumentami; wcześniejsze dowody pozostają niezmienione. Potwierdzono zgodność hashy całego pakietu ze wcześniejszą inwentaryzacją. Doprecyzowano NEED-013 o spójność schematów, przekrojów i zestawień. Nie zmieniono modelu publicznej aplikacji, nie uznano planowanych wyłączeń za fakty eksploatacyjne ani nie wyliczono wolnej mocy. Szczegółowe źródła, strony i parametry pozostają w prywatnym przeglądzie z 17.09.2026.</x:v>
      </x:c>
    </x:row>
    <x:row r="609" ht="80" customHeight="1">
      <x:c r="A609" s="59" t="str">
        <x:v>docs/private_sources.md</x:v>
      </x:c>
      <x:c r="B609" s="59" t="str">
        <x:v>17.09.2026 — uzupełnienie dokumentacji mostu</x:v>
      </x:c>
      <x:c r="C609" s="59" t="str">
        <x:v>Przegląd zapisów wielogrupowych: scripts/review_private_gis_groups.py ROOT OUTPUT. Wymaga zgodności kolejności nazw z numerowanym opisem, zgodnej liczby składników i jednostki MW. Porównuje kandydatów wyłącznie z wpisami pojedynczych grup w tej samej warstwie i roku. Zgodność wewnątrz kompilacji nie stanowi niezależnego potwierdzenia; przypisania pozostają INFERRED, bez promocji pierwotnych UNKNOWN do aktualnej mocy. Brak porównania i konflikty są jawne. Wyniki, pełne opisy oraz powiązania fid pozostają prywatne.</x:v>
      </x:c>
    </x:row>
    <x:row r="610" ht="66" customHeight="1">
      <x:c r="A610" s="59" t="str">
        <x:v>docs/private_sources.md</x:v>
      </x:c>
      <x:c r="B610" s="59" t="str">
        <x:v>17.09.2026 — rejestr historycznych wpisów o inwestycjach</x:v>
      </x:c>
      <x:c r="C610" s="59" t="str">
        <x:v>Polecenie: .venv/Scripts/python.exe scripts/normalize_private_gis_investments.py ROOT OUTPUT. Odczytuje dziewięć jawnie wskazanych warstw inwestycji, modernizacji i planów przestrzennych. Wymaga pełnego zestawu plików oraz oczekiwanych pól; błędy geometrii lub zmienione hashe przerywają budowę wyniku. Nie odczytuje pozostałych katalogów ani sekretów. OUTPUT musi być nowym, prywatnym katalogiem poza wejściem.</x:v>
      </x:c>
    </x:row>
    <x:row r="611" ht="94" customHeight="1">
      <x:c r="A611" s="59" t="str">
        <x:v>docs/private_sources.md</x:v>
      </x:c>
      <x:c r="B611" s="59" t="str">
        <x:v>17.09.2026 — rejestr historycznych wpisów o inwestycjach</x:v>
      </x:c>
      <x:c r="C611" s="59" t="str">
        <x:v>Każdy wpis zachowuje wszystkie atrybuty, źródłową tabelę, fid i hash. Stabilny identyfikator odnosi się do wiersza konkretnego snapshotu, nie do rozpoznanej inwestycji. Nazwy podobne, powtórzenia i współrzędne nie powodują scalania. Klasyfikacja historyczna wynika wyłącznie z nazwy warstwy i jest oznaczona INFERRED; nie stanowi potwierdzenia aktualnego statusu. Pole roku normalizowane jest tylko wtedy, gdy zawiera pojedynczy czterocyfrowy rok; zakresy i opisy wielu zadań pozostają do przeglądu. Zachowane deklaracje REPORTED dotyczą kompilacji, nie niezależnie zweryfikowanych dokumentów operatora. Rozbieżność kolumn między eksportami pozostaje</x:v>
      </x:c>
    </x:row>
    <x:row r="612" ht="38" customHeight="1">
      <x:c r="A612" s="59" t="str">
        <x:v>docs/private_sources.md</x:v>
      </x:c>
      <x:c r="B612" s="59" t="str">
        <x:v>17.09.2026 — rejestr historycznych wpisów o inwestycjach</x:v>
      </x:c>
      <x:c r="C612" s="59" t="str">
        <x:v>widoczna.</x:v>
      </x:c>
    </x:row>
    <x:row r="613" ht="80" customHeight="1">
      <x:c r="A613" s="59" t="str">
        <x:v>docs/private_sources.md</x:v>
      </x:c>
      <x:c r="B613" s="59" t="str">
        <x:v>17.09.2026 — rejestr historycznych wpisów o inwestycjach</x:v>
      </x:c>
      <x:c r="C613" s="59" t="str">
        <x:v>Prywatny wynik obejmuje rejestr JSON, przegląd i kolejkę adresów do weryfikacji. Grupowanie identycznych URL służy ograniczeniu przyszłych pobrań; nie jest dopasowaniem inwestycji ani dowodem wiarygodności strony. Pierwotne teksty linków pozostają w atrybutach. Nie wykonywano masowego pobierania adresów. Daty załączenia, bieżące statusy, tożsamość inwestycji i przyrosty dostępnej mocy pozostają nieustalone. Wynik nie zasila publicznego API ani ogólnego raportu szczegółami prywatnego zbioru; raport obejmuje postęp i ograniczenia.</x:v>
      </x:c>
    </x:row>
  </x:sheetData>
  <x:pageMargins left="0.7" right="0.7" top="0.75" bottom="0.75" header="0.3" footer="0.3"/>
  <x:tableParts count="1">
    <x:tablePart xmlns:r="http://schemas.openxmlformats.org/officeDocument/2006/relationships" r:id="R9cb95275dc6645a8"/>
  </x:tableParts>
</x:worksheet>
</file>

<file path=xl/worksheets/sheet10.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30" hidden="0" customWidth="1"/>
    <x:col min="2" max="2" width="85" hidden="0" customWidth="1"/>
    <x:col min="3" max="3" width="110" hidden="0" customWidth="1"/>
  </x:cols>
  <x:sheetData>
    <x:row r="1">
      <x:c r="A1" s="49"/>
      <x:c r="B1" s="49"/>
      <x:c r="C1" s="49"/>
    </x:row>
    <x:row r="2" ht="30" customHeight="1">
      <x:c r="A2" s="50" t="str">
        <x:v>Zapisane wyniki kontroli badania</x:v>
      </x:c>
      <x:c r="B2" s="49"/>
      <x:c r="C2" s="49"/>
    </x:row>
    <x:row r="3">
      <x:c r="A3" s="51"/>
      <x:c r="B3" s="51"/>
      <x:c r="C3" s="51"/>
    </x:row>
    <x:row r="4">
      <x:c r="A4" s="52" t="str">
        <x:v>To zapis wcześniejszych kontroli z podaną datą, nie potwierdzenie aktualnego stanu zdalnych serwisów.</x:v>
      </x:c>
      <x:c r="B4" s="49"/>
      <x:c r="C4" s="49"/>
    </x:row>
    <x:row r="5">
      <x:c r="A5" s="49"/>
      <x:c r="B5" s="49"/>
      <x:c r="C5" s="49"/>
    </x:row>
    <x:row r="6" ht="34" customHeight="1">
      <x:c r="A6" s="58" t="str">
        <x:v>Grupa / źródło</x:v>
      </x:c>
      <x:c r="B6" s="58" t="str">
        <x:v>Kontrola</x:v>
      </x:c>
      <x:c r="C6" s="58" t="str">
        <x:v>Wynik / wyjaśnienie</x:v>
      </x:c>
    </x:row>
    <x:row r="7" ht="30" customHeight="1">
      <x:c r="A7" s="59" t="str">
        <x:v>Walidacja badania</x:v>
      </x:c>
      <x:c r="B7" s="59" t="str">
        <x:v>Data wykonania</x:v>
      </x:c>
      <x:c r="C7" s="82" t="n">
        <x:v>46282.28179123843</x:v>
      </x:c>
    </x:row>
    <x:row r="8" ht="30" customHeight="1">
      <x:c r="A8" s="59" t="str">
        <x:v>Walidacja badania</x:v>
      </x:c>
      <x:c r="B8" s="59" t="str">
        <x:v>Wynik zapisany</x:v>
      </x:c>
      <x:c r="C8" s="59" t="str">
        <x:v>PASS_WITH_SOURCE_WARNINGS</x:v>
      </x:c>
    </x:row>
    <x:row r="9" ht="38" customHeight="1">
      <x:c r="A9" s="59" t="str">
        <x:v>Walidacja badania</x:v>
      </x:c>
      <x:c r="B9" s="59" t="str">
        <x:v>Zakres</x:v>
      </x:c>
      <x:c r="C9" s="59" t="str">
        <x:v>Offline research catalog, raw integrity, format checks and selected semantic checks; not full operator parser validation</x:v>
      </x:c>
    </x:row>
    <x:row r="10" ht="30" customHeight="1">
      <x:c r="A10" s="59" t="str">
        <x:v>ENEA_MAP_HTML</x:v>
      </x:c>
      <x:c r="B10" s="59" t="str">
        <x:v>FETCH_ERROR</x:v>
      </x:c>
      <x:c r="C10" s="59" t="str">
        <x:v>Nie pobrano pliku; zachowano nieudaną próbę.</x:v>
      </x:c>
    </x:row>
    <x:row r="11" ht="30" customHeight="1">
      <x:c r="A11" s="59" t="str">
        <x:v>PGE_LANDING</x:v>
      </x:c>
      <x:c r="B11" s="59" t="str">
        <x:v>SOURCE_ACCESS_BLOCKED</x:v>
      </x:c>
      <x:c r="C11" s="59" t="str">
        <x:v>Odpowiedź HTTP 200 jest stroną odrzucenia, nie danymi operatora.</x:v>
      </x:c>
    </x:row>
    <x:row r="12" ht="30" customHeight="1">
      <x:c r="A12" s="59" t="str">
        <x:v>ENERGA_PIPELINE</x:v>
      </x:c>
      <x:c r="B12" s="59" t="str">
        <x:v>TEMPORAL_CONFLICT</x:v>
      </x:c>
      <x:c r="C12" s="59" t="str">
        <x:v>Nazwa pliku 31.08.2026; pierwsza strona 30.06.2026. Nie rozstrzygnięto daty stanu.</x:v>
      </x:c>
    </x:row>
    <x:row r="13" ht="30" customHeight="1">
      <x:c r="A13" s="59" t="str">
        <x:v>PSE_API</x:v>
      </x:c>
      <x:c r="B13" s="59" t="str">
        <x:v>SAMPLE_NOT_CURRENT_SNAPSHOT</x:v>
      </x:c>
      <x:c r="C13" s="59" t="str">
        <x:v>Zapytania first=2 służą kontroli interfejsu; zwróciły starsze daty. Braki redysponowania nie są zerami.</x:v>
      </x:c>
    </x:row>
    <x:row r="14" ht="30" customHeight="1">
      <x:c r="A14" s="59" t="str">
        <x:v>Kontrola lokalna</x:v>
      </x:c>
      <x:c r="B14" s="59" t="str">
        <x:v>catalog_unique_ids</x:v>
      </x:c>
      <x:c r="C14" s="59" t="str">
        <x:v>PASS</x:v>
      </x:c>
    </x:row>
    <x:row r="15" ht="30" customHeight="1">
      <x:c r="A15" s="59" t="str">
        <x:v>Kontrola lokalna</x:v>
      </x:c>
      <x:c r="B15" s="59" t="str">
        <x:v>catalog_fields:PSE_API</x:v>
      </x:c>
      <x:c r="C15" s="59" t="str">
        <x:v>PASS: []</x:v>
      </x:c>
    </x:row>
    <x:row r="16" ht="30" customHeight="1">
      <x:c r="A16" s="59" t="str">
        <x:v>Kontrola lokalna</x:v>
      </x:c>
      <x:c r="B16" s="59" t="str">
        <x:v>catalog_url:PSE_API</x:v>
      </x:c>
      <x:c r="C16" s="59" t="str">
        <x:v>PASS</x:v>
      </x:c>
    </x:row>
    <x:row r="17" ht="30" customHeight="1">
      <x:c r="A17" s="59" t="str">
        <x:v>Kontrola lokalna</x:v>
      </x:c>
      <x:c r="B17" s="59" t="str">
        <x:v>catalog_status:PSE_API</x:v>
      </x:c>
      <x:c r="C17" s="59" t="str">
        <x:v>PASS</x:v>
      </x:c>
    </x:row>
    <x:row r="18" ht="30" customHeight="1">
      <x:c r="A18" s="59" t="str">
        <x:v>Kontrola lokalna</x:v>
      </x:c>
      <x:c r="B18" s="59" t="str">
        <x:v>no_uncalibrated_numeric_quality:PSE_API</x:v>
      </x:c>
      <x:c r="C18" s="59" t="str">
        <x:v>PASS</x:v>
      </x:c>
    </x:row>
    <x:row r="19" ht="30" customHeight="1">
      <x:c r="A19" s="59" t="str">
        <x:v>Kontrola lokalna</x:v>
      </x:c>
      <x:c r="B19" s="59" t="str">
        <x:v>source_rank:PSE_API</x:v>
      </x:c>
      <x:c r="C19" s="59" t="str">
        <x:v>PASS</x:v>
      </x:c>
    </x:row>
    <x:row r="20" ht="30" customHeight="1">
      <x:c r="A20" s="59" t="str">
        <x:v>Kontrola lokalna</x:v>
      </x:c>
      <x:c r="B20" s="59" t="str">
        <x:v>sample_has_local_evidence:PSE_API</x:v>
      </x:c>
      <x:c r="C20" s="59" t="str">
        <x:v>PASS</x:v>
      </x:c>
    </x:row>
    <x:row r="21" ht="30" customHeight="1">
      <x:c r="A21" s="59" t="str">
        <x:v>Kontrola lokalna</x:v>
      </x:c>
      <x:c r="B21" s="59" t="str">
        <x:v>catalog_fields:PSE_PIPELINE</x:v>
      </x:c>
      <x:c r="C21" s="59" t="str">
        <x:v>PASS: []</x:v>
      </x:c>
    </x:row>
    <x:row r="22" ht="30" customHeight="1">
      <x:c r="A22" s="59" t="str">
        <x:v>Kontrola lokalna</x:v>
      </x:c>
      <x:c r="B22" s="59" t="str">
        <x:v>catalog_url:PSE_PIPELINE</x:v>
      </x:c>
      <x:c r="C22" s="59" t="str">
        <x:v>PASS</x:v>
      </x:c>
    </x:row>
    <x:row r="23" ht="30" customHeight="1">
      <x:c r="A23" s="59" t="str">
        <x:v>Kontrola lokalna</x:v>
      </x:c>
      <x:c r="B23" s="59" t="str">
        <x:v>catalog_status:PSE_PIPELINE</x:v>
      </x:c>
      <x:c r="C23" s="59" t="str">
        <x:v>PASS</x:v>
      </x:c>
    </x:row>
    <x:row r="24" ht="30" customHeight="1">
      <x:c r="A24" s="59" t="str">
        <x:v>Kontrola lokalna</x:v>
      </x:c>
      <x:c r="B24" s="59" t="str">
        <x:v>no_uncalibrated_numeric_quality:PSE_PIPELINE</x:v>
      </x:c>
      <x:c r="C24" s="59" t="str">
        <x:v>PASS</x:v>
      </x:c>
    </x:row>
    <x:row r="25" ht="30" customHeight="1">
      <x:c r="A25" s="59" t="str">
        <x:v>Kontrola lokalna</x:v>
      </x:c>
      <x:c r="B25" s="59" t="str">
        <x:v>source_rank:PSE_PIPELINE</x:v>
      </x:c>
      <x:c r="C25" s="59" t="str">
        <x:v>PASS</x:v>
      </x:c>
    </x:row>
    <x:row r="26" ht="30" customHeight="1">
      <x:c r="A26" s="59" t="str">
        <x:v>Kontrola lokalna</x:v>
      </x:c>
      <x:c r="B26" s="59" t="str">
        <x:v>sample_has_local_evidence:PSE_PIPELINE</x:v>
      </x:c>
      <x:c r="C26" s="59" t="str">
        <x:v>PASS</x:v>
      </x:c>
    </x:row>
    <x:row r="27" ht="30" customHeight="1">
      <x:c r="A27" s="59" t="str">
        <x:v>Kontrola lokalna</x:v>
      </x:c>
      <x:c r="B27" s="59" t="str">
        <x:v>catalog_fields:PSE_CAPACITY</x:v>
      </x:c>
      <x:c r="C27" s="59" t="str">
        <x:v>PASS: []</x:v>
      </x:c>
    </x:row>
    <x:row r="28" ht="30" customHeight="1">
      <x:c r="A28" s="59" t="str">
        <x:v>Kontrola lokalna</x:v>
      </x:c>
      <x:c r="B28" s="59" t="str">
        <x:v>catalog_url:PSE_CAPACITY</x:v>
      </x:c>
      <x:c r="C28" s="59" t="str">
        <x:v>PASS</x:v>
      </x:c>
    </x:row>
    <x:row r="29" ht="30" customHeight="1">
      <x:c r="A29" s="59" t="str">
        <x:v>Kontrola lokalna</x:v>
      </x:c>
      <x:c r="B29" s="59" t="str">
        <x:v>catalog_status:PSE_CAPACITY</x:v>
      </x:c>
      <x:c r="C29" s="59" t="str">
        <x:v>PASS</x:v>
      </x:c>
    </x:row>
    <x:row r="30" ht="30" customHeight="1">
      <x:c r="A30" s="59" t="str">
        <x:v>Kontrola lokalna</x:v>
      </x:c>
      <x:c r="B30" s="59" t="str">
        <x:v>no_uncalibrated_numeric_quality:PSE_CAPACITY</x:v>
      </x:c>
      <x:c r="C30" s="59" t="str">
        <x:v>PASS</x:v>
      </x:c>
    </x:row>
    <x:row r="31" ht="30" customHeight="1">
      <x:c r="A31" s="59" t="str">
        <x:v>Kontrola lokalna</x:v>
      </x:c>
      <x:c r="B31" s="59" t="str">
        <x:v>source_rank:PSE_CAPACITY</x:v>
      </x:c>
      <x:c r="C31" s="59" t="str">
        <x:v>PASS</x:v>
      </x:c>
    </x:row>
    <x:row r="32" ht="30" customHeight="1">
      <x:c r="A32" s="59" t="str">
        <x:v>Kontrola lokalna</x:v>
      </x:c>
      <x:c r="B32" s="59" t="str">
        <x:v>sample_has_local_evidence:PSE_CAPACITY</x:v>
      </x:c>
      <x:c r="C32" s="59" t="str">
        <x:v>PASS</x:v>
      </x:c>
    </x:row>
    <x:row r="33" ht="30" customHeight="1">
      <x:c r="A33" s="59" t="str">
        <x:v>Kontrola lokalna</x:v>
      </x:c>
      <x:c r="B33" s="59" t="str">
        <x:v>catalog_fields:PSE_PLAN</x:v>
      </x:c>
      <x:c r="C33" s="59" t="str">
        <x:v>PASS: []</x:v>
      </x:c>
    </x:row>
    <x:row r="34" ht="30" customHeight="1">
      <x:c r="A34" s="59" t="str">
        <x:v>Kontrola lokalna</x:v>
      </x:c>
      <x:c r="B34" s="59" t="str">
        <x:v>catalog_url:PSE_PLAN</x:v>
      </x:c>
      <x:c r="C34" s="59" t="str">
        <x:v>PASS</x:v>
      </x:c>
    </x:row>
    <x:row r="35" ht="30" customHeight="1">
      <x:c r="A35" s="59" t="str">
        <x:v>Kontrola lokalna</x:v>
      </x:c>
      <x:c r="B35" s="59" t="str">
        <x:v>catalog_status:PSE_PLAN</x:v>
      </x:c>
      <x:c r="C35" s="59" t="str">
        <x:v>PASS</x:v>
      </x:c>
    </x:row>
    <x:row r="36" ht="30" customHeight="1">
      <x:c r="A36" s="59" t="str">
        <x:v>Kontrola lokalna</x:v>
      </x:c>
      <x:c r="B36" s="59" t="str">
        <x:v>no_uncalibrated_numeric_quality:PSE_PLAN</x:v>
      </x:c>
      <x:c r="C36" s="59" t="str">
        <x:v>PASS</x:v>
      </x:c>
    </x:row>
    <x:row r="37" ht="30" customHeight="1">
      <x:c r="A37" s="59" t="str">
        <x:v>Kontrola lokalna</x:v>
      </x:c>
      <x:c r="B37" s="59" t="str">
        <x:v>source_rank:PSE_PLAN</x:v>
      </x:c>
      <x:c r="C37" s="59" t="str">
        <x:v>PASS</x:v>
      </x:c>
    </x:row>
    <x:row r="38" ht="30" customHeight="1">
      <x:c r="A38" s="59" t="str">
        <x:v>Kontrola lokalna</x:v>
      </x:c>
      <x:c r="B38" s="59" t="str">
        <x:v>catalog_fields:PSE_STRUCT_B2B</x:v>
      </x:c>
      <x:c r="C38" s="59" t="str">
        <x:v>PASS: []</x:v>
      </x:c>
    </x:row>
    <x:row r="39" ht="30" customHeight="1">
      <x:c r="A39" s="59" t="str">
        <x:v>Kontrola lokalna</x:v>
      </x:c>
      <x:c r="B39" s="59" t="str">
        <x:v>catalog_url:PSE_STRUCT_B2B</x:v>
      </x:c>
      <x:c r="C39" s="59" t="str">
        <x:v>PASS</x:v>
      </x:c>
    </x:row>
    <x:row r="40" ht="30" customHeight="1">
      <x:c r="A40" s="59" t="str">
        <x:v>Kontrola lokalna</x:v>
      </x:c>
      <x:c r="B40" s="59" t="str">
        <x:v>catalog_status:PSE_STRUCT_B2B</x:v>
      </x:c>
      <x:c r="C40" s="59" t="str">
        <x:v>PASS</x:v>
      </x:c>
    </x:row>
    <x:row r="41" ht="30" customHeight="1">
      <x:c r="A41" s="59" t="str">
        <x:v>Kontrola lokalna</x:v>
      </x:c>
      <x:c r="B41" s="59" t="str">
        <x:v>no_uncalibrated_numeric_quality:PSE_STRUCT_B2B</x:v>
      </x:c>
      <x:c r="C41" s="59" t="str">
        <x:v>PASS</x:v>
      </x:c>
    </x:row>
    <x:row r="42" ht="30" customHeight="1">
      <x:c r="A42" s="59" t="str">
        <x:v>Kontrola lokalna</x:v>
      </x:c>
      <x:c r="B42" s="59" t="str">
        <x:v>source_rank:PSE_STRUCT_B2B</x:v>
      </x:c>
      <x:c r="C42" s="59" t="str">
        <x:v>PASS</x:v>
      </x:c>
    </x:row>
    <x:row r="43" ht="30" customHeight="1">
      <x:c r="A43" s="59" t="str">
        <x:v>Kontrola lokalna</x:v>
      </x:c>
      <x:c r="B43" s="59" t="str">
        <x:v>unverified_not_successful:PSE_STRUCT_B2B</x:v>
      </x:c>
      <x:c r="C43" s="59" t="str">
        <x:v>PASS</x:v>
      </x:c>
    </x:row>
    <x:row r="44" ht="30" customHeight="1">
      <x:c r="A44" s="59" t="str">
        <x:v>Kontrola lokalna</x:v>
      </x:c>
      <x:c r="B44" s="59" t="str">
        <x:v>catalog_fields:ENERGA_LANDING</x:v>
      </x:c>
      <x:c r="C44" s="59" t="str">
        <x:v>PASS: []</x:v>
      </x:c>
    </x:row>
    <x:row r="45" ht="30" customHeight="1">
      <x:c r="A45" s="59" t="str">
        <x:v>Kontrola lokalna</x:v>
      </x:c>
      <x:c r="B45" s="59" t="str">
        <x:v>catalog_url:ENERGA_LANDING</x:v>
      </x:c>
      <x:c r="C45" s="59" t="str">
        <x:v>PASS</x:v>
      </x:c>
    </x:row>
    <x:row r="46" ht="30" customHeight="1">
      <x:c r="A46" s="59" t="str">
        <x:v>Kontrola lokalna</x:v>
      </x:c>
      <x:c r="B46" s="59" t="str">
        <x:v>catalog_status:ENERGA_LANDING</x:v>
      </x:c>
      <x:c r="C46" s="59" t="str">
        <x:v>PASS</x:v>
      </x:c>
    </x:row>
    <x:row r="47" ht="30" customHeight="1">
      <x:c r="A47" s="59" t="str">
        <x:v>Kontrola lokalna</x:v>
      </x:c>
      <x:c r="B47" s="59" t="str">
        <x:v>no_uncalibrated_numeric_quality:ENERGA_LANDING</x:v>
      </x:c>
      <x:c r="C47" s="59" t="str">
        <x:v>PASS</x:v>
      </x:c>
    </x:row>
    <x:row r="48" ht="30" customHeight="1">
      <x:c r="A48" s="59" t="str">
        <x:v>Kontrola lokalna</x:v>
      </x:c>
      <x:c r="B48" s="59" t="str">
        <x:v>source_rank:ENERGA_LANDING</x:v>
      </x:c>
      <x:c r="C48" s="59" t="str">
        <x:v>PASS</x:v>
      </x:c>
    </x:row>
    <x:row r="49" ht="30" customHeight="1">
      <x:c r="A49" s="59" t="str">
        <x:v>Kontrola lokalna</x:v>
      </x:c>
      <x:c r="B49" s="59" t="str">
        <x:v>catalog_fields:ENERGA_EXPORT</x:v>
      </x:c>
      <x:c r="C49" s="59" t="str">
        <x:v>PASS: []</x:v>
      </x:c>
    </x:row>
    <x:row r="50" ht="30" customHeight="1">
      <x:c r="A50" s="59" t="str">
        <x:v>Kontrola lokalna</x:v>
      </x:c>
      <x:c r="B50" s="59" t="str">
        <x:v>catalog_url:ENERGA_EXPORT</x:v>
      </x:c>
      <x:c r="C50" s="59" t="str">
        <x:v>PASS</x:v>
      </x:c>
    </x:row>
    <x:row r="51" ht="30" customHeight="1">
      <x:c r="A51" s="59" t="str">
        <x:v>Kontrola lokalna</x:v>
      </x:c>
      <x:c r="B51" s="59" t="str">
        <x:v>catalog_status:ENERGA_EXPORT</x:v>
      </x:c>
      <x:c r="C51" s="59" t="str">
        <x:v>PASS</x:v>
      </x:c>
    </x:row>
    <x:row r="52" ht="30" customHeight="1">
      <x:c r="A52" s="59" t="str">
        <x:v>Kontrola lokalna</x:v>
      </x:c>
      <x:c r="B52" s="59" t="str">
        <x:v>no_uncalibrated_numeric_quality:ENERGA_EXPORT</x:v>
      </x:c>
      <x:c r="C52" s="59" t="str">
        <x:v>PASS</x:v>
      </x:c>
    </x:row>
    <x:row r="53" ht="30" customHeight="1">
      <x:c r="A53" s="59" t="str">
        <x:v>Kontrola lokalna</x:v>
      </x:c>
      <x:c r="B53" s="59" t="str">
        <x:v>source_rank:ENERGA_EXPORT</x:v>
      </x:c>
      <x:c r="C53" s="59" t="str">
        <x:v>PASS</x:v>
      </x:c>
    </x:row>
    <x:row r="54" ht="30" customHeight="1">
      <x:c r="A54" s="59" t="str">
        <x:v>Kontrola lokalna</x:v>
      </x:c>
      <x:c r="B54" s="59" t="str">
        <x:v>sample_has_local_evidence:ENERGA_EXPORT</x:v>
      </x:c>
      <x:c r="C54" s="59" t="str">
        <x:v>PASS</x:v>
      </x:c>
    </x:row>
    <x:row r="55" ht="30" customHeight="1">
      <x:c r="A55" s="59" t="str">
        <x:v>Kontrola lokalna</x:v>
      </x:c>
      <x:c r="B55" s="59" t="str">
        <x:v>catalog_fields:ENERGA_IMPORT</x:v>
      </x:c>
      <x:c r="C55" s="59" t="str">
        <x:v>PASS: []</x:v>
      </x:c>
    </x:row>
    <x:row r="56" ht="30" customHeight="1">
      <x:c r="A56" s="59" t="str">
        <x:v>Kontrola lokalna</x:v>
      </x:c>
      <x:c r="B56" s="59" t="str">
        <x:v>catalog_url:ENERGA_IMPORT</x:v>
      </x:c>
      <x:c r="C56" s="59" t="str">
        <x:v>PASS</x:v>
      </x:c>
    </x:row>
    <x:row r="57" ht="30" customHeight="1">
      <x:c r="A57" s="59" t="str">
        <x:v>Kontrola lokalna</x:v>
      </x:c>
      <x:c r="B57" s="59" t="str">
        <x:v>catalog_status:ENERGA_IMPORT</x:v>
      </x:c>
      <x:c r="C57" s="59" t="str">
        <x:v>PASS</x:v>
      </x:c>
    </x:row>
    <x:row r="58" ht="30" customHeight="1">
      <x:c r="A58" s="59" t="str">
        <x:v>Kontrola lokalna</x:v>
      </x:c>
      <x:c r="B58" s="59" t="str">
        <x:v>no_uncalibrated_numeric_quality:ENERGA_IMPORT</x:v>
      </x:c>
      <x:c r="C58" s="59" t="str">
        <x:v>PASS</x:v>
      </x:c>
    </x:row>
    <x:row r="59" ht="30" customHeight="1">
      <x:c r="A59" s="59" t="str">
        <x:v>Kontrola lokalna</x:v>
      </x:c>
      <x:c r="B59" s="59" t="str">
        <x:v>source_rank:ENERGA_IMPORT</x:v>
      </x:c>
      <x:c r="C59" s="59" t="str">
        <x:v>PASS</x:v>
      </x:c>
    </x:row>
    <x:row r="60" ht="30" customHeight="1">
      <x:c r="A60" s="59" t="str">
        <x:v>Kontrola lokalna</x:v>
      </x:c>
      <x:c r="B60" s="59" t="str">
        <x:v>sample_has_local_evidence:ENERGA_IMPORT</x:v>
      </x:c>
      <x:c r="C60" s="59" t="str">
        <x:v>PASS</x:v>
      </x:c>
    </x:row>
    <x:row r="61" ht="30" customHeight="1">
      <x:c r="A61" s="59" t="str">
        <x:v>Kontrola lokalna</x:v>
      </x:c>
      <x:c r="B61" s="59" t="str">
        <x:v>catalog_fields:ENERGA_PIPELINE</x:v>
      </x:c>
      <x:c r="C61" s="59" t="str">
        <x:v>PASS: []</x:v>
      </x:c>
    </x:row>
    <x:row r="62" ht="30" customHeight="1">
      <x:c r="A62" s="59" t="str">
        <x:v>Kontrola lokalna</x:v>
      </x:c>
      <x:c r="B62" s="59" t="str">
        <x:v>catalog_url:ENERGA_PIPELINE</x:v>
      </x:c>
      <x:c r="C62" s="59" t="str">
        <x:v>PASS</x:v>
      </x:c>
    </x:row>
    <x:row r="63" ht="30" customHeight="1">
      <x:c r="A63" s="59" t="str">
        <x:v>Kontrola lokalna</x:v>
      </x:c>
      <x:c r="B63" s="59" t="str">
        <x:v>catalog_status:ENERGA_PIPELINE</x:v>
      </x:c>
      <x:c r="C63" s="59" t="str">
        <x:v>PASS</x:v>
      </x:c>
    </x:row>
    <x:row r="64" ht="30" customHeight="1">
      <x:c r="A64" s="59" t="str">
        <x:v>Kontrola lokalna</x:v>
      </x:c>
      <x:c r="B64" s="59" t="str">
        <x:v>no_uncalibrated_numeric_quality:ENERGA_PIPELINE</x:v>
      </x:c>
      <x:c r="C64" s="59" t="str">
        <x:v>PASS</x:v>
      </x:c>
    </x:row>
    <x:row r="65" ht="30" customHeight="1">
      <x:c r="A65" s="59" t="str">
        <x:v>Kontrola lokalna</x:v>
      </x:c>
      <x:c r="B65" s="59" t="str">
        <x:v>source_rank:ENERGA_PIPELINE</x:v>
      </x:c>
      <x:c r="C65" s="59" t="str">
        <x:v>PASS</x:v>
      </x:c>
    </x:row>
    <x:row r="66" ht="30" customHeight="1">
      <x:c r="A66" s="59" t="str">
        <x:v>Kontrola lokalna</x:v>
      </x:c>
      <x:c r="B66" s="59" t="str">
        <x:v>sample_has_local_evidence:ENERGA_PIPELINE</x:v>
      </x:c>
      <x:c r="C66" s="59" t="str">
        <x:v>PASS</x:v>
      </x:c>
    </x:row>
    <x:row r="67" ht="30" customHeight="1">
      <x:c r="A67" s="59" t="str">
        <x:v>Kontrola lokalna</x:v>
      </x:c>
      <x:c r="B67" s="59" t="str">
        <x:v>catalog_fields:ENERGA_PLAN</x:v>
      </x:c>
      <x:c r="C67" s="59" t="str">
        <x:v>PASS: []</x:v>
      </x:c>
    </x:row>
    <x:row r="68" ht="30" customHeight="1">
      <x:c r="A68" s="59" t="str">
        <x:v>Kontrola lokalna</x:v>
      </x:c>
      <x:c r="B68" s="59" t="str">
        <x:v>catalog_url:ENERGA_PLAN</x:v>
      </x:c>
      <x:c r="C68" s="59" t="str">
        <x:v>PASS</x:v>
      </x:c>
    </x:row>
    <x:row r="69" ht="30" customHeight="1">
      <x:c r="A69" s="59" t="str">
        <x:v>Kontrola lokalna</x:v>
      </x:c>
      <x:c r="B69" s="59" t="str">
        <x:v>catalog_status:ENERGA_PLAN</x:v>
      </x:c>
      <x:c r="C69" s="59" t="str">
        <x:v>PASS</x:v>
      </x:c>
    </x:row>
    <x:row r="70" ht="30" customHeight="1">
      <x:c r="A70" s="59" t="str">
        <x:v>Kontrola lokalna</x:v>
      </x:c>
      <x:c r="B70" s="59" t="str">
        <x:v>no_uncalibrated_numeric_quality:ENERGA_PLAN</x:v>
      </x:c>
      <x:c r="C70" s="59" t="str">
        <x:v>PASS</x:v>
      </x:c>
    </x:row>
    <x:row r="71" ht="30" customHeight="1">
      <x:c r="A71" s="59" t="str">
        <x:v>Kontrola lokalna</x:v>
      </x:c>
      <x:c r="B71" s="59" t="str">
        <x:v>source_rank:ENERGA_PLAN</x:v>
      </x:c>
      <x:c r="C71" s="59" t="str">
        <x:v>PASS</x:v>
      </x:c>
    </x:row>
    <x:row r="72" ht="30" customHeight="1">
      <x:c r="A72" s="59" t="str">
        <x:v>Kontrola lokalna</x:v>
      </x:c>
      <x:c r="B72" s="59" t="str">
        <x:v>catalog_fields:ENEA_PIPELINE</x:v>
      </x:c>
      <x:c r="C72" s="59" t="str">
        <x:v>PASS: []</x:v>
      </x:c>
    </x:row>
    <x:row r="73" ht="30" customHeight="1">
      <x:c r="A73" s="59" t="str">
        <x:v>Kontrola lokalna</x:v>
      </x:c>
      <x:c r="B73" s="59" t="str">
        <x:v>catalog_url:ENEA_PIPELINE</x:v>
      </x:c>
      <x:c r="C73" s="59" t="str">
        <x:v>PASS</x:v>
      </x:c>
    </x:row>
    <x:row r="74" ht="30" customHeight="1">
      <x:c r="A74" s="59" t="str">
        <x:v>Kontrola lokalna</x:v>
      </x:c>
      <x:c r="B74" s="59" t="str">
        <x:v>catalog_status:ENEA_PIPELINE</x:v>
      </x:c>
      <x:c r="C74" s="59" t="str">
        <x:v>PASS</x:v>
      </x:c>
    </x:row>
    <x:row r="75" ht="30" customHeight="1">
      <x:c r="A75" s="59" t="str">
        <x:v>Kontrola lokalna</x:v>
      </x:c>
      <x:c r="B75" s="59" t="str">
        <x:v>no_uncalibrated_numeric_quality:ENEA_PIPELINE</x:v>
      </x:c>
      <x:c r="C75" s="59" t="str">
        <x:v>PASS</x:v>
      </x:c>
    </x:row>
    <x:row r="76" ht="30" customHeight="1">
      <x:c r="A76" s="59" t="str">
        <x:v>Kontrola lokalna</x:v>
      </x:c>
      <x:c r="B76" s="59" t="str">
        <x:v>source_rank:ENEA_PIPELINE</x:v>
      </x:c>
      <x:c r="C76" s="59" t="str">
        <x:v>PASS</x:v>
      </x:c>
    </x:row>
    <x:row r="77" ht="30" customHeight="1">
      <x:c r="A77" s="59" t="str">
        <x:v>Kontrola lokalna</x:v>
      </x:c>
      <x:c r="B77" s="59" t="str">
        <x:v>catalog_fields:ENEA_MAP</x:v>
      </x:c>
      <x:c r="C77" s="59" t="str">
        <x:v>PASS: []</x:v>
      </x:c>
    </x:row>
    <x:row r="78" ht="30" customHeight="1">
      <x:c r="A78" s="59" t="str">
        <x:v>Kontrola lokalna</x:v>
      </x:c>
      <x:c r="B78" s="59" t="str">
        <x:v>catalog_url:ENEA_MAP</x:v>
      </x:c>
      <x:c r="C78" s="59" t="str">
        <x:v>PASS</x:v>
      </x:c>
    </x:row>
    <x:row r="79" ht="30" customHeight="1">
      <x:c r="A79" s="59" t="str">
        <x:v>Kontrola lokalna</x:v>
      </x:c>
      <x:c r="B79" s="59" t="str">
        <x:v>catalog_status:ENEA_MAP</x:v>
      </x:c>
      <x:c r="C79" s="59" t="str">
        <x:v>PASS</x:v>
      </x:c>
    </x:row>
    <x:row r="80" ht="30" customHeight="1">
      <x:c r="A80" s="59" t="str">
        <x:v>Kontrola lokalna</x:v>
      </x:c>
      <x:c r="B80" s="59" t="str">
        <x:v>no_uncalibrated_numeric_quality:ENEA_MAP</x:v>
      </x:c>
      <x:c r="C80" s="59" t="str">
        <x:v>PASS</x:v>
      </x:c>
    </x:row>
    <x:row r="81" ht="30" customHeight="1">
      <x:c r="A81" s="59" t="str">
        <x:v>Kontrola lokalna</x:v>
      </x:c>
      <x:c r="B81" s="59" t="str">
        <x:v>source_rank:ENEA_MAP</x:v>
      </x:c>
      <x:c r="C81" s="59" t="str">
        <x:v>PASS</x:v>
      </x:c>
    </x:row>
    <x:row r="82" ht="30" customHeight="1">
      <x:c r="A82" s="59" t="str">
        <x:v>Kontrola lokalna</x:v>
      </x:c>
      <x:c r="B82" s="59" t="str">
        <x:v>catalog_fields:ENEA_PLAN</x:v>
      </x:c>
      <x:c r="C82" s="59" t="str">
        <x:v>PASS: []</x:v>
      </x:c>
    </x:row>
    <x:row r="83" ht="30" customHeight="1">
      <x:c r="A83" s="59" t="str">
        <x:v>Kontrola lokalna</x:v>
      </x:c>
      <x:c r="B83" s="59" t="str">
        <x:v>catalog_url:ENEA_PLAN</x:v>
      </x:c>
      <x:c r="C83" s="59" t="str">
        <x:v>PASS</x:v>
      </x:c>
    </x:row>
    <x:row r="84" ht="30" customHeight="1">
      <x:c r="A84" s="59" t="str">
        <x:v>Kontrola lokalna</x:v>
      </x:c>
      <x:c r="B84" s="59" t="str">
        <x:v>catalog_status:ENEA_PLAN</x:v>
      </x:c>
      <x:c r="C84" s="59" t="str">
        <x:v>PASS</x:v>
      </x:c>
    </x:row>
    <x:row r="85" ht="30" customHeight="1">
      <x:c r="A85" s="59" t="str">
        <x:v>Kontrola lokalna</x:v>
      </x:c>
      <x:c r="B85" s="59" t="str">
        <x:v>no_uncalibrated_numeric_quality:ENEA_PLAN</x:v>
      </x:c>
      <x:c r="C85" s="59" t="str">
        <x:v>PASS</x:v>
      </x:c>
    </x:row>
    <x:row r="86" ht="30" customHeight="1">
      <x:c r="A86" s="59" t="str">
        <x:v>Kontrola lokalna</x:v>
      </x:c>
      <x:c r="B86" s="59" t="str">
        <x:v>source_rank:ENEA_PLAN</x:v>
      </x:c>
      <x:c r="C86" s="59" t="str">
        <x:v>PASS</x:v>
      </x:c>
    </x:row>
    <x:row r="87" ht="30" customHeight="1">
      <x:c r="A87" s="59" t="str">
        <x:v>Kontrola lokalna</x:v>
      </x:c>
      <x:c r="B87" s="59" t="str">
        <x:v>catalog_fields:TAURON_PIPELINE</x:v>
      </x:c>
      <x:c r="C87" s="59" t="str">
        <x:v>PASS: []</x:v>
      </x:c>
    </x:row>
    <x:row r="88" ht="30" customHeight="1">
      <x:c r="A88" s="59" t="str">
        <x:v>Kontrola lokalna</x:v>
      </x:c>
      <x:c r="B88" s="59" t="str">
        <x:v>catalog_url:TAURON_PIPELINE</x:v>
      </x:c>
      <x:c r="C88" s="59" t="str">
        <x:v>PASS</x:v>
      </x:c>
    </x:row>
    <x:row r="89" ht="30" customHeight="1">
      <x:c r="A89" s="59" t="str">
        <x:v>Kontrola lokalna</x:v>
      </x:c>
      <x:c r="B89" s="59" t="str">
        <x:v>catalog_status:TAURON_PIPELINE</x:v>
      </x:c>
      <x:c r="C89" s="59" t="str">
        <x:v>PASS</x:v>
      </x:c>
    </x:row>
    <x:row r="90" ht="30" customHeight="1">
      <x:c r="A90" s="59" t="str">
        <x:v>Kontrola lokalna</x:v>
      </x:c>
      <x:c r="B90" s="59" t="str">
        <x:v>no_uncalibrated_numeric_quality:TAURON_PIPELINE</x:v>
      </x:c>
      <x:c r="C90" s="59" t="str">
        <x:v>PASS</x:v>
      </x:c>
    </x:row>
    <x:row r="91" ht="30" customHeight="1">
      <x:c r="A91" s="59" t="str">
        <x:v>Kontrola lokalna</x:v>
      </x:c>
      <x:c r="B91" s="59" t="str">
        <x:v>source_rank:TAURON_PIPELINE</x:v>
      </x:c>
      <x:c r="C91" s="59" t="str">
        <x:v>PASS</x:v>
      </x:c>
    </x:row>
    <x:row r="92" ht="30" customHeight="1">
      <x:c r="A92" s="59" t="str">
        <x:v>Kontrola lokalna</x:v>
      </x:c>
      <x:c r="B92" s="59" t="str">
        <x:v>sample_has_local_evidence:TAURON_PIPELINE</x:v>
      </x:c>
      <x:c r="C92" s="59" t="str">
        <x:v>PASS</x:v>
      </x:c>
    </x:row>
    <x:row r="93" ht="30" customHeight="1">
      <x:c r="A93" s="59" t="str">
        <x:v>Kontrola lokalna</x:v>
      </x:c>
      <x:c r="B93" s="59" t="str">
        <x:v>catalog_fields:TAURON_MAP</x:v>
      </x:c>
      <x:c r="C93" s="59" t="str">
        <x:v>PASS: []</x:v>
      </x:c>
    </x:row>
    <x:row r="94" ht="30" customHeight="1">
      <x:c r="A94" s="59" t="str">
        <x:v>Kontrola lokalna</x:v>
      </x:c>
      <x:c r="B94" s="59" t="str">
        <x:v>catalog_url:TAURON_MAP</x:v>
      </x:c>
      <x:c r="C94" s="59" t="str">
        <x:v>PASS</x:v>
      </x:c>
    </x:row>
    <x:row r="95" ht="30" customHeight="1">
      <x:c r="A95" s="59" t="str">
        <x:v>Kontrola lokalna</x:v>
      </x:c>
      <x:c r="B95" s="59" t="str">
        <x:v>catalog_status:TAURON_MAP</x:v>
      </x:c>
      <x:c r="C95" s="59" t="str">
        <x:v>PASS</x:v>
      </x:c>
    </x:row>
    <x:row r="96" ht="30" customHeight="1">
      <x:c r="A96" s="59" t="str">
        <x:v>Kontrola lokalna</x:v>
      </x:c>
      <x:c r="B96" s="59" t="str">
        <x:v>no_uncalibrated_numeric_quality:TAURON_MAP</x:v>
      </x:c>
      <x:c r="C96" s="59" t="str">
        <x:v>PASS</x:v>
      </x:c>
    </x:row>
    <x:row r="97" ht="30" customHeight="1">
      <x:c r="A97" s="59" t="str">
        <x:v>Kontrola lokalna</x:v>
      </x:c>
      <x:c r="B97" s="59" t="str">
        <x:v>source_rank:TAURON_MAP</x:v>
      </x:c>
      <x:c r="C97" s="59" t="str">
        <x:v>PASS</x:v>
      </x:c>
    </x:row>
    <x:row r="98" ht="30" customHeight="1">
      <x:c r="A98" s="59" t="str">
        <x:v>Kontrola lokalna</x:v>
      </x:c>
      <x:c r="B98" s="59" t="str">
        <x:v>catalog_fields:TAURON_PLAN</x:v>
      </x:c>
      <x:c r="C98" s="59" t="str">
        <x:v>PASS: []</x:v>
      </x:c>
    </x:row>
    <x:row r="99" ht="30" customHeight="1">
      <x:c r="A99" s="59" t="str">
        <x:v>Kontrola lokalna</x:v>
      </x:c>
      <x:c r="B99" s="59" t="str">
        <x:v>catalog_url:TAURON_PLAN</x:v>
      </x:c>
      <x:c r="C99" s="59" t="str">
        <x:v>PASS</x:v>
      </x:c>
    </x:row>
    <x:row r="100" ht="30" customHeight="1">
      <x:c r="A100" s="59" t="str">
        <x:v>Kontrola lokalna</x:v>
      </x:c>
      <x:c r="B100" s="59" t="str">
        <x:v>catalog_status:TAURON_PLAN</x:v>
      </x:c>
      <x:c r="C100" s="59" t="str">
        <x:v>PASS</x:v>
      </x:c>
    </x:row>
    <x:row r="101" ht="30" customHeight="1">
      <x:c r="A101" s="59" t="str">
        <x:v>Kontrola lokalna</x:v>
      </x:c>
      <x:c r="B101" s="59" t="str">
        <x:v>no_uncalibrated_numeric_quality:TAURON_PLAN</x:v>
      </x:c>
      <x:c r="C101" s="59" t="str">
        <x:v>PASS</x:v>
      </x:c>
    </x:row>
    <x:row r="102" ht="30" customHeight="1">
      <x:c r="A102" s="59" t="str">
        <x:v>Kontrola lokalna</x:v>
      </x:c>
      <x:c r="B102" s="59" t="str">
        <x:v>source_rank:TAURON_PLAN</x:v>
      </x:c>
      <x:c r="C102" s="59" t="str">
        <x:v>PASS</x:v>
      </x:c>
    </x:row>
    <x:row r="103" ht="30" customHeight="1">
      <x:c r="A103" s="59" t="str">
        <x:v>Kontrola lokalna</x:v>
      </x:c>
      <x:c r="B103" s="59" t="str">
        <x:v>catalog_fields:STOEN_LANDING</x:v>
      </x:c>
      <x:c r="C103" s="59" t="str">
        <x:v>PASS: []</x:v>
      </x:c>
    </x:row>
    <x:row r="104" ht="30" customHeight="1">
      <x:c r="A104" s="59" t="str">
        <x:v>Kontrola lokalna</x:v>
      </x:c>
      <x:c r="B104" s="59" t="str">
        <x:v>catalog_url:STOEN_LANDING</x:v>
      </x:c>
      <x:c r="C104" s="59" t="str">
        <x:v>PASS</x:v>
      </x:c>
    </x:row>
    <x:row r="105" ht="30" customHeight="1">
      <x:c r="A105" s="59" t="str">
        <x:v>Kontrola lokalna</x:v>
      </x:c>
      <x:c r="B105" s="59" t="str">
        <x:v>catalog_status:STOEN_LANDING</x:v>
      </x:c>
      <x:c r="C105" s="59" t="str">
        <x:v>PASS</x:v>
      </x:c>
    </x:row>
    <x:row r="106" ht="30" customHeight="1">
      <x:c r="A106" s="59" t="str">
        <x:v>Kontrola lokalna</x:v>
      </x:c>
      <x:c r="B106" s="59" t="str">
        <x:v>no_uncalibrated_numeric_quality:STOEN_LANDING</x:v>
      </x:c>
      <x:c r="C106" s="59" t="str">
        <x:v>PASS</x:v>
      </x:c>
    </x:row>
    <x:row r="107" ht="30" customHeight="1">
      <x:c r="A107" s="59" t="str">
        <x:v>Kontrola lokalna</x:v>
      </x:c>
      <x:c r="B107" s="59" t="str">
        <x:v>source_rank:STOEN_LANDING</x:v>
      </x:c>
      <x:c r="C107" s="59" t="str">
        <x:v>PASS</x:v>
      </x:c>
    </x:row>
    <x:row r="108" ht="30" customHeight="1">
      <x:c r="A108" s="59" t="str">
        <x:v>Kontrola lokalna</x:v>
      </x:c>
      <x:c r="B108" s="59" t="str">
        <x:v>catalog_fields:STOEN_EXPORT</x:v>
      </x:c>
      <x:c r="C108" s="59" t="str">
        <x:v>PASS: []</x:v>
      </x:c>
    </x:row>
    <x:row r="109" ht="30" customHeight="1">
      <x:c r="A109" s="59" t="str">
        <x:v>Kontrola lokalna</x:v>
      </x:c>
      <x:c r="B109" s="59" t="str">
        <x:v>catalog_url:STOEN_EXPORT</x:v>
      </x:c>
      <x:c r="C109" s="59" t="str">
        <x:v>PASS</x:v>
      </x:c>
    </x:row>
    <x:row r="110" ht="30" customHeight="1">
      <x:c r="A110" s="59" t="str">
        <x:v>Kontrola lokalna</x:v>
      </x:c>
      <x:c r="B110" s="59" t="str">
        <x:v>catalog_status:STOEN_EXPORT</x:v>
      </x:c>
      <x:c r="C110" s="59" t="str">
        <x:v>PASS</x:v>
      </x:c>
    </x:row>
    <x:row r="111" ht="30" customHeight="1">
      <x:c r="A111" s="59" t="str">
        <x:v>Kontrola lokalna</x:v>
      </x:c>
      <x:c r="B111" s="59" t="str">
        <x:v>no_uncalibrated_numeric_quality:STOEN_EXPORT</x:v>
      </x:c>
      <x:c r="C111" s="59" t="str">
        <x:v>PASS</x:v>
      </x:c>
    </x:row>
    <x:row r="112" ht="30" customHeight="1">
      <x:c r="A112" s="59" t="str">
        <x:v>Kontrola lokalna</x:v>
      </x:c>
      <x:c r="B112" s="59" t="str">
        <x:v>source_rank:STOEN_EXPORT</x:v>
      </x:c>
      <x:c r="C112" s="59" t="str">
        <x:v>PASS</x:v>
      </x:c>
    </x:row>
    <x:row r="113" ht="30" customHeight="1">
      <x:c r="A113" s="59" t="str">
        <x:v>Kontrola lokalna</x:v>
      </x:c>
      <x:c r="B113" s="59" t="str">
        <x:v>sample_has_local_evidence:STOEN_EXPORT</x:v>
      </x:c>
      <x:c r="C113" s="59" t="str">
        <x:v>PASS</x:v>
      </x:c>
    </x:row>
    <x:row r="114" ht="30" customHeight="1">
      <x:c r="A114" s="59" t="str">
        <x:v>Kontrola lokalna</x:v>
      </x:c>
      <x:c r="B114" s="59" t="str">
        <x:v>catalog_fields:STOEN_IMPORT</x:v>
      </x:c>
      <x:c r="C114" s="59" t="str">
        <x:v>PASS: []</x:v>
      </x:c>
    </x:row>
    <x:row r="115" ht="30" customHeight="1">
      <x:c r="A115" s="59" t="str">
        <x:v>Kontrola lokalna</x:v>
      </x:c>
      <x:c r="B115" s="59" t="str">
        <x:v>catalog_url:STOEN_IMPORT</x:v>
      </x:c>
      <x:c r="C115" s="59" t="str">
        <x:v>PASS</x:v>
      </x:c>
    </x:row>
    <x:row r="116" ht="30" customHeight="1">
      <x:c r="A116" s="59" t="str">
        <x:v>Kontrola lokalna</x:v>
      </x:c>
      <x:c r="B116" s="59" t="str">
        <x:v>catalog_status:STOEN_IMPORT</x:v>
      </x:c>
      <x:c r="C116" s="59" t="str">
        <x:v>PASS</x:v>
      </x:c>
    </x:row>
    <x:row r="117" ht="30" customHeight="1">
      <x:c r="A117" s="59" t="str">
        <x:v>Kontrola lokalna</x:v>
      </x:c>
      <x:c r="B117" s="59" t="str">
        <x:v>no_uncalibrated_numeric_quality:STOEN_IMPORT</x:v>
      </x:c>
      <x:c r="C117" s="59" t="str">
        <x:v>PASS</x:v>
      </x:c>
    </x:row>
    <x:row r="118" ht="30" customHeight="1">
      <x:c r="A118" s="59" t="str">
        <x:v>Kontrola lokalna</x:v>
      </x:c>
      <x:c r="B118" s="59" t="str">
        <x:v>source_rank:STOEN_IMPORT</x:v>
      </x:c>
      <x:c r="C118" s="59" t="str">
        <x:v>PASS</x:v>
      </x:c>
    </x:row>
    <x:row r="119" ht="30" customHeight="1">
      <x:c r="A119" s="59" t="str">
        <x:v>Kontrola lokalna</x:v>
      </x:c>
      <x:c r="B119" s="59" t="str">
        <x:v>sample_has_local_evidence:STOEN_IMPORT</x:v>
      </x:c>
      <x:c r="C119" s="59" t="str">
        <x:v>PASS</x:v>
      </x:c>
    </x:row>
    <x:row r="120" ht="30" customHeight="1">
      <x:c r="A120" s="59" t="str">
        <x:v>Kontrola lokalna</x:v>
      </x:c>
      <x:c r="B120" s="59" t="str">
        <x:v>catalog_fields:STOEN_PIPELINE</x:v>
      </x:c>
      <x:c r="C120" s="59" t="str">
        <x:v>PASS: []</x:v>
      </x:c>
    </x:row>
    <x:row r="121" ht="30" customHeight="1">
      <x:c r="A121" s="59" t="str">
        <x:v>Kontrola lokalna</x:v>
      </x:c>
      <x:c r="B121" s="59" t="str">
        <x:v>catalog_url:STOEN_PIPELINE</x:v>
      </x:c>
      <x:c r="C121" s="59" t="str">
        <x:v>PASS</x:v>
      </x:c>
    </x:row>
    <x:row r="122" ht="30" customHeight="1">
      <x:c r="A122" s="59" t="str">
        <x:v>Kontrola lokalna</x:v>
      </x:c>
      <x:c r="B122" s="59" t="str">
        <x:v>catalog_status:STOEN_PIPELINE</x:v>
      </x:c>
      <x:c r="C122" s="59" t="str">
        <x:v>PASS</x:v>
      </x:c>
    </x:row>
    <x:row r="123" ht="30" customHeight="1">
      <x:c r="A123" s="59" t="str">
        <x:v>Kontrola lokalna</x:v>
      </x:c>
      <x:c r="B123" s="59" t="str">
        <x:v>no_uncalibrated_numeric_quality:STOEN_PIPELINE</x:v>
      </x:c>
      <x:c r="C123" s="59" t="str">
        <x:v>PASS</x:v>
      </x:c>
    </x:row>
    <x:row r="124" ht="30" customHeight="1">
      <x:c r="A124" s="59" t="str">
        <x:v>Kontrola lokalna</x:v>
      </x:c>
      <x:c r="B124" s="59" t="str">
        <x:v>source_rank:STOEN_PIPELINE</x:v>
      </x:c>
      <x:c r="C124" s="59" t="str">
        <x:v>PASS</x:v>
      </x:c>
    </x:row>
    <x:row r="125" ht="30" customHeight="1">
      <x:c r="A125" s="59" t="str">
        <x:v>Kontrola lokalna</x:v>
      </x:c>
      <x:c r="B125" s="59" t="str">
        <x:v>unverified_not_successful:STOEN_PIPELINE</x:v>
      </x:c>
      <x:c r="C125" s="59" t="str">
        <x:v>PASS</x:v>
      </x:c>
    </x:row>
    <x:row r="126" ht="30" customHeight="1">
      <x:c r="A126" s="59" t="str">
        <x:v>Kontrola lokalna</x:v>
      </x:c>
      <x:c r="B126" s="59" t="str">
        <x:v>catalog_fields:STOEN_STORAGE</x:v>
      </x:c>
      <x:c r="C126" s="59" t="str">
        <x:v>PASS: []</x:v>
      </x:c>
    </x:row>
    <x:row r="127" ht="30" customHeight="1">
      <x:c r="A127" s="59" t="str">
        <x:v>Kontrola lokalna</x:v>
      </x:c>
      <x:c r="B127" s="59" t="str">
        <x:v>catalog_url:STOEN_STORAGE</x:v>
      </x:c>
      <x:c r="C127" s="59" t="str">
        <x:v>PASS</x:v>
      </x:c>
    </x:row>
    <x:row r="128" ht="30" customHeight="1">
      <x:c r="A128" s="59" t="str">
        <x:v>Kontrola lokalna</x:v>
      </x:c>
      <x:c r="B128" s="59" t="str">
        <x:v>catalog_status:STOEN_STORAGE</x:v>
      </x:c>
      <x:c r="C128" s="59" t="str">
        <x:v>PASS</x:v>
      </x:c>
    </x:row>
    <x:row r="129" ht="30" customHeight="1">
      <x:c r="A129" s="59" t="str">
        <x:v>Kontrola lokalna</x:v>
      </x:c>
      <x:c r="B129" s="59" t="str">
        <x:v>no_uncalibrated_numeric_quality:STOEN_STORAGE</x:v>
      </x:c>
      <x:c r="C129" s="59" t="str">
        <x:v>PASS</x:v>
      </x:c>
    </x:row>
    <x:row r="130" ht="30" customHeight="1">
      <x:c r="A130" s="59" t="str">
        <x:v>Kontrola lokalna</x:v>
      </x:c>
      <x:c r="B130" s="59" t="str">
        <x:v>source_rank:STOEN_STORAGE</x:v>
      </x:c>
      <x:c r="C130" s="59" t="str">
        <x:v>PASS</x:v>
      </x:c>
    </x:row>
    <x:row r="131" ht="30" customHeight="1">
      <x:c r="A131" s="59" t="str">
        <x:v>Kontrola lokalna</x:v>
      </x:c>
      <x:c r="B131" s="59" t="str">
        <x:v>unverified_not_successful:STOEN_STORAGE</x:v>
      </x:c>
      <x:c r="C131" s="59" t="str">
        <x:v>PASS</x:v>
      </x:c>
    </x:row>
    <x:row r="132" ht="30" customHeight="1">
      <x:c r="A132" s="59" t="str">
        <x:v>Kontrola lokalna</x:v>
      </x:c>
      <x:c r="B132" s="59" t="str">
        <x:v>catalog_fields:STOEN_PLAN</x:v>
      </x:c>
      <x:c r="C132" s="59" t="str">
        <x:v>PASS: []</x:v>
      </x:c>
    </x:row>
    <x:row r="133" ht="30" customHeight="1">
      <x:c r="A133" s="59" t="str">
        <x:v>Kontrola lokalna</x:v>
      </x:c>
      <x:c r="B133" s="59" t="str">
        <x:v>catalog_url:STOEN_PLAN</x:v>
      </x:c>
      <x:c r="C133" s="59" t="str">
        <x:v>PASS</x:v>
      </x:c>
    </x:row>
    <x:row r="134" ht="30" customHeight="1">
      <x:c r="A134" s="59" t="str">
        <x:v>Kontrola lokalna</x:v>
      </x:c>
      <x:c r="B134" s="59" t="str">
        <x:v>catalog_status:STOEN_PLAN</x:v>
      </x:c>
      <x:c r="C134" s="59" t="str">
        <x:v>PASS</x:v>
      </x:c>
    </x:row>
    <x:row r="135" ht="30" customHeight="1">
      <x:c r="A135" s="59" t="str">
        <x:v>Kontrola lokalna</x:v>
      </x:c>
      <x:c r="B135" s="59" t="str">
        <x:v>no_uncalibrated_numeric_quality:STOEN_PLAN</x:v>
      </x:c>
      <x:c r="C135" s="59" t="str">
        <x:v>PASS</x:v>
      </x:c>
    </x:row>
    <x:row r="136" ht="30" customHeight="1">
      <x:c r="A136" s="59" t="str">
        <x:v>Kontrola lokalna</x:v>
      </x:c>
      <x:c r="B136" s="59" t="str">
        <x:v>source_rank:STOEN_PLAN</x:v>
      </x:c>
      <x:c r="C136" s="59" t="str">
        <x:v>PASS</x:v>
      </x:c>
    </x:row>
    <x:row r="137" ht="30" customHeight="1">
      <x:c r="A137" s="59" t="str">
        <x:v>Kontrola lokalna</x:v>
      </x:c>
      <x:c r="B137" s="59" t="str">
        <x:v>unverified_not_successful:STOEN_PLAN</x:v>
      </x:c>
      <x:c r="C137" s="59" t="str">
        <x:v>PASS</x:v>
      </x:c>
    </x:row>
    <x:row r="138" ht="30" customHeight="1">
      <x:c r="A138" s="59" t="str">
        <x:v>Kontrola lokalna</x:v>
      </x:c>
      <x:c r="B138" s="59" t="str">
        <x:v>catalog_fields:PGE_LANDING</x:v>
      </x:c>
      <x:c r="C138" s="59" t="str">
        <x:v>PASS: []</x:v>
      </x:c>
    </x:row>
    <x:row r="139" ht="30" customHeight="1">
      <x:c r="A139" s="59" t="str">
        <x:v>Kontrola lokalna</x:v>
      </x:c>
      <x:c r="B139" s="59" t="str">
        <x:v>catalog_url:PGE_LANDING</x:v>
      </x:c>
      <x:c r="C139" s="59" t="str">
        <x:v>PASS</x:v>
      </x:c>
    </x:row>
    <x:row r="140" ht="30" customHeight="1">
      <x:c r="A140" s="59" t="str">
        <x:v>Kontrola lokalna</x:v>
      </x:c>
      <x:c r="B140" s="59" t="str">
        <x:v>catalog_status:PGE_LANDING</x:v>
      </x:c>
      <x:c r="C140" s="59" t="str">
        <x:v>PASS</x:v>
      </x:c>
    </x:row>
    <x:row r="141" ht="30" customHeight="1">
      <x:c r="A141" s="59" t="str">
        <x:v>Kontrola lokalna</x:v>
      </x:c>
      <x:c r="B141" s="59" t="str">
        <x:v>no_uncalibrated_numeric_quality:PGE_LANDING</x:v>
      </x:c>
      <x:c r="C141" s="59" t="str">
        <x:v>PASS</x:v>
      </x:c>
    </x:row>
    <x:row r="142" ht="30" customHeight="1">
      <x:c r="A142" s="59" t="str">
        <x:v>Kontrola lokalna</x:v>
      </x:c>
      <x:c r="B142" s="59" t="str">
        <x:v>source_rank:PGE_LANDING</x:v>
      </x:c>
      <x:c r="C142" s="59" t="str">
        <x:v>PASS</x:v>
      </x:c>
    </x:row>
    <x:row r="143" ht="30" customHeight="1">
      <x:c r="A143" s="59" t="str">
        <x:v>Kontrola lokalna</x:v>
      </x:c>
      <x:c r="B143" s="59" t="str">
        <x:v>unverified_not_successful:PGE_LANDING</x:v>
      </x:c>
      <x:c r="C143" s="59" t="str">
        <x:v>PASS</x:v>
      </x:c>
    </x:row>
    <x:row r="144" ht="30" customHeight="1">
      <x:c r="A144" s="59" t="str">
        <x:v>Kontrola lokalna</x:v>
      </x:c>
      <x:c r="B144" s="59" t="str">
        <x:v>catalog_fields:PGE_EXPORT_DISCOVERY</x:v>
      </x:c>
      <x:c r="C144" s="59" t="str">
        <x:v>PASS: []</x:v>
      </x:c>
    </x:row>
    <x:row r="145" ht="30" customHeight="1">
      <x:c r="A145" s="59" t="str">
        <x:v>Kontrola lokalna</x:v>
      </x:c>
      <x:c r="B145" s="59" t="str">
        <x:v>catalog_url:PGE_EXPORT_DISCOVERY</x:v>
      </x:c>
      <x:c r="C145" s="59" t="str">
        <x:v>PASS</x:v>
      </x:c>
    </x:row>
    <x:row r="146" ht="30" customHeight="1">
      <x:c r="A146" s="59" t="str">
        <x:v>Kontrola lokalna</x:v>
      </x:c>
      <x:c r="B146" s="59" t="str">
        <x:v>catalog_status:PGE_EXPORT_DISCOVERY</x:v>
      </x:c>
      <x:c r="C146" s="59" t="str">
        <x:v>PASS</x:v>
      </x:c>
    </x:row>
    <x:row r="147" ht="30" customHeight="1">
      <x:c r="A147" s="59" t="str">
        <x:v>Kontrola lokalna</x:v>
      </x:c>
      <x:c r="B147" s="59" t="str">
        <x:v>no_uncalibrated_numeric_quality:PGE_EXPORT_DISCOVERY</x:v>
      </x:c>
      <x:c r="C147" s="59" t="str">
        <x:v>PASS</x:v>
      </x:c>
    </x:row>
    <x:row r="148" ht="30" customHeight="1">
      <x:c r="A148" s="59" t="str">
        <x:v>Kontrola lokalna</x:v>
      </x:c>
      <x:c r="B148" s="59" t="str">
        <x:v>source_rank:PGE_EXPORT_DISCOVERY</x:v>
      </x:c>
      <x:c r="C148" s="59" t="str">
        <x:v>PASS</x:v>
      </x:c>
    </x:row>
    <x:row r="149" ht="30" customHeight="1">
      <x:c r="A149" s="59" t="str">
        <x:v>Kontrola lokalna</x:v>
      </x:c>
      <x:c r="B149" s="59" t="str">
        <x:v>unverified_not_successful:PGE_EXPORT_DISCOVERY</x:v>
      </x:c>
      <x:c r="C149" s="59" t="str">
        <x:v>PASS</x:v>
      </x:c>
    </x:row>
    <x:row r="150" ht="30" customHeight="1">
      <x:c r="A150" s="59" t="str">
        <x:v>Kontrola lokalna</x:v>
      </x:c>
      <x:c r="B150" s="59" t="str">
        <x:v>catalog_fields:PGE_PLAN_DISCOVERY</x:v>
      </x:c>
      <x:c r="C150" s="59" t="str">
        <x:v>PASS: []</x:v>
      </x:c>
    </x:row>
    <x:row r="151" ht="30" customHeight="1">
      <x:c r="A151" s="59" t="str">
        <x:v>Kontrola lokalna</x:v>
      </x:c>
      <x:c r="B151" s="59" t="str">
        <x:v>catalog_url:PGE_PLAN_DISCOVERY</x:v>
      </x:c>
      <x:c r="C151" s="59" t="str">
        <x:v>PASS</x:v>
      </x:c>
    </x:row>
    <x:row r="152" ht="30" customHeight="1">
      <x:c r="A152" s="59" t="str">
        <x:v>Kontrola lokalna</x:v>
      </x:c>
      <x:c r="B152" s="59" t="str">
        <x:v>catalog_status:PGE_PLAN_DISCOVERY</x:v>
      </x:c>
      <x:c r="C152" s="59" t="str">
        <x:v>PASS</x:v>
      </x:c>
    </x:row>
    <x:row r="153" ht="30" customHeight="1">
      <x:c r="A153" s="59" t="str">
        <x:v>Kontrola lokalna</x:v>
      </x:c>
      <x:c r="B153" s="59" t="str">
        <x:v>no_uncalibrated_numeric_quality:PGE_PLAN_DISCOVERY</x:v>
      </x:c>
      <x:c r="C153" s="59" t="str">
        <x:v>PASS</x:v>
      </x:c>
    </x:row>
    <x:row r="154" ht="30" customHeight="1">
      <x:c r="A154" s="59" t="str">
        <x:v>Kontrola lokalna</x:v>
      </x:c>
      <x:c r="B154" s="59" t="str">
        <x:v>source_rank:PGE_PLAN_DISCOVERY</x:v>
      </x:c>
      <x:c r="C154" s="59" t="str">
        <x:v>PASS</x:v>
      </x:c>
    </x:row>
    <x:row r="155" ht="30" customHeight="1">
      <x:c r="A155" s="59" t="str">
        <x:v>Kontrola lokalna</x:v>
      </x:c>
      <x:c r="B155" s="59" t="str">
        <x:v>unverified_not_successful:PGE_PLAN_DISCOVERY</x:v>
      </x:c>
      <x:c r="C155" s="59" t="str">
        <x:v>PASS</x:v>
      </x:c>
    </x:row>
    <x:row r="156" ht="30" customHeight="1">
      <x:c r="A156" s="59" t="str">
        <x:v>Kontrola lokalna</x:v>
      </x:c>
      <x:c r="B156" s="59" t="str">
        <x:v>catalog_fields:KGHM_OSD</x:v>
      </x:c>
      <x:c r="C156" s="59" t="str">
        <x:v>PASS: []</x:v>
      </x:c>
    </x:row>
    <x:row r="157" ht="30" customHeight="1">
      <x:c r="A157" s="59" t="str">
        <x:v>Kontrola lokalna</x:v>
      </x:c>
      <x:c r="B157" s="59" t="str">
        <x:v>catalog_url:KGHM_OSD</x:v>
      </x:c>
      <x:c r="C157" s="59" t="str">
        <x:v>PASS</x:v>
      </x:c>
    </x:row>
    <x:row r="158" ht="30" customHeight="1">
      <x:c r="A158" s="59" t="str">
        <x:v>Kontrola lokalna</x:v>
      </x:c>
      <x:c r="B158" s="59" t="str">
        <x:v>catalog_status:KGHM_OSD</x:v>
      </x:c>
      <x:c r="C158" s="59" t="str">
        <x:v>PASS</x:v>
      </x:c>
    </x:row>
    <x:row r="159" ht="30" customHeight="1">
      <x:c r="A159" s="59" t="str">
        <x:v>Kontrola lokalna</x:v>
      </x:c>
      <x:c r="B159" s="59" t="str">
        <x:v>no_uncalibrated_numeric_quality:KGHM_OSD</x:v>
      </x:c>
      <x:c r="C159" s="59" t="str">
        <x:v>PASS</x:v>
      </x:c>
    </x:row>
    <x:row r="160" ht="30" customHeight="1">
      <x:c r="A160" s="59" t="str">
        <x:v>Kontrola lokalna</x:v>
      </x:c>
      <x:c r="B160" s="59" t="str">
        <x:v>source_rank:KGHM_OSD</x:v>
      </x:c>
      <x:c r="C160" s="59" t="str">
        <x:v>PASS</x:v>
      </x:c>
    </x:row>
    <x:row r="161" ht="30" customHeight="1">
      <x:c r="A161" s="59" t="str">
        <x:v>Kontrola lokalna</x:v>
      </x:c>
      <x:c r="B161" s="59" t="str">
        <x:v>catalog_fields:URE_REGISTERS</x:v>
      </x:c>
      <x:c r="C161" s="59" t="str">
        <x:v>PASS: []</x:v>
      </x:c>
    </x:row>
    <x:row r="162" ht="30" customHeight="1">
      <x:c r="A162" s="59" t="str">
        <x:v>Kontrola lokalna</x:v>
      </x:c>
      <x:c r="B162" s="59" t="str">
        <x:v>catalog_url:URE_REGISTERS</x:v>
      </x:c>
      <x:c r="C162" s="59" t="str">
        <x:v>PASS</x:v>
      </x:c>
    </x:row>
    <x:row r="163" ht="30" customHeight="1">
      <x:c r="A163" s="59" t="str">
        <x:v>Kontrola lokalna</x:v>
      </x:c>
      <x:c r="B163" s="59" t="str">
        <x:v>catalog_status:URE_REGISTERS</x:v>
      </x:c>
      <x:c r="C163" s="59" t="str">
        <x:v>PASS</x:v>
      </x:c>
    </x:row>
    <x:row r="164" ht="30" customHeight="1">
      <x:c r="A164" s="59" t="str">
        <x:v>Kontrola lokalna</x:v>
      </x:c>
      <x:c r="B164" s="59" t="str">
        <x:v>no_uncalibrated_numeric_quality:URE_REGISTERS</x:v>
      </x:c>
      <x:c r="C164" s="59" t="str">
        <x:v>PASS</x:v>
      </x:c>
    </x:row>
    <x:row r="165" ht="30" customHeight="1">
      <x:c r="A165" s="59" t="str">
        <x:v>Kontrola lokalna</x:v>
      </x:c>
      <x:c r="B165" s="59" t="str">
        <x:v>source_rank:URE_REGISTERS</x:v>
      </x:c>
      <x:c r="C165" s="59" t="str">
        <x:v>PASS</x:v>
      </x:c>
    </x:row>
    <x:row r="166" ht="30" customHeight="1">
      <x:c r="A166" s="59" t="str">
        <x:v>Kontrola lokalna</x:v>
      </x:c>
      <x:c r="B166" s="59" t="str">
        <x:v>catalog_fields:ENERGY_LAW_516</x:v>
      </x:c>
      <x:c r="C166" s="59" t="str">
        <x:v>PASS: []</x:v>
      </x:c>
    </x:row>
    <x:row r="167" ht="30" customHeight="1">
      <x:c r="A167" s="59" t="str">
        <x:v>Kontrola lokalna</x:v>
      </x:c>
      <x:c r="B167" s="59" t="str">
        <x:v>catalog_url:ENERGY_LAW_516</x:v>
      </x:c>
      <x:c r="C167" s="59" t="str">
        <x:v>PASS</x:v>
      </x:c>
    </x:row>
    <x:row r="168" ht="30" customHeight="1">
      <x:c r="A168" s="59" t="str">
        <x:v>Kontrola lokalna</x:v>
      </x:c>
      <x:c r="B168" s="59" t="str">
        <x:v>catalog_status:ENERGY_LAW_516</x:v>
      </x:c>
      <x:c r="C168" s="59" t="str">
        <x:v>PASS</x:v>
      </x:c>
    </x:row>
    <x:row r="169" ht="30" customHeight="1">
      <x:c r="A169" s="59" t="str">
        <x:v>Kontrola lokalna</x:v>
      </x:c>
      <x:c r="B169" s="59" t="str">
        <x:v>no_uncalibrated_numeric_quality:ENERGY_LAW_516</x:v>
      </x:c>
      <x:c r="C169" s="59" t="str">
        <x:v>PASS</x:v>
      </x:c>
    </x:row>
    <x:row r="170" ht="30" customHeight="1">
      <x:c r="A170" s="59" t="str">
        <x:v>Kontrola lokalna</x:v>
      </x:c>
      <x:c r="B170" s="59" t="str">
        <x:v>source_rank:ENERGY_LAW_516</x:v>
      </x:c>
      <x:c r="C170" s="59" t="str">
        <x:v>PASS</x:v>
      </x:c>
    </x:row>
    <x:row r="171" ht="30" customHeight="1">
      <x:c r="A171" s="59" t="str">
        <x:v>Kontrola lokalna</x:v>
      </x:c>
      <x:c r="B171" s="59" t="str">
        <x:v>sample_has_local_evidence:ENERGY_LAW_516</x:v>
      </x:c>
      <x:c r="C171" s="59" t="str">
        <x:v>PASS</x:v>
      </x:c>
    </x:row>
    <x:row r="172" ht="30" customHeight="1">
      <x:c r="A172" s="59" t="str">
        <x:v>Kontrola lokalna</x:v>
      </x:c>
      <x:c r="B172" s="59" t="str">
        <x:v>catalog_fields:BIP_ENV_DISCOVERY</x:v>
      </x:c>
      <x:c r="C172" s="59" t="str">
        <x:v>PASS: []</x:v>
      </x:c>
    </x:row>
    <x:row r="173" ht="30" customHeight="1">
      <x:c r="A173" s="59" t="str">
        <x:v>Kontrola lokalna</x:v>
      </x:c>
      <x:c r="B173" s="59" t="str">
        <x:v>catalog_url:BIP_ENV_DISCOVERY</x:v>
      </x:c>
      <x:c r="C173" s="59" t="str">
        <x:v>PASS</x:v>
      </x:c>
    </x:row>
    <x:row r="174" ht="30" customHeight="1">
      <x:c r="A174" s="59" t="str">
        <x:v>Kontrola lokalna</x:v>
      </x:c>
      <x:c r="B174" s="59" t="str">
        <x:v>catalog_status:BIP_ENV_DISCOVERY</x:v>
      </x:c>
      <x:c r="C174" s="59" t="str">
        <x:v>PASS</x:v>
      </x:c>
    </x:row>
    <x:row r="175" ht="30" customHeight="1">
      <x:c r="A175" s="59" t="str">
        <x:v>Kontrola lokalna</x:v>
      </x:c>
      <x:c r="B175" s="59" t="str">
        <x:v>no_uncalibrated_numeric_quality:BIP_ENV_DISCOVERY</x:v>
      </x:c>
      <x:c r="C175" s="59" t="str">
        <x:v>PASS</x:v>
      </x:c>
    </x:row>
    <x:row r="176" ht="30" customHeight="1">
      <x:c r="A176" s="59" t="str">
        <x:v>Kontrola lokalna</x:v>
      </x:c>
      <x:c r="B176" s="59" t="str">
        <x:v>source_rank:BIP_ENV_DISCOVERY</x:v>
      </x:c>
      <x:c r="C176" s="59" t="str">
        <x:v>PASS</x:v>
      </x:c>
    </x:row>
    <x:row r="177" ht="30" customHeight="1">
      <x:c r="A177" s="59" t="str">
        <x:v>Kontrola lokalna</x:v>
      </x:c>
      <x:c r="B177" s="59" t="str">
        <x:v>unverified_not_successful:BIP_ENV_DISCOVERY</x:v>
      </x:c>
      <x:c r="C177" s="59" t="str">
        <x:v>PASS</x:v>
      </x:c>
    </x:row>
    <x:row r="178" ht="30" customHeight="1">
      <x:c r="A178" s="59" t="str">
        <x:v>Kontrola lokalna</x:v>
      </x:c>
      <x:c r="B178" s="59" t="str">
        <x:v>catalog_fields:KRS_API_DOCS</x:v>
      </x:c>
      <x:c r="C178" s="59" t="str">
        <x:v>PASS: []</x:v>
      </x:c>
    </x:row>
    <x:row r="179" ht="30" customHeight="1">
      <x:c r="A179" s="59" t="str">
        <x:v>Kontrola lokalna</x:v>
      </x:c>
      <x:c r="B179" s="59" t="str">
        <x:v>catalog_url:KRS_API_DOCS</x:v>
      </x:c>
      <x:c r="C179" s="59" t="str">
        <x:v>PASS</x:v>
      </x:c>
    </x:row>
    <x:row r="180" ht="30" customHeight="1">
      <x:c r="A180" s="59" t="str">
        <x:v>Kontrola lokalna</x:v>
      </x:c>
      <x:c r="B180" s="59" t="str">
        <x:v>catalog_status:KRS_API_DOCS</x:v>
      </x:c>
      <x:c r="C180" s="59" t="str">
        <x:v>PASS</x:v>
      </x:c>
    </x:row>
    <x:row r="181" ht="30" customHeight="1">
      <x:c r="A181" s="59" t="str">
        <x:v>Kontrola lokalna</x:v>
      </x:c>
      <x:c r="B181" s="59" t="str">
        <x:v>no_uncalibrated_numeric_quality:KRS_API_DOCS</x:v>
      </x:c>
      <x:c r="C181" s="59" t="str">
        <x:v>PASS</x:v>
      </x:c>
    </x:row>
    <x:row r="182" ht="30" customHeight="1">
      <x:c r="A182" s="59" t="str">
        <x:v>Kontrola lokalna</x:v>
      </x:c>
      <x:c r="B182" s="59" t="str">
        <x:v>source_rank:KRS_API_DOCS</x:v>
      </x:c>
      <x:c r="C182" s="59" t="str">
        <x:v>PASS</x:v>
      </x:c>
    </x:row>
    <x:row r="183" ht="30" customHeight="1">
      <x:c r="A183" s="59" t="str">
        <x:v>Kontrola lokalna</x:v>
      </x:c>
      <x:c r="B183" s="59" t="str">
        <x:v>catalog_fields:GUGIK_EGIB</x:v>
      </x:c>
      <x:c r="C183" s="59" t="str">
        <x:v>PASS: []</x:v>
      </x:c>
    </x:row>
    <x:row r="184" ht="30" customHeight="1">
      <x:c r="A184" s="59" t="str">
        <x:v>Kontrola lokalna</x:v>
      </x:c>
      <x:c r="B184" s="59" t="str">
        <x:v>catalog_url:GUGIK_EGIB</x:v>
      </x:c>
      <x:c r="C184" s="59" t="str">
        <x:v>PASS</x:v>
      </x:c>
    </x:row>
    <x:row r="185" ht="30" customHeight="1">
      <x:c r="A185" s="59" t="str">
        <x:v>Kontrola lokalna</x:v>
      </x:c>
      <x:c r="B185" s="59" t="str">
        <x:v>catalog_status:GUGIK_EGIB</x:v>
      </x:c>
      <x:c r="C185" s="59" t="str">
        <x:v>PASS</x:v>
      </x:c>
    </x:row>
    <x:row r="186" ht="30" customHeight="1">
      <x:c r="A186" s="59" t="str">
        <x:v>Kontrola lokalna</x:v>
      </x:c>
      <x:c r="B186" s="59" t="str">
        <x:v>no_uncalibrated_numeric_quality:GUGIK_EGIB</x:v>
      </x:c>
      <x:c r="C186" s="59" t="str">
        <x:v>PASS</x:v>
      </x:c>
    </x:row>
    <x:row r="187" ht="30" customHeight="1">
      <x:c r="A187" s="59" t="str">
        <x:v>Kontrola lokalna</x:v>
      </x:c>
      <x:c r="B187" s="59" t="str">
        <x:v>source_rank:GUGIK_EGIB</x:v>
      </x:c>
      <x:c r="C187" s="59" t="str">
        <x:v>PASS</x:v>
      </x:c>
    </x:row>
    <x:row r="188" ht="30" customHeight="1">
      <x:c r="A188" s="59" t="str">
        <x:v>Kontrola lokalna</x:v>
      </x:c>
      <x:c r="B188" s="59" t="str">
        <x:v>sample_has_local_evidence:GUGIK_EGIB</x:v>
      </x:c>
      <x:c r="C188" s="59" t="str">
        <x:v>PASS</x:v>
      </x:c>
    </x:row>
    <x:row r="189" ht="30" customHeight="1">
      <x:c r="A189" s="59" t="str">
        <x:v>Kontrola lokalna</x:v>
      </x:c>
      <x:c r="B189" s="59" t="str">
        <x:v>catalog_fields:GUGIK_BDOT</x:v>
      </x:c>
      <x:c r="C189" s="59" t="str">
        <x:v>PASS: []</x:v>
      </x:c>
    </x:row>
    <x:row r="190" ht="30" customHeight="1">
      <x:c r="A190" s="59" t="str">
        <x:v>Kontrola lokalna</x:v>
      </x:c>
      <x:c r="B190" s="59" t="str">
        <x:v>catalog_url:GUGIK_BDOT</x:v>
      </x:c>
      <x:c r="C190" s="59" t="str">
        <x:v>PASS</x:v>
      </x:c>
    </x:row>
    <x:row r="191" ht="30" customHeight="1">
      <x:c r="A191" s="59" t="str">
        <x:v>Kontrola lokalna</x:v>
      </x:c>
      <x:c r="B191" s="59" t="str">
        <x:v>catalog_status:GUGIK_BDOT</x:v>
      </x:c>
      <x:c r="C191" s="59" t="str">
        <x:v>PASS</x:v>
      </x:c>
    </x:row>
    <x:row r="192" ht="30" customHeight="1">
      <x:c r="A192" s="59" t="str">
        <x:v>Kontrola lokalna</x:v>
      </x:c>
      <x:c r="B192" s="59" t="str">
        <x:v>no_uncalibrated_numeric_quality:GUGIK_BDOT</x:v>
      </x:c>
      <x:c r="C192" s="59" t="str">
        <x:v>PASS</x:v>
      </x:c>
    </x:row>
    <x:row r="193" ht="30" customHeight="1">
      <x:c r="A193" s="59" t="str">
        <x:v>Kontrola lokalna</x:v>
      </x:c>
      <x:c r="B193" s="59" t="str">
        <x:v>source_rank:GUGIK_BDOT</x:v>
      </x:c>
      <x:c r="C193" s="59" t="str">
        <x:v>PASS</x:v>
      </x:c>
    </x:row>
    <x:row r="194" ht="30" customHeight="1">
      <x:c r="A194" s="59" t="str">
        <x:v>Kontrola lokalna</x:v>
      </x:c>
      <x:c r="B194" s="59" t="str">
        <x:v>catalog_fields:GUGIK_BDOT_PARQUET</x:v>
      </x:c>
      <x:c r="C194" s="59" t="str">
        <x:v>PASS: []</x:v>
      </x:c>
    </x:row>
    <x:row r="195" ht="30" customHeight="1">
      <x:c r="A195" s="59" t="str">
        <x:v>Kontrola lokalna</x:v>
      </x:c>
      <x:c r="B195" s="59" t="str">
        <x:v>catalog_url:GUGIK_BDOT_PARQUET</x:v>
      </x:c>
      <x:c r="C195" s="59" t="str">
        <x:v>PASS</x:v>
      </x:c>
    </x:row>
    <x:row r="196" ht="30" customHeight="1">
      <x:c r="A196" s="59" t="str">
        <x:v>Kontrola lokalna</x:v>
      </x:c>
      <x:c r="B196" s="59" t="str">
        <x:v>catalog_status:GUGIK_BDOT_PARQUET</x:v>
      </x:c>
      <x:c r="C196" s="59" t="str">
        <x:v>PASS</x:v>
      </x:c>
    </x:row>
    <x:row r="197" ht="30" customHeight="1">
      <x:c r="A197" s="59" t="str">
        <x:v>Kontrola lokalna</x:v>
      </x:c>
      <x:c r="B197" s="59" t="str">
        <x:v>no_uncalibrated_numeric_quality:GUGIK_BDOT_PARQUET</x:v>
      </x:c>
      <x:c r="C197" s="59" t="str">
        <x:v>PASS</x:v>
      </x:c>
    </x:row>
    <x:row r="198" ht="30" customHeight="1">
      <x:c r="A198" s="59" t="str">
        <x:v>Kontrola lokalna</x:v>
      </x:c>
      <x:c r="B198" s="59" t="str">
        <x:v>source_rank:GUGIK_BDOT_PARQUET</x:v>
      </x:c>
      <x:c r="C198" s="59" t="str">
        <x:v>PASS</x:v>
      </x:c>
    </x:row>
    <x:row r="199" ht="30" customHeight="1">
      <x:c r="A199" s="59" t="str">
        <x:v>Kontrola lokalna</x:v>
      </x:c>
      <x:c r="B199" s="59" t="str">
        <x:v>catalog_fields:GUGIK_ORTHO</x:v>
      </x:c>
      <x:c r="C199" s="59" t="str">
        <x:v>PASS: []</x:v>
      </x:c>
    </x:row>
    <x:row r="200" ht="30" customHeight="1">
      <x:c r="A200" s="59" t="str">
        <x:v>Kontrola lokalna</x:v>
      </x:c>
      <x:c r="B200" s="59" t="str">
        <x:v>catalog_url:GUGIK_ORTHO</x:v>
      </x:c>
      <x:c r="C200" s="59" t="str">
        <x:v>PASS</x:v>
      </x:c>
    </x:row>
    <x:row r="201" ht="30" customHeight="1">
      <x:c r="A201" s="59" t="str">
        <x:v>Kontrola lokalna</x:v>
      </x:c>
      <x:c r="B201" s="59" t="str">
        <x:v>catalog_status:GUGIK_ORTHO</x:v>
      </x:c>
      <x:c r="C201" s="59" t="str">
        <x:v>PASS</x:v>
      </x:c>
    </x:row>
    <x:row r="202" ht="30" customHeight="1">
      <x:c r="A202" s="59" t="str">
        <x:v>Kontrola lokalna</x:v>
      </x:c>
      <x:c r="B202" s="59" t="str">
        <x:v>no_uncalibrated_numeric_quality:GUGIK_ORTHO</x:v>
      </x:c>
      <x:c r="C202" s="59" t="str">
        <x:v>PASS</x:v>
      </x:c>
    </x:row>
    <x:row r="203" ht="30" customHeight="1">
      <x:c r="A203" s="59" t="str">
        <x:v>Kontrola lokalna</x:v>
      </x:c>
      <x:c r="B203" s="59" t="str">
        <x:v>source_rank:GUGIK_ORTHO</x:v>
      </x:c>
      <x:c r="C203" s="59" t="str">
        <x:v>PASS</x:v>
      </x:c>
    </x:row>
    <x:row r="204" ht="30" customHeight="1">
      <x:c r="A204" s="59" t="str">
        <x:v>Kontrola lokalna</x:v>
      </x:c>
      <x:c r="B204" s="59" t="str">
        <x:v>catalog_fields:GUGIK_NMT</x:v>
      </x:c>
      <x:c r="C204" s="59" t="str">
        <x:v>PASS: []</x:v>
      </x:c>
    </x:row>
    <x:row r="205" ht="30" customHeight="1">
      <x:c r="A205" s="59" t="str">
        <x:v>Kontrola lokalna</x:v>
      </x:c>
      <x:c r="B205" s="59" t="str">
        <x:v>catalog_url:GUGIK_NMT</x:v>
      </x:c>
      <x:c r="C205" s="59" t="str">
        <x:v>PASS</x:v>
      </x:c>
    </x:row>
    <x:row r="206" ht="30" customHeight="1">
      <x:c r="A206" s="59" t="str">
        <x:v>Kontrola lokalna</x:v>
      </x:c>
      <x:c r="B206" s="59" t="str">
        <x:v>catalog_status:GUGIK_NMT</x:v>
      </x:c>
      <x:c r="C206" s="59" t="str">
        <x:v>PASS</x:v>
      </x:c>
    </x:row>
    <x:row r="207" ht="30" customHeight="1">
      <x:c r="A207" s="59" t="str">
        <x:v>Kontrola lokalna</x:v>
      </x:c>
      <x:c r="B207" s="59" t="str">
        <x:v>no_uncalibrated_numeric_quality:GUGIK_NMT</x:v>
      </x:c>
      <x:c r="C207" s="59" t="str">
        <x:v>PASS</x:v>
      </x:c>
    </x:row>
    <x:row r="208" ht="30" customHeight="1">
      <x:c r="A208" s="59" t="str">
        <x:v>Kontrola lokalna</x:v>
      </x:c>
      <x:c r="B208" s="59" t="str">
        <x:v>source_rank:GUGIK_NMT</x:v>
      </x:c>
      <x:c r="C208" s="59" t="str">
        <x:v>PASS</x:v>
      </x:c>
    </x:row>
    <x:row r="209" ht="30" customHeight="1">
      <x:c r="A209" s="59" t="str">
        <x:v>Kontrola lokalna</x:v>
      </x:c>
      <x:c r="B209" s="59" t="str">
        <x:v>catalog_fields:GUGIK_MPZP</x:v>
      </x:c>
      <x:c r="C209" s="59" t="str">
        <x:v>PASS: []</x:v>
      </x:c>
    </x:row>
    <x:row r="210" ht="30" customHeight="1">
      <x:c r="A210" s="59" t="str">
        <x:v>Kontrola lokalna</x:v>
      </x:c>
      <x:c r="B210" s="59" t="str">
        <x:v>catalog_url:GUGIK_MPZP</x:v>
      </x:c>
      <x:c r="C210" s="59" t="str">
        <x:v>PASS</x:v>
      </x:c>
    </x:row>
    <x:row r="211" ht="30" customHeight="1">
      <x:c r="A211" s="59" t="str">
        <x:v>Kontrola lokalna</x:v>
      </x:c>
      <x:c r="B211" s="59" t="str">
        <x:v>catalog_status:GUGIK_MPZP</x:v>
      </x:c>
      <x:c r="C211" s="59" t="str">
        <x:v>PASS</x:v>
      </x:c>
    </x:row>
    <x:row r="212" ht="30" customHeight="1">
      <x:c r="A212" s="59" t="str">
        <x:v>Kontrola lokalna</x:v>
      </x:c>
      <x:c r="B212" s="59" t="str">
        <x:v>no_uncalibrated_numeric_quality:GUGIK_MPZP</x:v>
      </x:c>
      <x:c r="C212" s="59" t="str">
        <x:v>PASS</x:v>
      </x:c>
    </x:row>
    <x:row r="213" ht="30" customHeight="1">
      <x:c r="A213" s="59" t="str">
        <x:v>Kontrola lokalna</x:v>
      </x:c>
      <x:c r="B213" s="59" t="str">
        <x:v>source_rank:GUGIK_MPZP</x:v>
      </x:c>
      <x:c r="C213" s="59" t="str">
        <x:v>PASS</x:v>
      </x:c>
    </x:row>
    <x:row r="214" ht="30" customHeight="1">
      <x:c r="A214" s="59" t="str">
        <x:v>Kontrola lokalna</x:v>
      </x:c>
      <x:c r="B214" s="59" t="str">
        <x:v>catalog_fields:URBAN_REGISTER</x:v>
      </x:c>
      <x:c r="C214" s="59" t="str">
        <x:v>PASS: []</x:v>
      </x:c>
    </x:row>
    <x:row r="215" ht="30" customHeight="1">
      <x:c r="A215" s="59" t="str">
        <x:v>Kontrola lokalna</x:v>
      </x:c>
      <x:c r="B215" s="59" t="str">
        <x:v>catalog_url:URBAN_REGISTER</x:v>
      </x:c>
      <x:c r="C215" s="59" t="str">
        <x:v>PASS</x:v>
      </x:c>
    </x:row>
    <x:row r="216" ht="30" customHeight="1">
      <x:c r="A216" s="59" t="str">
        <x:v>Kontrola lokalna</x:v>
      </x:c>
      <x:c r="B216" s="59" t="str">
        <x:v>catalog_status:URBAN_REGISTER</x:v>
      </x:c>
      <x:c r="C216" s="59" t="str">
        <x:v>PASS</x:v>
      </x:c>
    </x:row>
    <x:row r="217" ht="30" customHeight="1">
      <x:c r="A217" s="59" t="str">
        <x:v>Kontrola lokalna</x:v>
      </x:c>
      <x:c r="B217" s="59" t="str">
        <x:v>no_uncalibrated_numeric_quality:URBAN_REGISTER</x:v>
      </x:c>
      <x:c r="C217" s="59" t="str">
        <x:v>PASS</x:v>
      </x:c>
    </x:row>
    <x:row r="218" ht="30" customHeight="1">
      <x:c r="A218" s="59" t="str">
        <x:v>Kontrola lokalna</x:v>
      </x:c>
      <x:c r="B218" s="59" t="str">
        <x:v>source_rank:URBAN_REGISTER</x:v>
      </x:c>
      <x:c r="C218" s="59" t="str">
        <x:v>PASS</x:v>
      </x:c>
    </x:row>
    <x:row r="219" ht="30" customHeight="1">
      <x:c r="A219" s="59" t="str">
        <x:v>Kontrola lokalna</x:v>
      </x:c>
      <x:c r="B219" s="59" t="str">
        <x:v>catalog_fields:GDOS_GIS</x:v>
      </x:c>
      <x:c r="C219" s="59" t="str">
        <x:v>PASS: []</x:v>
      </x:c>
    </x:row>
    <x:row r="220" ht="30" customHeight="1">
      <x:c r="A220" s="59" t="str">
        <x:v>Kontrola lokalna</x:v>
      </x:c>
      <x:c r="B220" s="59" t="str">
        <x:v>catalog_url:GDOS_GIS</x:v>
      </x:c>
      <x:c r="C220" s="59" t="str">
        <x:v>PASS</x:v>
      </x:c>
    </x:row>
    <x:row r="221" ht="30" customHeight="1">
      <x:c r="A221" s="59" t="str">
        <x:v>Kontrola lokalna</x:v>
      </x:c>
      <x:c r="B221" s="59" t="str">
        <x:v>catalog_status:GDOS_GIS</x:v>
      </x:c>
      <x:c r="C221" s="59" t="str">
        <x:v>PASS</x:v>
      </x:c>
    </x:row>
    <x:row r="222" ht="30" customHeight="1">
      <x:c r="A222" s="59" t="str">
        <x:v>Kontrola lokalna</x:v>
      </x:c>
      <x:c r="B222" s="59" t="str">
        <x:v>no_uncalibrated_numeric_quality:GDOS_GIS</x:v>
      </x:c>
      <x:c r="C222" s="59" t="str">
        <x:v>PASS</x:v>
      </x:c>
    </x:row>
    <x:row r="223" ht="30" customHeight="1">
      <x:c r="A223" s="59" t="str">
        <x:v>Kontrola lokalna</x:v>
      </x:c>
      <x:c r="B223" s="59" t="str">
        <x:v>source_rank:GDOS_GIS</x:v>
      </x:c>
      <x:c r="C223" s="59" t="str">
        <x:v>PASS</x:v>
      </x:c>
    </x:row>
    <x:row r="224" ht="30" customHeight="1">
      <x:c r="A224" s="59" t="str">
        <x:v>Kontrola lokalna</x:v>
      </x:c>
      <x:c r="B224" s="59" t="str">
        <x:v>sample_has_local_evidence:GDOS_GIS</x:v>
      </x:c>
      <x:c r="C224" s="59" t="str">
        <x:v>PASS</x:v>
      </x:c>
    </x:row>
    <x:row r="225" ht="30" customHeight="1">
      <x:c r="A225" s="59" t="str">
        <x:v>Kontrola lokalna</x:v>
      </x:c>
      <x:c r="B225" s="59" t="str">
        <x:v>catalog_fields:WODY_SIGW</x:v>
      </x:c>
      <x:c r="C225" s="59" t="str">
        <x:v>PASS: []</x:v>
      </x:c>
    </x:row>
    <x:row r="226" ht="30" customHeight="1">
      <x:c r="A226" s="59" t="str">
        <x:v>Kontrola lokalna</x:v>
      </x:c>
      <x:c r="B226" s="59" t="str">
        <x:v>catalog_url:WODY_SIGW</x:v>
      </x:c>
      <x:c r="C226" s="59" t="str">
        <x:v>PASS</x:v>
      </x:c>
    </x:row>
    <x:row r="227" ht="30" customHeight="1">
      <x:c r="A227" s="59" t="str">
        <x:v>Kontrola lokalna</x:v>
      </x:c>
      <x:c r="B227" s="59" t="str">
        <x:v>catalog_status:WODY_SIGW</x:v>
      </x:c>
      <x:c r="C227" s="59" t="str">
        <x:v>PASS</x:v>
      </x:c>
    </x:row>
    <x:row r="228" ht="30" customHeight="1">
      <x:c r="A228" s="59" t="str">
        <x:v>Kontrola lokalna</x:v>
      </x:c>
      <x:c r="B228" s="59" t="str">
        <x:v>no_uncalibrated_numeric_quality:WODY_SIGW</x:v>
      </x:c>
      <x:c r="C228" s="59" t="str">
        <x:v>PASS</x:v>
      </x:c>
    </x:row>
    <x:row r="229" ht="30" customHeight="1">
      <x:c r="A229" s="59" t="str">
        <x:v>Kontrola lokalna</x:v>
      </x:c>
      <x:c r="B229" s="59" t="str">
        <x:v>source_rank:WODY_SIGW</x:v>
      </x:c>
      <x:c r="C229" s="59" t="str">
        <x:v>PASS</x:v>
      </x:c>
    </x:row>
    <x:row r="230" ht="30" customHeight="1">
      <x:c r="A230" s="59" t="str">
        <x:v>Kontrola lokalna</x:v>
      </x:c>
      <x:c r="B230" s="59" t="str">
        <x:v>catalog_fields:BDL_GIS</x:v>
      </x:c>
      <x:c r="C230" s="59" t="str">
        <x:v>PASS: []</x:v>
      </x:c>
    </x:row>
    <x:row r="231" ht="30" customHeight="1">
      <x:c r="A231" s="59" t="str">
        <x:v>Kontrola lokalna</x:v>
      </x:c>
      <x:c r="B231" s="59" t="str">
        <x:v>catalog_url:BDL_GIS</x:v>
      </x:c>
      <x:c r="C231" s="59" t="str">
        <x:v>PASS</x:v>
      </x:c>
    </x:row>
    <x:row r="232" ht="30" customHeight="1">
      <x:c r="A232" s="59" t="str">
        <x:v>Kontrola lokalna</x:v>
      </x:c>
      <x:c r="B232" s="59" t="str">
        <x:v>catalog_status:BDL_GIS</x:v>
      </x:c>
      <x:c r="C232" s="59" t="str">
        <x:v>PASS</x:v>
      </x:c>
    </x:row>
    <x:row r="233" ht="30" customHeight="1">
      <x:c r="A233" s="59" t="str">
        <x:v>Kontrola lokalna</x:v>
      </x:c>
      <x:c r="B233" s="59" t="str">
        <x:v>no_uncalibrated_numeric_quality:BDL_GIS</x:v>
      </x:c>
      <x:c r="C233" s="59" t="str">
        <x:v>PASS</x:v>
      </x:c>
    </x:row>
    <x:row r="234" ht="30" customHeight="1">
      <x:c r="A234" s="59" t="str">
        <x:v>Kontrola lokalna</x:v>
      </x:c>
      <x:c r="B234" s="59" t="str">
        <x:v>source_rank:BDL_GIS</x:v>
      </x:c>
      <x:c r="C234" s="59" t="str">
        <x:v>PASS</x:v>
      </x:c>
    </x:row>
    <x:row r="235" ht="30" customHeight="1">
      <x:c r="A235" s="59" t="str">
        <x:v>Kontrola lokalna</x:v>
      </x:c>
      <x:c r="B235" s="59" t="str">
        <x:v>catalog_fields:ENTSOE_TP</x:v>
      </x:c>
      <x:c r="C235" s="59" t="str">
        <x:v>PASS: []</x:v>
      </x:c>
    </x:row>
    <x:row r="236" ht="30" customHeight="1">
      <x:c r="A236" s="59" t="str">
        <x:v>Kontrola lokalna</x:v>
      </x:c>
      <x:c r="B236" s="59" t="str">
        <x:v>catalog_url:ENTSOE_TP</x:v>
      </x:c>
      <x:c r="C236" s="59" t="str">
        <x:v>PASS</x:v>
      </x:c>
    </x:row>
    <x:row r="237" ht="30" customHeight="1">
      <x:c r="A237" s="59" t="str">
        <x:v>Kontrola lokalna</x:v>
      </x:c>
      <x:c r="B237" s="59" t="str">
        <x:v>catalog_status:ENTSOE_TP</x:v>
      </x:c>
      <x:c r="C237" s="59" t="str">
        <x:v>PASS</x:v>
      </x:c>
    </x:row>
    <x:row r="238" ht="30" customHeight="1">
      <x:c r="A238" s="59" t="str">
        <x:v>Kontrola lokalna</x:v>
      </x:c>
      <x:c r="B238" s="59" t="str">
        <x:v>no_uncalibrated_numeric_quality:ENTSOE_TP</x:v>
      </x:c>
      <x:c r="C238" s="59" t="str">
        <x:v>PASS</x:v>
      </x:c>
    </x:row>
    <x:row r="239" ht="30" customHeight="1">
      <x:c r="A239" s="59" t="str">
        <x:v>Kontrola lokalna</x:v>
      </x:c>
      <x:c r="B239" s="59" t="str">
        <x:v>source_rank:ENTSOE_TP</x:v>
      </x:c>
      <x:c r="C239" s="59" t="str">
        <x:v>PASS</x:v>
      </x:c>
    </x:row>
    <x:row r="240" ht="30" customHeight="1">
      <x:c r="A240" s="59" t="str">
        <x:v>Kontrola lokalna</x:v>
      </x:c>
      <x:c r="B240" s="59" t="str">
        <x:v>catalog_fields:ENTSOE_MAP</x:v>
      </x:c>
      <x:c r="C240" s="59" t="str">
        <x:v>PASS: []</x:v>
      </x:c>
    </x:row>
    <x:row r="241" ht="30" customHeight="1">
      <x:c r="A241" s="59" t="str">
        <x:v>Kontrola lokalna</x:v>
      </x:c>
      <x:c r="B241" s="59" t="str">
        <x:v>catalog_url:ENTSOE_MAP</x:v>
      </x:c>
      <x:c r="C241" s="59" t="str">
        <x:v>PASS</x:v>
      </x:c>
    </x:row>
    <x:row r="242" ht="30" customHeight="1">
      <x:c r="A242" s="59" t="str">
        <x:v>Kontrola lokalna</x:v>
      </x:c>
      <x:c r="B242" s="59" t="str">
        <x:v>catalog_status:ENTSOE_MAP</x:v>
      </x:c>
      <x:c r="C242" s="59" t="str">
        <x:v>PASS</x:v>
      </x:c>
    </x:row>
    <x:row r="243" ht="30" customHeight="1">
      <x:c r="A243" s="59" t="str">
        <x:v>Kontrola lokalna</x:v>
      </x:c>
      <x:c r="B243" s="59" t="str">
        <x:v>no_uncalibrated_numeric_quality:ENTSOE_MAP</x:v>
      </x:c>
      <x:c r="C243" s="59" t="str">
        <x:v>PASS</x:v>
      </x:c>
    </x:row>
    <x:row r="244" ht="30" customHeight="1">
      <x:c r="A244" s="59" t="str">
        <x:v>Kontrola lokalna</x:v>
      </x:c>
      <x:c r="B244" s="59" t="str">
        <x:v>source_rank:ENTSOE_MAP</x:v>
      </x:c>
      <x:c r="C244" s="59" t="str">
        <x:v>PASS</x:v>
      </x:c>
    </x:row>
    <x:row r="245" ht="30" customHeight="1">
      <x:c r="A245" s="59" t="str">
        <x:v>Kontrola lokalna</x:v>
      </x:c>
      <x:c r="B245" s="59" t="str">
        <x:v>catalog_fields:OSM_LICENSE</x:v>
      </x:c>
      <x:c r="C245" s="59" t="str">
        <x:v>PASS: []</x:v>
      </x:c>
    </x:row>
    <x:row r="246" ht="30" customHeight="1">
      <x:c r="A246" s="59" t="str">
        <x:v>Kontrola lokalna</x:v>
      </x:c>
      <x:c r="B246" s="59" t="str">
        <x:v>catalog_url:OSM_LICENSE</x:v>
      </x:c>
      <x:c r="C246" s="59" t="str">
        <x:v>PASS</x:v>
      </x:c>
    </x:row>
    <x:row r="247" ht="30" customHeight="1">
      <x:c r="A247" s="59" t="str">
        <x:v>Kontrola lokalna</x:v>
      </x:c>
      <x:c r="B247" s="59" t="str">
        <x:v>catalog_status:OSM_LICENSE</x:v>
      </x:c>
      <x:c r="C247" s="59" t="str">
        <x:v>PASS</x:v>
      </x:c>
    </x:row>
    <x:row r="248" ht="30" customHeight="1">
      <x:c r="A248" s="59" t="str">
        <x:v>Kontrola lokalna</x:v>
      </x:c>
      <x:c r="B248" s="59" t="str">
        <x:v>no_uncalibrated_numeric_quality:OSM_LICENSE</x:v>
      </x:c>
      <x:c r="C248" s="59" t="str">
        <x:v>PASS</x:v>
      </x:c>
    </x:row>
    <x:row r="249" ht="30" customHeight="1">
      <x:c r="A249" s="59" t="str">
        <x:v>Kontrola lokalna</x:v>
      </x:c>
      <x:c r="B249" s="59" t="str">
        <x:v>source_rank:OSM_LICENSE</x:v>
      </x:c>
      <x:c r="C249" s="59" t="str">
        <x:v>PASS</x:v>
      </x:c>
    </x:row>
    <x:row r="250" ht="30" customHeight="1">
      <x:c r="A250" s="59" t="str">
        <x:v>Kontrola lokalna</x:v>
      </x:c>
      <x:c r="B250" s="59" t="str">
        <x:v>catalog_fields:GEOFABRIK_PL</x:v>
      </x:c>
      <x:c r="C250" s="59" t="str">
        <x:v>PASS: []</x:v>
      </x:c>
    </x:row>
    <x:row r="251" ht="30" customHeight="1">
      <x:c r="A251" s="59" t="str">
        <x:v>Kontrola lokalna</x:v>
      </x:c>
      <x:c r="B251" s="59" t="str">
        <x:v>catalog_url:GEOFABRIK_PL</x:v>
      </x:c>
      <x:c r="C251" s="59" t="str">
        <x:v>PASS</x:v>
      </x:c>
    </x:row>
    <x:row r="252" ht="30" customHeight="1">
      <x:c r="A252" s="59" t="str">
        <x:v>Kontrola lokalna</x:v>
      </x:c>
      <x:c r="B252" s="59" t="str">
        <x:v>catalog_status:GEOFABRIK_PL</x:v>
      </x:c>
      <x:c r="C252" s="59" t="str">
        <x:v>PASS</x:v>
      </x:c>
    </x:row>
    <x:row r="253" ht="30" customHeight="1">
      <x:c r="A253" s="59" t="str">
        <x:v>Kontrola lokalna</x:v>
      </x:c>
      <x:c r="B253" s="59" t="str">
        <x:v>no_uncalibrated_numeric_quality:GEOFABRIK_PL</x:v>
      </x:c>
      <x:c r="C253" s="59" t="str">
        <x:v>PASS</x:v>
      </x:c>
    </x:row>
    <x:row r="254" ht="30" customHeight="1">
      <x:c r="A254" s="59" t="str">
        <x:v>Kontrola lokalna</x:v>
      </x:c>
      <x:c r="B254" s="59" t="str">
        <x:v>source_rank:GEOFABRIK_PL</x:v>
      </x:c>
      <x:c r="C254" s="59" t="str">
        <x:v>PASS</x:v>
      </x:c>
    </x:row>
    <x:row r="255" ht="30" customHeight="1">
      <x:c r="A255" s="59" t="str">
        <x:v>Kontrola lokalna</x:v>
      </x:c>
      <x:c r="B255" s="59" t="str">
        <x:v>catalog_fields:OPENINFRAMAP</x:v>
      </x:c>
      <x:c r="C255" s="59" t="str">
        <x:v>PASS: []</x:v>
      </x:c>
    </x:row>
    <x:row r="256" ht="30" customHeight="1">
      <x:c r="A256" s="59" t="str">
        <x:v>Kontrola lokalna</x:v>
      </x:c>
      <x:c r="B256" s="59" t="str">
        <x:v>catalog_url:OPENINFRAMAP</x:v>
      </x:c>
      <x:c r="C256" s="59" t="str">
        <x:v>PASS</x:v>
      </x:c>
    </x:row>
    <x:row r="257" ht="30" customHeight="1">
      <x:c r="A257" s="59" t="str">
        <x:v>Kontrola lokalna</x:v>
      </x:c>
      <x:c r="B257" s="59" t="str">
        <x:v>catalog_status:OPENINFRAMAP</x:v>
      </x:c>
      <x:c r="C257" s="59" t="str">
        <x:v>PASS</x:v>
      </x:c>
    </x:row>
    <x:row r="258" ht="30" customHeight="1">
      <x:c r="A258" s="59" t="str">
        <x:v>Kontrola lokalna</x:v>
      </x:c>
      <x:c r="B258" s="59" t="str">
        <x:v>no_uncalibrated_numeric_quality:OPENINFRAMAP</x:v>
      </x:c>
      <x:c r="C258" s="59" t="str">
        <x:v>PASS</x:v>
      </x:c>
    </x:row>
    <x:row r="259" ht="30" customHeight="1">
      <x:c r="A259" s="59" t="str">
        <x:v>Kontrola lokalna</x:v>
      </x:c>
      <x:c r="B259" s="59" t="str">
        <x:v>source_rank:OPENINFRAMAP</x:v>
      </x:c>
      <x:c r="C259" s="59" t="str">
        <x:v>PASS</x:v>
      </x:c>
    </x:row>
    <x:row r="260" ht="30" customHeight="1">
      <x:c r="A260" s="59" t="str">
        <x:v>Kontrola lokalna</x:v>
      </x:c>
      <x:c r="B260" s="59" t="str">
        <x:v>catalog_fields:PYPSA_EUR</x:v>
      </x:c>
      <x:c r="C260" s="59" t="str">
        <x:v>PASS: []</x:v>
      </x:c>
    </x:row>
    <x:row r="261" ht="30" customHeight="1">
      <x:c r="A261" s="59" t="str">
        <x:v>Kontrola lokalna</x:v>
      </x:c>
      <x:c r="B261" s="59" t="str">
        <x:v>catalog_url:PYPSA_EUR</x:v>
      </x:c>
      <x:c r="C261" s="59" t="str">
        <x:v>PASS</x:v>
      </x:c>
    </x:row>
    <x:row r="262" ht="30" customHeight="1">
      <x:c r="A262" s="59" t="str">
        <x:v>Kontrola lokalna</x:v>
      </x:c>
      <x:c r="B262" s="59" t="str">
        <x:v>catalog_status:PYPSA_EUR</x:v>
      </x:c>
      <x:c r="C262" s="59" t="str">
        <x:v>PASS</x:v>
      </x:c>
    </x:row>
    <x:row r="263" ht="30" customHeight="1">
      <x:c r="A263" s="59" t="str">
        <x:v>Kontrola lokalna</x:v>
      </x:c>
      <x:c r="B263" s="59" t="str">
        <x:v>no_uncalibrated_numeric_quality:PYPSA_EUR</x:v>
      </x:c>
      <x:c r="C263" s="59" t="str">
        <x:v>PASS</x:v>
      </x:c>
    </x:row>
    <x:row r="264" ht="30" customHeight="1">
      <x:c r="A264" s="59" t="str">
        <x:v>Kontrola lokalna</x:v>
      </x:c>
      <x:c r="B264" s="59" t="str">
        <x:v>source_rank:PYPSA_EUR</x:v>
      </x:c>
      <x:c r="C264" s="59" t="str">
        <x:v>PASS</x:v>
      </x:c>
    </x:row>
    <x:row r="265" ht="30" customHeight="1">
      <x:c r="A265" s="59" t="str">
        <x:v>Kontrola lokalna</x:v>
      </x:c>
      <x:c r="B265" s="59" t="str">
        <x:v>catalog_fields:MATPOWER_POLAND</x:v>
      </x:c>
      <x:c r="C265" s="59" t="str">
        <x:v>PASS: []</x:v>
      </x:c>
    </x:row>
    <x:row r="266" ht="30" customHeight="1">
      <x:c r="A266" s="59" t="str">
        <x:v>Kontrola lokalna</x:v>
      </x:c>
      <x:c r="B266" s="59" t="str">
        <x:v>catalog_url:MATPOWER_POLAND</x:v>
      </x:c>
      <x:c r="C266" s="59" t="str">
        <x:v>PASS</x:v>
      </x:c>
    </x:row>
    <x:row r="267" ht="30" customHeight="1">
      <x:c r="A267" s="59" t="str">
        <x:v>Kontrola lokalna</x:v>
      </x:c>
      <x:c r="B267" s="59" t="str">
        <x:v>catalog_status:MATPOWER_POLAND</x:v>
      </x:c>
      <x:c r="C267" s="59" t="str">
        <x:v>PASS</x:v>
      </x:c>
    </x:row>
    <x:row r="268" ht="30" customHeight="1">
      <x:c r="A268" s="59" t="str">
        <x:v>Kontrola lokalna</x:v>
      </x:c>
      <x:c r="B268" s="59" t="str">
        <x:v>no_uncalibrated_numeric_quality:MATPOWER_POLAND</x:v>
      </x:c>
      <x:c r="C268" s="59" t="str">
        <x:v>PASS</x:v>
      </x:c>
    </x:row>
    <x:row r="269" ht="30" customHeight="1">
      <x:c r="A269" s="59" t="str">
        <x:v>Kontrola lokalna</x:v>
      </x:c>
      <x:c r="B269" s="59" t="str">
        <x:v>source_rank:MATPOWER_POLAND</x:v>
      </x:c>
      <x:c r="C269" s="59" t="str">
        <x:v>PASS</x:v>
      </x:c>
    </x:row>
    <x:row r="270" ht="30" customHeight="1">
      <x:c r="A270" s="59" t="str">
        <x:v>Kontrola lokalna</x:v>
      </x:c>
      <x:c r="B270" s="59" t="str">
        <x:v>catalog_fields:PANDAPOWER</x:v>
      </x:c>
      <x:c r="C270" s="59" t="str">
        <x:v>PASS: []</x:v>
      </x:c>
    </x:row>
    <x:row r="271" ht="30" customHeight="1">
      <x:c r="A271" s="59" t="str">
        <x:v>Kontrola lokalna</x:v>
      </x:c>
      <x:c r="B271" s="59" t="str">
        <x:v>catalog_url:PANDAPOWER</x:v>
      </x:c>
      <x:c r="C271" s="59" t="str">
        <x:v>PASS</x:v>
      </x:c>
    </x:row>
    <x:row r="272" ht="30" customHeight="1">
      <x:c r="A272" s="59" t="str">
        <x:v>Kontrola lokalna</x:v>
      </x:c>
      <x:c r="B272" s="59" t="str">
        <x:v>catalog_status:PANDAPOWER</x:v>
      </x:c>
      <x:c r="C272" s="59" t="str">
        <x:v>PASS</x:v>
      </x:c>
    </x:row>
    <x:row r="273" ht="30" customHeight="1">
      <x:c r="A273" s="59" t="str">
        <x:v>Kontrola lokalna</x:v>
      </x:c>
      <x:c r="B273" s="59" t="str">
        <x:v>no_uncalibrated_numeric_quality:PANDAPOWER</x:v>
      </x:c>
      <x:c r="C273" s="59" t="str">
        <x:v>PASS</x:v>
      </x:c>
    </x:row>
    <x:row r="274" ht="30" customHeight="1">
      <x:c r="A274" s="59" t="str">
        <x:v>Kontrola lokalna</x:v>
      </x:c>
      <x:c r="B274" s="59" t="str">
        <x:v>source_rank:PANDAPOWER</x:v>
      </x:c>
      <x:c r="C274" s="59" t="str">
        <x:v>PASS</x:v>
      </x:c>
    </x:row>
    <x:row r="275" ht="30" customHeight="1">
      <x:c r="A275" s="59" t="str">
        <x:v>Kontrola lokalna</x:v>
      </x:c>
      <x:c r="B275" s="59" t="str">
        <x:v>catalog_fields:VERAGRID</x:v>
      </x:c>
      <x:c r="C275" s="59" t="str">
        <x:v>PASS: []</x:v>
      </x:c>
    </x:row>
    <x:row r="276" ht="30" customHeight="1">
      <x:c r="A276" s="59" t="str">
        <x:v>Kontrola lokalna</x:v>
      </x:c>
      <x:c r="B276" s="59" t="str">
        <x:v>catalog_url:VERAGRID</x:v>
      </x:c>
      <x:c r="C276" s="59" t="str">
        <x:v>PASS</x:v>
      </x:c>
    </x:row>
    <x:row r="277" ht="30" customHeight="1">
      <x:c r="A277" s="59" t="str">
        <x:v>Kontrola lokalna</x:v>
      </x:c>
      <x:c r="B277" s="59" t="str">
        <x:v>catalog_status:VERAGRID</x:v>
      </x:c>
      <x:c r="C277" s="59" t="str">
        <x:v>PASS</x:v>
      </x:c>
    </x:row>
    <x:row r="278" ht="30" customHeight="1">
      <x:c r="A278" s="59" t="str">
        <x:v>Kontrola lokalna</x:v>
      </x:c>
      <x:c r="B278" s="59" t="str">
        <x:v>no_uncalibrated_numeric_quality:VERAGRID</x:v>
      </x:c>
      <x:c r="C278" s="59" t="str">
        <x:v>PASS</x:v>
      </x:c>
    </x:row>
    <x:row r="279" ht="30" customHeight="1">
      <x:c r="A279" s="59" t="str">
        <x:v>Kontrola lokalna</x:v>
      </x:c>
      <x:c r="B279" s="59" t="str">
        <x:v>source_rank:VERAGRID</x:v>
      </x:c>
      <x:c r="C279" s="59" t="str">
        <x:v>PASS</x:v>
      </x:c>
    </x:row>
    <x:row r="280" ht="30" customHeight="1">
      <x:c r="A280" s="59" t="str">
        <x:v>Kontrola lokalna</x:v>
      </x:c>
      <x:c r="B280" s="59" t="str">
        <x:v>catalog_fields:MATPOWER_LIBRARY</x:v>
      </x:c>
      <x:c r="C280" s="59" t="str">
        <x:v>PASS: []</x:v>
      </x:c>
    </x:row>
    <x:row r="281" ht="30" customHeight="1">
      <x:c r="A281" s="59" t="str">
        <x:v>Kontrola lokalna</x:v>
      </x:c>
      <x:c r="B281" s="59" t="str">
        <x:v>catalog_url:MATPOWER_LIBRARY</x:v>
      </x:c>
      <x:c r="C281" s="59" t="str">
        <x:v>PASS</x:v>
      </x:c>
    </x:row>
    <x:row r="282" ht="30" customHeight="1">
      <x:c r="A282" s="59" t="str">
        <x:v>Kontrola lokalna</x:v>
      </x:c>
      <x:c r="B282" s="59" t="str">
        <x:v>catalog_status:MATPOWER_LIBRARY</x:v>
      </x:c>
      <x:c r="C282" s="59" t="str">
        <x:v>PASS</x:v>
      </x:c>
    </x:row>
    <x:row r="283" ht="30" customHeight="1">
      <x:c r="A283" s="59" t="str">
        <x:v>Kontrola lokalna</x:v>
      </x:c>
      <x:c r="B283" s="59" t="str">
        <x:v>no_uncalibrated_numeric_quality:MATPOWER_LIBRARY</x:v>
      </x:c>
      <x:c r="C283" s="59" t="str">
        <x:v>PASS</x:v>
      </x:c>
    </x:row>
    <x:row r="284" ht="30" customHeight="1">
      <x:c r="A284" s="59" t="str">
        <x:v>Kontrola lokalna</x:v>
      </x:c>
      <x:c r="B284" s="59" t="str">
        <x:v>source_rank:MATPOWER_LIBRARY</x:v>
      </x:c>
      <x:c r="C284" s="59" t="str">
        <x:v>PASS</x:v>
      </x:c>
    </x:row>
    <x:row r="285" ht="30" customHeight="1">
      <x:c r="A285" s="59" t="str">
        <x:v>Kontrola lokalna</x:v>
      </x:c>
      <x:c r="B285" s="59" t="str">
        <x:v>catalog_fields:POWERMODELS</x:v>
      </x:c>
      <x:c r="C285" s="59" t="str">
        <x:v>PASS: []</x:v>
      </x:c>
    </x:row>
    <x:row r="286" ht="30" customHeight="1">
      <x:c r="A286" s="59" t="str">
        <x:v>Kontrola lokalna</x:v>
      </x:c>
      <x:c r="B286" s="59" t="str">
        <x:v>catalog_url:POWERMODELS</x:v>
      </x:c>
      <x:c r="C286" s="59" t="str">
        <x:v>PASS</x:v>
      </x:c>
    </x:row>
    <x:row r="287" ht="30" customHeight="1">
      <x:c r="A287" s="59" t="str">
        <x:v>Kontrola lokalna</x:v>
      </x:c>
      <x:c r="B287" s="59" t="str">
        <x:v>catalog_status:POWERMODELS</x:v>
      </x:c>
      <x:c r="C287" s="59" t="str">
        <x:v>PASS</x:v>
      </x:c>
    </x:row>
    <x:row r="288" ht="30" customHeight="1">
      <x:c r="A288" s="59" t="str">
        <x:v>Kontrola lokalna</x:v>
      </x:c>
      <x:c r="B288" s="59" t="str">
        <x:v>no_uncalibrated_numeric_quality:POWERMODELS</x:v>
      </x:c>
      <x:c r="C288" s="59" t="str">
        <x:v>PASS</x:v>
      </x:c>
    </x:row>
    <x:row r="289" ht="30" customHeight="1">
      <x:c r="A289" s="59" t="str">
        <x:v>Kontrola lokalna</x:v>
      </x:c>
      <x:c r="B289" s="59" t="str">
        <x:v>source_rank:POWERMODELS</x:v>
      </x:c>
      <x:c r="C289" s="59" t="str">
        <x:v>PASS</x:v>
      </x:c>
    </x:row>
    <x:row r="290" ht="30" customHeight="1">
      <x:c r="A290" s="59" t="str">
        <x:v>Kontrola lokalna</x:v>
      </x:c>
      <x:c r="B290" s="59" t="str">
        <x:v>catalog_fields:OPSD_TIMESERIES</x:v>
      </x:c>
      <x:c r="C290" s="59" t="str">
        <x:v>PASS: []</x:v>
      </x:c>
    </x:row>
    <x:row r="291" ht="30" customHeight="1">
      <x:c r="A291" s="59" t="str">
        <x:v>Kontrola lokalna</x:v>
      </x:c>
      <x:c r="B291" s="59" t="str">
        <x:v>catalog_url:OPSD_TIMESERIES</x:v>
      </x:c>
      <x:c r="C291" s="59" t="str">
        <x:v>PASS</x:v>
      </x:c>
    </x:row>
    <x:row r="292" ht="30" customHeight="1">
      <x:c r="A292" s="59" t="str">
        <x:v>Kontrola lokalna</x:v>
      </x:c>
      <x:c r="B292" s="59" t="str">
        <x:v>catalog_status:OPSD_TIMESERIES</x:v>
      </x:c>
      <x:c r="C292" s="59" t="str">
        <x:v>PASS</x:v>
      </x:c>
    </x:row>
    <x:row r="293" ht="30" customHeight="1">
      <x:c r="A293" s="59" t="str">
        <x:v>Kontrola lokalna</x:v>
      </x:c>
      <x:c r="B293" s="59" t="str">
        <x:v>no_uncalibrated_numeric_quality:OPSD_TIMESERIES</x:v>
      </x:c>
      <x:c r="C293" s="59" t="str">
        <x:v>PASS</x:v>
      </x:c>
    </x:row>
    <x:row r="294" ht="30" customHeight="1">
      <x:c r="A294" s="59" t="str">
        <x:v>Kontrola lokalna</x:v>
      </x:c>
      <x:c r="B294" s="59" t="str">
        <x:v>source_rank:OPSD_TIMESERIES</x:v>
      </x:c>
      <x:c r="C294" s="59" t="str">
        <x:v>PASS</x:v>
      </x:c>
    </x:row>
    <x:row r="295" ht="30" customHeight="1">
      <x:c r="A295" s="59" t="str">
        <x:v>Kontrola lokalna</x:v>
      </x:c>
      <x:c r="B295" s="59" t="str">
        <x:v>catalog_fields:ENERGY_CHARTS</x:v>
      </x:c>
      <x:c r="C295" s="59" t="str">
        <x:v>PASS: []</x:v>
      </x:c>
    </x:row>
    <x:row r="296" ht="30" customHeight="1">
      <x:c r="A296" s="59" t="str">
        <x:v>Kontrola lokalna</x:v>
      </x:c>
      <x:c r="B296" s="59" t="str">
        <x:v>catalog_url:ENERGY_CHARTS</x:v>
      </x:c>
      <x:c r="C296" s="59" t="str">
        <x:v>PASS</x:v>
      </x:c>
    </x:row>
    <x:row r="297" ht="30" customHeight="1">
      <x:c r="A297" s="59" t="str">
        <x:v>Kontrola lokalna</x:v>
      </x:c>
      <x:c r="B297" s="59" t="str">
        <x:v>catalog_status:ENERGY_CHARTS</x:v>
      </x:c>
      <x:c r="C297" s="59" t="str">
        <x:v>PASS</x:v>
      </x:c>
    </x:row>
    <x:row r="298" ht="30" customHeight="1">
      <x:c r="A298" s="59" t="str">
        <x:v>Kontrola lokalna</x:v>
      </x:c>
      <x:c r="B298" s="59" t="str">
        <x:v>no_uncalibrated_numeric_quality:ENERGY_CHARTS</x:v>
      </x:c>
      <x:c r="C298" s="59" t="str">
        <x:v>PASS</x:v>
      </x:c>
    </x:row>
    <x:row r="299" ht="30" customHeight="1">
      <x:c r="A299" s="59" t="str">
        <x:v>Kontrola lokalna</x:v>
      </x:c>
      <x:c r="B299" s="59" t="str">
        <x:v>source_rank:ENERGY_CHARTS</x:v>
      </x:c>
      <x:c r="C299" s="59" t="str">
        <x:v>PASS</x:v>
      </x:c>
    </x:row>
    <x:row r="300" ht="30" customHeight="1">
      <x:c r="A300" s="59" t="str">
        <x:v>Kontrola lokalna</x:v>
      </x:c>
      <x:c r="B300" s="59" t="str">
        <x:v>sample_has_local_evidence:ENERGY_CHARTS</x:v>
      </x:c>
      <x:c r="C300" s="59" t="str">
        <x:v>PASS</x:v>
      </x:c>
    </x:row>
    <x:row r="301" ht="30" customHeight="1">
      <x:c r="A301" s="59" t="str">
        <x:v>Kontrola lokalna</x:v>
      </x:c>
      <x:c r="B301" s="59" t="str">
        <x:v>catalog_fields:EMBER_API</x:v>
      </x:c>
      <x:c r="C301" s="59" t="str">
        <x:v>PASS: []</x:v>
      </x:c>
    </x:row>
    <x:row r="302" ht="30" customHeight="1">
      <x:c r="A302" s="59" t="str">
        <x:v>Kontrola lokalna</x:v>
      </x:c>
      <x:c r="B302" s="59" t="str">
        <x:v>catalog_url:EMBER_API</x:v>
      </x:c>
      <x:c r="C302" s="59" t="str">
        <x:v>PASS</x:v>
      </x:c>
    </x:row>
    <x:row r="303" ht="30" customHeight="1">
      <x:c r="A303" s="59" t="str">
        <x:v>Kontrola lokalna</x:v>
      </x:c>
      <x:c r="B303" s="59" t="str">
        <x:v>catalog_status:EMBER_API</x:v>
      </x:c>
      <x:c r="C303" s="59" t="str">
        <x:v>PASS</x:v>
      </x:c>
    </x:row>
    <x:row r="304" ht="30" customHeight="1">
      <x:c r="A304" s="59" t="str">
        <x:v>Kontrola lokalna</x:v>
      </x:c>
      <x:c r="B304" s="59" t="str">
        <x:v>no_uncalibrated_numeric_quality:EMBER_API</x:v>
      </x:c>
      <x:c r="C304" s="59" t="str">
        <x:v>PASS</x:v>
      </x:c>
    </x:row>
    <x:row r="305" ht="30" customHeight="1">
      <x:c r="A305" s="59" t="str">
        <x:v>Kontrola lokalna</x:v>
      </x:c>
      <x:c r="B305" s="59" t="str">
        <x:v>source_rank:EMBER_API</x:v>
      </x:c>
      <x:c r="C305" s="59" t="str">
        <x:v>PASS</x:v>
      </x:c>
    </x:row>
    <x:row r="306" ht="30" customHeight="1">
      <x:c r="A306" s="59" t="str">
        <x:v>Kontrola lokalna</x:v>
      </x:c>
      <x:c r="B306" s="59" t="str">
        <x:v>catalog_fields:JRC_IDEES</x:v>
      </x:c>
      <x:c r="C306" s="59" t="str">
        <x:v>PASS: []</x:v>
      </x:c>
    </x:row>
    <x:row r="307" ht="30" customHeight="1">
      <x:c r="A307" s="59" t="str">
        <x:v>Kontrola lokalna</x:v>
      </x:c>
      <x:c r="B307" s="59" t="str">
        <x:v>catalog_url:JRC_IDEES</x:v>
      </x:c>
      <x:c r="C307" s="59" t="str">
        <x:v>PASS</x:v>
      </x:c>
    </x:row>
    <x:row r="308" ht="30" customHeight="1">
      <x:c r="A308" s="59" t="str">
        <x:v>Kontrola lokalna</x:v>
      </x:c>
      <x:c r="B308" s="59" t="str">
        <x:v>catalog_status:JRC_IDEES</x:v>
      </x:c>
      <x:c r="C308" s="59" t="str">
        <x:v>PASS</x:v>
      </x:c>
    </x:row>
    <x:row r="309" ht="30" customHeight="1">
      <x:c r="A309" s="59" t="str">
        <x:v>Kontrola lokalna</x:v>
      </x:c>
      <x:c r="B309" s="59" t="str">
        <x:v>no_uncalibrated_numeric_quality:JRC_IDEES</x:v>
      </x:c>
      <x:c r="C309" s="59" t="str">
        <x:v>PASS</x:v>
      </x:c>
    </x:row>
    <x:row r="310" ht="30" customHeight="1">
      <x:c r="A310" s="59" t="str">
        <x:v>Kontrola lokalna</x:v>
      </x:c>
      <x:c r="B310" s="59" t="str">
        <x:v>source_rank:JRC_IDEES</x:v>
      </x:c>
      <x:c r="C310" s="59" t="str">
        <x:v>PASS</x:v>
      </x:c>
    </x:row>
    <x:row r="311" ht="30" customHeight="1">
      <x:c r="A311" s="59" t="str">
        <x:v>Kontrola lokalna</x:v>
      </x:c>
      <x:c r="B311" s="59" t="str">
        <x:v>catalog_fields:COPERNICUS</x:v>
      </x:c>
      <x:c r="C311" s="59" t="str">
        <x:v>PASS: []</x:v>
      </x:c>
    </x:row>
    <x:row r="312" ht="30" customHeight="1">
      <x:c r="A312" s="59" t="str">
        <x:v>Kontrola lokalna</x:v>
      </x:c>
      <x:c r="B312" s="59" t="str">
        <x:v>catalog_url:COPERNICUS</x:v>
      </x:c>
      <x:c r="C312" s="59" t="str">
        <x:v>PASS</x:v>
      </x:c>
    </x:row>
    <x:row r="313" ht="30" customHeight="1">
      <x:c r="A313" s="59" t="str">
        <x:v>Kontrola lokalna</x:v>
      </x:c>
      <x:c r="B313" s="59" t="str">
        <x:v>catalog_status:COPERNICUS</x:v>
      </x:c>
      <x:c r="C313" s="59" t="str">
        <x:v>PASS</x:v>
      </x:c>
    </x:row>
    <x:row r="314" ht="30" customHeight="1">
      <x:c r="A314" s="59" t="str">
        <x:v>Kontrola lokalna</x:v>
      </x:c>
      <x:c r="B314" s="59" t="str">
        <x:v>no_uncalibrated_numeric_quality:COPERNICUS</x:v>
      </x:c>
      <x:c r="C314" s="59" t="str">
        <x:v>PASS</x:v>
      </x:c>
    </x:row>
    <x:row r="315" ht="30" customHeight="1">
      <x:c r="A315" s="59" t="str">
        <x:v>Kontrola lokalna</x:v>
      </x:c>
      <x:c r="B315" s="59" t="str">
        <x:v>source_rank:COPERNICUS</x:v>
      </x:c>
      <x:c r="C315" s="59" t="str">
        <x:v>PASS</x:v>
      </x:c>
    </x:row>
    <x:row r="316" ht="30" customHeight="1">
      <x:c r="A316" s="59" t="str">
        <x:v>Kontrola lokalna</x:v>
      </x:c>
      <x:c r="B316" s="59" t="str">
        <x:v>catalog_fields:PSE_INVESTMENTS_RADK</x:v>
      </x:c>
      <x:c r="C316" s="59" t="str">
        <x:v>PASS: []</x:v>
      </x:c>
    </x:row>
    <x:row r="317" ht="30" customHeight="1">
      <x:c r="A317" s="59" t="str">
        <x:v>Kontrola lokalna</x:v>
      </x:c>
      <x:c r="B317" s="59" t="str">
        <x:v>catalog_url:PSE_INVESTMENTS_RADK</x:v>
      </x:c>
      <x:c r="C317" s="59" t="str">
        <x:v>PASS</x:v>
      </x:c>
    </x:row>
    <x:row r="318" ht="30" customHeight="1">
      <x:c r="A318" s="59" t="str">
        <x:v>Kontrola lokalna</x:v>
      </x:c>
      <x:c r="B318" s="59" t="str">
        <x:v>catalog_status:PSE_INVESTMENTS_RADK</x:v>
      </x:c>
      <x:c r="C318" s="59" t="str">
        <x:v>PASS</x:v>
      </x:c>
    </x:row>
    <x:row r="319" ht="30" customHeight="1">
      <x:c r="A319" s="59" t="str">
        <x:v>Kontrola lokalna</x:v>
      </x:c>
      <x:c r="B319" s="59" t="str">
        <x:v>no_uncalibrated_numeric_quality:PSE_INVESTMENTS_RADK</x:v>
      </x:c>
      <x:c r="C319" s="59" t="str">
        <x:v>PASS</x:v>
      </x:c>
    </x:row>
    <x:row r="320" ht="30" customHeight="1">
      <x:c r="A320" s="59" t="str">
        <x:v>Kontrola lokalna</x:v>
      </x:c>
      <x:c r="B320" s="59" t="str">
        <x:v>source_rank:PSE_INVESTMENTS_RADK</x:v>
      </x:c>
      <x:c r="C320" s="59" t="str">
        <x:v>PASS</x:v>
      </x:c>
    </x:row>
    <x:row r="321" ht="30" customHeight="1">
      <x:c r="A321" s="59" t="str">
        <x:v>Kontrola lokalna</x:v>
      </x:c>
      <x:c r="B321" s="59" t="str">
        <x:v>catalog_fields:CHECINY_ENERGY_PLAN</x:v>
      </x:c>
      <x:c r="C321" s="59" t="str">
        <x:v>PASS: []</x:v>
      </x:c>
    </x:row>
    <x:row r="322" ht="30" customHeight="1">
      <x:c r="A322" s="59" t="str">
        <x:v>Kontrola lokalna</x:v>
      </x:c>
      <x:c r="B322" s="59" t="str">
        <x:v>catalog_url:CHECINY_ENERGY_PLAN</x:v>
      </x:c>
      <x:c r="C322" s="59" t="str">
        <x:v>PASS</x:v>
      </x:c>
    </x:row>
    <x:row r="323" ht="30" customHeight="1">
      <x:c r="A323" s="59" t="str">
        <x:v>Kontrola lokalna</x:v>
      </x:c>
      <x:c r="B323" s="59" t="str">
        <x:v>catalog_status:CHECINY_ENERGY_PLAN</x:v>
      </x:c>
      <x:c r="C323" s="59" t="str">
        <x:v>PASS</x:v>
      </x:c>
    </x:row>
    <x:row r="324" ht="30" customHeight="1">
      <x:c r="A324" s="59" t="str">
        <x:v>Kontrola lokalna</x:v>
      </x:c>
      <x:c r="B324" s="59" t="str">
        <x:v>no_uncalibrated_numeric_quality:CHECINY_ENERGY_PLAN</x:v>
      </x:c>
      <x:c r="C324" s="59" t="str">
        <x:v>PASS</x:v>
      </x:c>
    </x:row>
    <x:row r="325" ht="30" customHeight="1">
      <x:c r="A325" s="59" t="str">
        <x:v>Kontrola lokalna</x:v>
      </x:c>
      <x:c r="B325" s="59" t="str">
        <x:v>source_rank:CHECINY_ENERGY_PLAN</x:v>
      </x:c>
      <x:c r="C325" s="59" t="str">
        <x:v>PASS</x:v>
      </x:c>
    </x:row>
    <x:row r="326" ht="30" customHeight="1">
      <x:c r="A326" s="59" t="str">
        <x:v>Kontrola lokalna</x:v>
      </x:c>
      <x:c r="B326" s="59" t="str">
        <x:v>catalog_fields:PSE_TARIFF_2026</x:v>
      </x:c>
      <x:c r="C326" s="59" t="str">
        <x:v>PASS: []</x:v>
      </x:c>
    </x:row>
    <x:row r="327" ht="30" customHeight="1">
      <x:c r="A327" s="59" t="str">
        <x:v>Kontrola lokalna</x:v>
      </x:c>
      <x:c r="B327" s="59" t="str">
        <x:v>catalog_url:PSE_TARIFF_2026</x:v>
      </x:c>
      <x:c r="C327" s="59" t="str">
        <x:v>PASS</x:v>
      </x:c>
    </x:row>
    <x:row r="328" ht="30" customHeight="1">
      <x:c r="A328" s="59" t="str">
        <x:v>Kontrola lokalna</x:v>
      </x:c>
      <x:c r="B328" s="59" t="str">
        <x:v>catalog_status:PSE_TARIFF_2026</x:v>
      </x:c>
      <x:c r="C328" s="59" t="str">
        <x:v>PASS</x:v>
      </x:c>
    </x:row>
    <x:row r="329" ht="30" customHeight="1">
      <x:c r="A329" s="59" t="str">
        <x:v>Kontrola lokalna</x:v>
      </x:c>
      <x:c r="B329" s="59" t="str">
        <x:v>no_uncalibrated_numeric_quality:PSE_TARIFF_2026</x:v>
      </x:c>
      <x:c r="C329" s="59" t="str">
        <x:v>PASS</x:v>
      </x:c>
    </x:row>
    <x:row r="330" ht="30" customHeight="1">
      <x:c r="A330" s="59" t="str">
        <x:v>Kontrola lokalna</x:v>
      </x:c>
      <x:c r="B330" s="59" t="str">
        <x:v>source_rank:PSE_TARIFF_2026</x:v>
      </x:c>
      <x:c r="C330" s="59" t="str">
        <x:v>PASS</x:v>
      </x:c>
    </x:row>
    <x:row r="331" ht="30" customHeight="1">
      <x:c r="A331" s="59" t="str">
        <x:v>Kontrola lokalna</x:v>
      </x:c>
      <x:c r="B331" s="59" t="str">
        <x:v>catalog_fields:PGE_RADK_CAPACITY_ATTEMPT</x:v>
      </x:c>
      <x:c r="C331" s="59" t="str">
        <x:v>PASS: []</x:v>
      </x:c>
    </x:row>
    <x:row r="332" ht="30" customHeight="1">
      <x:c r="A332" s="59" t="str">
        <x:v>Kontrola lokalna</x:v>
      </x:c>
      <x:c r="B332" s="59" t="str">
        <x:v>catalog_url:PGE_RADK_CAPACITY_ATTEMPT</x:v>
      </x:c>
      <x:c r="C332" s="59" t="str">
        <x:v>PASS</x:v>
      </x:c>
    </x:row>
    <x:row r="333" ht="30" customHeight="1">
      <x:c r="A333" s="59" t="str">
        <x:v>Kontrola lokalna</x:v>
      </x:c>
      <x:c r="B333" s="59" t="str">
        <x:v>catalog_status:PGE_RADK_CAPACITY_ATTEMPT</x:v>
      </x:c>
      <x:c r="C333" s="59" t="str">
        <x:v>PASS</x:v>
      </x:c>
    </x:row>
    <x:row r="334" ht="30" customHeight="1">
      <x:c r="A334" s="59" t="str">
        <x:v>Kontrola lokalna</x:v>
      </x:c>
      <x:c r="B334" s="59" t="str">
        <x:v>no_uncalibrated_numeric_quality:PGE_RADK_CAPACITY_ATTEMPT</x:v>
      </x:c>
      <x:c r="C334" s="59" t="str">
        <x:v>PASS</x:v>
      </x:c>
    </x:row>
    <x:row r="335" ht="30" customHeight="1">
      <x:c r="A335" s="59" t="str">
        <x:v>Kontrola lokalna</x:v>
      </x:c>
      <x:c r="B335" s="59" t="str">
        <x:v>source_rank:PGE_RADK_CAPACITY_ATTEMPT</x:v>
      </x:c>
      <x:c r="C335" s="59" t="str">
        <x:v>PASS</x:v>
      </x:c>
    </x:row>
    <x:row r="336" ht="30" customHeight="1">
      <x:c r="A336" s="59" t="str">
        <x:v>Kontrola lokalna</x:v>
      </x:c>
      <x:c r="B336" s="59" t="str">
        <x:v>unverified_not_successful:PGE_RADK_CAPACITY_ATTEMPT</x:v>
      </x:c>
      <x:c r="C336" s="59" t="str">
        <x:v>PASS</x:v>
      </x:c>
    </x:row>
    <x:row r="337" ht="30" customHeight="1">
      <x:c r="A337" s="59" t="str">
        <x:v>Kontrola lokalna</x:v>
      </x:c>
      <x:c r="B337" s="59" t="str">
        <x:v>catalog_fields:SUW_RADK_WOLICA_3_2024</x:v>
      </x:c>
      <x:c r="C337" s="59" t="str">
        <x:v>PASS: []</x:v>
      </x:c>
    </x:row>
    <x:row r="338" ht="30" customHeight="1">
      <x:c r="A338" s="59" t="str">
        <x:v>Kontrola lokalna</x:v>
      </x:c>
      <x:c r="B338" s="59" t="str">
        <x:v>catalog_url:SUW_RADK_WOLICA_3_2024</x:v>
      </x:c>
      <x:c r="C338" s="59" t="str">
        <x:v>PASS</x:v>
      </x:c>
    </x:row>
    <x:row r="339" ht="30" customHeight="1">
      <x:c r="A339" s="59" t="str">
        <x:v>Kontrola lokalna</x:v>
      </x:c>
      <x:c r="B339" s="59" t="str">
        <x:v>catalog_status:SUW_RADK_WOLICA_3_2024</x:v>
      </x:c>
      <x:c r="C339" s="59" t="str">
        <x:v>PASS</x:v>
      </x:c>
    </x:row>
    <x:row r="340" ht="30" customHeight="1">
      <x:c r="A340" s="59" t="str">
        <x:v>Kontrola lokalna</x:v>
      </x:c>
      <x:c r="B340" s="59" t="str">
        <x:v>no_uncalibrated_numeric_quality:SUW_RADK_WOLICA_3_2024</x:v>
      </x:c>
      <x:c r="C340" s="59" t="str">
        <x:v>PASS</x:v>
      </x:c>
    </x:row>
    <x:row r="341" ht="30" customHeight="1">
      <x:c r="A341" s="59" t="str">
        <x:v>Kontrola lokalna</x:v>
      </x:c>
      <x:c r="B341" s="59" t="str">
        <x:v>source_rank:SUW_RADK_WOLICA_3_2024</x:v>
      </x:c>
      <x:c r="C341" s="59" t="str">
        <x:v>PASS</x:v>
      </x:c>
    </x:row>
    <x:row r="342" ht="30" customHeight="1">
      <x:c r="A342" s="59" t="str">
        <x:v>Kontrola lokalna</x:v>
      </x:c>
      <x:c r="B342" s="59" t="str">
        <x:v>catalog_fields:PSE_RADK_BRIDGE_NOTICE_2025</x:v>
      </x:c>
      <x:c r="C342" s="59" t="str">
        <x:v>PASS: []</x:v>
      </x:c>
    </x:row>
    <x:row r="343" ht="30" customHeight="1">
      <x:c r="A343" s="59" t="str">
        <x:v>Kontrola lokalna</x:v>
      </x:c>
      <x:c r="B343" s="59" t="str">
        <x:v>catalog_url:PSE_RADK_BRIDGE_NOTICE_2025</x:v>
      </x:c>
      <x:c r="C343" s="59" t="str">
        <x:v>PASS</x:v>
      </x:c>
    </x:row>
    <x:row r="344" ht="30" customHeight="1">
      <x:c r="A344" s="59" t="str">
        <x:v>Kontrola lokalna</x:v>
      </x:c>
      <x:c r="B344" s="59" t="str">
        <x:v>catalog_status:PSE_RADK_BRIDGE_NOTICE_2025</x:v>
      </x:c>
      <x:c r="C344" s="59" t="str">
        <x:v>PASS</x:v>
      </x:c>
    </x:row>
    <x:row r="345" ht="30" customHeight="1">
      <x:c r="A345" s="59" t="str">
        <x:v>Kontrola lokalna</x:v>
      </x:c>
      <x:c r="B345" s="59" t="str">
        <x:v>no_uncalibrated_numeric_quality:PSE_RADK_BRIDGE_NOTICE_2025</x:v>
      </x:c>
      <x:c r="C345" s="59" t="str">
        <x:v>PASS</x:v>
      </x:c>
    </x:row>
    <x:row r="346" ht="30" customHeight="1">
      <x:c r="A346" s="59" t="str">
        <x:v>Kontrola lokalna</x:v>
      </x:c>
      <x:c r="B346" s="59" t="str">
        <x:v>source_rank:PSE_RADK_BRIDGE_NOTICE_2025</x:v>
      </x:c>
      <x:c r="C346" s="59" t="str">
        <x:v>PASS</x:v>
      </x:c>
    </x:row>
    <x:row r="347" ht="30" customHeight="1">
      <x:c r="A347" s="59" t="str">
        <x:v>Kontrola lokalna</x:v>
      </x:c>
      <x:c r="B347" s="59" t="str">
        <x:v>catalog_fields:RDOS_RADK_PIASKI_NOTICE_2025</x:v>
      </x:c>
      <x:c r="C347" s="59" t="str">
        <x:v>PASS: []</x:v>
      </x:c>
    </x:row>
    <x:row r="348" ht="30" customHeight="1">
      <x:c r="A348" s="59" t="str">
        <x:v>Kontrola lokalna</x:v>
      </x:c>
      <x:c r="B348" s="59" t="str">
        <x:v>catalog_url:RDOS_RADK_PIASKI_NOTICE_2025</x:v>
      </x:c>
      <x:c r="C348" s="59" t="str">
        <x:v>PASS</x:v>
      </x:c>
    </x:row>
    <x:row r="349" ht="30" customHeight="1">
      <x:c r="A349" s="59" t="str">
        <x:v>Kontrola lokalna</x:v>
      </x:c>
      <x:c r="B349" s="59" t="str">
        <x:v>catalog_status:RDOS_RADK_PIASKI_NOTICE_2025</x:v>
      </x:c>
      <x:c r="C349" s="59" t="str">
        <x:v>PASS</x:v>
      </x:c>
    </x:row>
    <x:row r="350" ht="30" customHeight="1">
      <x:c r="A350" s="59" t="str">
        <x:v>Kontrola lokalna</x:v>
      </x:c>
      <x:c r="B350" s="59" t="str">
        <x:v>no_uncalibrated_numeric_quality:RDOS_RADK_PIASKI_NOTICE_2025</x:v>
      </x:c>
      <x:c r="C350" s="59" t="str">
        <x:v>PASS</x:v>
      </x:c>
    </x:row>
    <x:row r="351" ht="30" customHeight="1">
      <x:c r="A351" s="59" t="str">
        <x:v>Kontrola lokalna</x:v>
      </x:c>
      <x:c r="B351" s="59" t="str">
        <x:v>source_rank:RDOS_RADK_PIASKI_NOTICE_2025</x:v>
      </x:c>
      <x:c r="C351" s="59" t="str">
        <x:v>PASS</x:v>
      </x:c>
    </x:row>
    <x:row r="352" ht="30" customHeight="1">
      <x:c r="A352" s="59" t="str">
        <x:v>Kontrola lokalna</x:v>
      </x:c>
      <x:c r="B352" s="59" t="str">
        <x:v>catalog_fields:RDOS_RADK_PIASKI_DECISION_2025</x:v>
      </x:c>
      <x:c r="C352" s="59" t="str">
        <x:v>PASS: []</x:v>
      </x:c>
    </x:row>
    <x:row r="353" ht="30" customHeight="1">
      <x:c r="A353" s="59" t="str">
        <x:v>Kontrola lokalna</x:v>
      </x:c>
      <x:c r="B353" s="59" t="str">
        <x:v>catalog_url:RDOS_RADK_PIASKI_DECISION_2025</x:v>
      </x:c>
      <x:c r="C353" s="59" t="str">
        <x:v>PASS</x:v>
      </x:c>
    </x:row>
    <x:row r="354" ht="30" customHeight="1">
      <x:c r="A354" s="59" t="str">
        <x:v>Kontrola lokalna</x:v>
      </x:c>
      <x:c r="B354" s="59" t="str">
        <x:v>catalog_status:RDOS_RADK_PIASKI_DECISION_2025</x:v>
      </x:c>
      <x:c r="C354" s="59" t="str">
        <x:v>PASS</x:v>
      </x:c>
    </x:row>
    <x:row r="355" ht="30" customHeight="1">
      <x:c r="A355" s="59" t="str">
        <x:v>Kontrola lokalna</x:v>
      </x:c>
      <x:c r="B355" s="59" t="str">
        <x:v>no_uncalibrated_numeric_quality:RDOS_RADK_PIASKI_DECISION_2025</x:v>
      </x:c>
      <x:c r="C355" s="59" t="str">
        <x:v>PASS</x:v>
      </x:c>
    </x:row>
    <x:row r="356" ht="30" customHeight="1">
      <x:c r="A356" s="59" t="str">
        <x:v>Kontrola lokalna</x:v>
      </x:c>
      <x:c r="B356" s="59" t="str">
        <x:v>source_rank:RDOS_RADK_PIASKI_DECISION_2025</x:v>
      </x:c>
      <x:c r="C356" s="59" t="str">
        <x:v>PASS</x:v>
      </x:c>
    </x:row>
    <x:row r="357" ht="30" customHeight="1">
      <x:c r="A357" s="59" t="str">
        <x:v>Kontrola lokalna</x:v>
      </x:c>
      <x:c r="B357" s="59" t="str">
        <x:v>catalog_fields:PSE_IMPACT_REPORT_2023</x:v>
      </x:c>
      <x:c r="C357" s="59" t="str">
        <x:v>PASS: []</x:v>
      </x:c>
    </x:row>
    <x:row r="358" ht="30" customHeight="1">
      <x:c r="A358" s="59" t="str">
        <x:v>Kontrola lokalna</x:v>
      </x:c>
      <x:c r="B358" s="59" t="str">
        <x:v>catalog_url:PSE_IMPACT_REPORT_2023</x:v>
      </x:c>
      <x:c r="C358" s="59" t="str">
        <x:v>PASS</x:v>
      </x:c>
    </x:row>
    <x:row r="359" ht="30" customHeight="1">
      <x:c r="A359" s="59" t="str">
        <x:v>Kontrola lokalna</x:v>
      </x:c>
      <x:c r="B359" s="59" t="str">
        <x:v>catalog_status:PSE_IMPACT_REPORT_2023</x:v>
      </x:c>
      <x:c r="C359" s="59" t="str">
        <x:v>PASS</x:v>
      </x:c>
    </x:row>
    <x:row r="360" ht="30" customHeight="1">
      <x:c r="A360" s="59" t="str">
        <x:v>Kontrola lokalna</x:v>
      </x:c>
      <x:c r="B360" s="59" t="str">
        <x:v>no_uncalibrated_numeric_quality:PSE_IMPACT_REPORT_2023</x:v>
      </x:c>
      <x:c r="C360" s="59" t="str">
        <x:v>PASS</x:v>
      </x:c>
    </x:row>
    <x:row r="361" ht="30" customHeight="1">
      <x:c r="A361" s="59" t="str">
        <x:v>Kontrola lokalna</x:v>
      </x:c>
      <x:c r="B361" s="59" t="str">
        <x:v>source_rank:PSE_IMPACT_REPORT_2023</x:v>
      </x:c>
      <x:c r="C361" s="59" t="str">
        <x:v>PASS</x:v>
      </x:c>
    </x:row>
    <x:row r="362" ht="30" customHeight="1">
      <x:c r="A362" s="59" t="str">
        <x:v>Kontrola lokalna</x:v>
      </x:c>
      <x:c r="B362" s="59" t="str">
        <x:v>probe_snapshot_identities_unique</x:v>
      </x:c>
      <x:c r="C362" s="59" t="str">
        <x:v>PASS</x:v>
      </x:c>
    </x:row>
    <x:row r="363" ht="30" customHeight="1">
      <x:c r="A363" s="59" t="str">
        <x:v>Kontrola lokalna</x:v>
      </x:c>
      <x:c r="B363" s="59" t="str">
        <x:v>probe_references:PSE_API</x:v>
      </x:c>
      <x:c r="C363" s="59" t="str">
        <x:v>PASS</x:v>
      </x:c>
    </x:row>
    <x:row r="364" ht="30" customHeight="1">
      <x:c r="A364" s="59" t="str">
        <x:v>Kontrola lokalna</x:v>
      </x:c>
      <x:c r="B364" s="59" t="str">
        <x:v>probe_references:PSE_PIPELINE</x:v>
      </x:c>
      <x:c r="C364" s="59" t="str">
        <x:v>PASS</x:v>
      </x:c>
    </x:row>
    <x:row r="365" ht="30" customHeight="1">
      <x:c r="A365" s="59" t="str">
        <x:v>Kontrola lokalna</x:v>
      </x:c>
      <x:c r="B365" s="59" t="str">
        <x:v>probe_references:PSE_CAPACITY</x:v>
      </x:c>
      <x:c r="C365" s="59" t="str">
        <x:v>PASS</x:v>
      </x:c>
    </x:row>
    <x:row r="366" ht="30" customHeight="1">
      <x:c r="A366" s="59" t="str">
        <x:v>Kontrola lokalna</x:v>
      </x:c>
      <x:c r="B366" s="59" t="str">
        <x:v>probe_references:PSE_PLAN</x:v>
      </x:c>
      <x:c r="C366" s="59" t="str">
        <x:v>PASS</x:v>
      </x:c>
    </x:row>
    <x:row r="367" ht="30" customHeight="1">
      <x:c r="A367" s="59" t="str">
        <x:v>Kontrola lokalna</x:v>
      </x:c>
      <x:c r="B367" s="59" t="str">
        <x:v>probe_references:PSE_STRUCT_B2B</x:v>
      </x:c>
      <x:c r="C367" s="59" t="str">
        <x:v>PASS</x:v>
      </x:c>
    </x:row>
    <x:row r="368" ht="30" customHeight="1">
      <x:c r="A368" s="59" t="str">
        <x:v>Kontrola lokalna</x:v>
      </x:c>
      <x:c r="B368" s="59" t="str">
        <x:v>probe_references:ENERGA_LANDING</x:v>
      </x:c>
      <x:c r="C368" s="59" t="str">
        <x:v>PASS</x:v>
      </x:c>
    </x:row>
    <x:row r="369" ht="30" customHeight="1">
      <x:c r="A369" s="59" t="str">
        <x:v>Kontrola lokalna</x:v>
      </x:c>
      <x:c r="B369" s="59" t="str">
        <x:v>probe_references:ENERGA_EXPORT</x:v>
      </x:c>
      <x:c r="C369" s="59" t="str">
        <x:v>PASS</x:v>
      </x:c>
    </x:row>
    <x:row r="370" ht="30" customHeight="1">
      <x:c r="A370" s="59" t="str">
        <x:v>Kontrola lokalna</x:v>
      </x:c>
      <x:c r="B370" s="59" t="str">
        <x:v>probe_references:ENERGA_IMPORT</x:v>
      </x:c>
      <x:c r="C370" s="59" t="str">
        <x:v>PASS</x:v>
      </x:c>
    </x:row>
    <x:row r="371" ht="30" customHeight="1">
      <x:c r="A371" s="59" t="str">
        <x:v>Kontrola lokalna</x:v>
      </x:c>
      <x:c r="B371" s="59" t="str">
        <x:v>probe_references:ENERGA_PIPELINE</x:v>
      </x:c>
      <x:c r="C371" s="59" t="str">
        <x:v>PASS</x:v>
      </x:c>
    </x:row>
    <x:row r="372" ht="30" customHeight="1">
      <x:c r="A372" s="59" t="str">
        <x:v>Kontrola lokalna</x:v>
      </x:c>
      <x:c r="B372" s="59" t="str">
        <x:v>probe_references:ENERGA_PLAN</x:v>
      </x:c>
      <x:c r="C372" s="59" t="str">
        <x:v>PASS</x:v>
      </x:c>
    </x:row>
    <x:row r="373" ht="30" customHeight="1">
      <x:c r="A373" s="59" t="str">
        <x:v>Kontrola lokalna</x:v>
      </x:c>
      <x:c r="B373" s="59" t="str">
        <x:v>probe_references:ENEA_PIPELINE</x:v>
      </x:c>
      <x:c r="C373" s="59" t="str">
        <x:v>PASS</x:v>
      </x:c>
    </x:row>
    <x:row r="374" ht="30" customHeight="1">
      <x:c r="A374" s="59" t="str">
        <x:v>Kontrola lokalna</x:v>
      </x:c>
      <x:c r="B374" s="59" t="str">
        <x:v>probe_references:ENEA_MAP</x:v>
      </x:c>
      <x:c r="C374" s="59" t="str">
        <x:v>PASS</x:v>
      </x:c>
    </x:row>
    <x:row r="375" ht="30" customHeight="1">
      <x:c r="A375" s="59" t="str">
        <x:v>Kontrola lokalna</x:v>
      </x:c>
      <x:c r="B375" s="59" t="str">
        <x:v>probe_references:ENEA_PLAN</x:v>
      </x:c>
      <x:c r="C375" s="59" t="str">
        <x:v>PASS</x:v>
      </x:c>
    </x:row>
    <x:row r="376" ht="30" customHeight="1">
      <x:c r="A376" s="59" t="str">
        <x:v>Kontrola lokalna</x:v>
      </x:c>
      <x:c r="B376" s="59" t="str">
        <x:v>probe_references:TAURON_PIPELINE</x:v>
      </x:c>
      <x:c r="C376" s="59" t="str">
        <x:v>PASS</x:v>
      </x:c>
    </x:row>
    <x:row r="377" ht="30" customHeight="1">
      <x:c r="A377" s="59" t="str">
        <x:v>Kontrola lokalna</x:v>
      </x:c>
      <x:c r="B377" s="59" t="str">
        <x:v>probe_references:TAURON_MAP</x:v>
      </x:c>
      <x:c r="C377" s="59" t="str">
        <x:v>PASS</x:v>
      </x:c>
    </x:row>
    <x:row r="378" ht="30" customHeight="1">
      <x:c r="A378" s="59" t="str">
        <x:v>Kontrola lokalna</x:v>
      </x:c>
      <x:c r="B378" s="59" t="str">
        <x:v>probe_references:TAURON_PLAN</x:v>
      </x:c>
      <x:c r="C378" s="59" t="str">
        <x:v>PASS</x:v>
      </x:c>
    </x:row>
    <x:row r="379" ht="30" customHeight="1">
      <x:c r="A379" s="59" t="str">
        <x:v>Kontrola lokalna</x:v>
      </x:c>
      <x:c r="B379" s="59" t="str">
        <x:v>probe_references:STOEN_LANDING</x:v>
      </x:c>
      <x:c r="C379" s="59" t="str">
        <x:v>PASS</x:v>
      </x:c>
    </x:row>
    <x:row r="380" ht="30" customHeight="1">
      <x:c r="A380" s="59" t="str">
        <x:v>Kontrola lokalna</x:v>
      </x:c>
      <x:c r="B380" s="59" t="str">
        <x:v>probe_references:STOEN_EXPORT</x:v>
      </x:c>
      <x:c r="C380" s="59" t="str">
        <x:v>PASS</x:v>
      </x:c>
    </x:row>
    <x:row r="381" ht="30" customHeight="1">
      <x:c r="A381" s="59" t="str">
        <x:v>Kontrola lokalna</x:v>
      </x:c>
      <x:c r="B381" s="59" t="str">
        <x:v>probe_references:STOEN_IMPORT</x:v>
      </x:c>
      <x:c r="C381" s="59" t="str">
        <x:v>PASS</x:v>
      </x:c>
    </x:row>
    <x:row r="382" ht="30" customHeight="1">
      <x:c r="A382" s="59" t="str">
        <x:v>Kontrola lokalna</x:v>
      </x:c>
      <x:c r="B382" s="59" t="str">
        <x:v>probe_references:STOEN_PIPELINE</x:v>
      </x:c>
      <x:c r="C382" s="59" t="str">
        <x:v>PASS</x:v>
      </x:c>
    </x:row>
    <x:row r="383" ht="30" customHeight="1">
      <x:c r="A383" s="59" t="str">
        <x:v>Kontrola lokalna</x:v>
      </x:c>
      <x:c r="B383" s="59" t="str">
        <x:v>probe_references:STOEN_STORAGE</x:v>
      </x:c>
      <x:c r="C383" s="59" t="str">
        <x:v>PASS</x:v>
      </x:c>
    </x:row>
    <x:row r="384" ht="30" customHeight="1">
      <x:c r="A384" s="59" t="str">
        <x:v>Kontrola lokalna</x:v>
      </x:c>
      <x:c r="B384" s="59" t="str">
        <x:v>probe_references:STOEN_PLAN</x:v>
      </x:c>
      <x:c r="C384" s="59" t="str">
        <x:v>PASS</x:v>
      </x:c>
    </x:row>
    <x:row r="385" ht="30" customHeight="1">
      <x:c r="A385" s="59" t="str">
        <x:v>Kontrola lokalna</x:v>
      </x:c>
      <x:c r="B385" s="59" t="str">
        <x:v>probe_references:PGE_LANDING</x:v>
      </x:c>
      <x:c r="C385" s="59" t="str">
        <x:v>PASS</x:v>
      </x:c>
    </x:row>
    <x:row r="386" ht="30" customHeight="1">
      <x:c r="A386" s="59" t="str">
        <x:v>Kontrola lokalna</x:v>
      </x:c>
      <x:c r="B386" s="59" t="str">
        <x:v>probe_references:PGE_EXPORT_DISCOVERY</x:v>
      </x:c>
      <x:c r="C386" s="59" t="str">
        <x:v>PASS</x:v>
      </x:c>
    </x:row>
    <x:row r="387" ht="30" customHeight="1">
      <x:c r="A387" s="59" t="str">
        <x:v>Kontrola lokalna</x:v>
      </x:c>
      <x:c r="B387" s="59" t="str">
        <x:v>probe_references:PGE_PLAN_DISCOVERY</x:v>
      </x:c>
      <x:c r="C387" s="59" t="str">
        <x:v>PASS</x:v>
      </x:c>
    </x:row>
    <x:row r="388" ht="30" customHeight="1">
      <x:c r="A388" s="59" t="str">
        <x:v>Kontrola lokalna</x:v>
      </x:c>
      <x:c r="B388" s="59" t="str">
        <x:v>probe_references:KGHM_OSD</x:v>
      </x:c>
      <x:c r="C388" s="59" t="str">
        <x:v>PASS</x:v>
      </x:c>
    </x:row>
    <x:row r="389" ht="30" customHeight="1">
      <x:c r="A389" s="59" t="str">
        <x:v>Kontrola lokalna</x:v>
      </x:c>
      <x:c r="B389" s="59" t="str">
        <x:v>probe_references:URE_REGISTERS</x:v>
      </x:c>
      <x:c r="C389" s="59" t="str">
        <x:v>PASS</x:v>
      </x:c>
    </x:row>
    <x:row r="390" ht="30" customHeight="1">
      <x:c r="A390" s="59" t="str">
        <x:v>Kontrola lokalna</x:v>
      </x:c>
      <x:c r="B390" s="59" t="str">
        <x:v>probe_references:ENERGY_LAW_516</x:v>
      </x:c>
      <x:c r="C390" s="59" t="str">
        <x:v>PASS</x:v>
      </x:c>
    </x:row>
    <x:row r="391" ht="30" customHeight="1">
      <x:c r="A391" s="59" t="str">
        <x:v>Kontrola lokalna</x:v>
      </x:c>
      <x:c r="B391" s="59" t="str">
        <x:v>probe_references:BIP_ENV_DISCOVERY</x:v>
      </x:c>
      <x:c r="C391" s="59" t="str">
        <x:v>PASS</x:v>
      </x:c>
    </x:row>
    <x:row r="392" ht="30" customHeight="1">
      <x:c r="A392" s="59" t="str">
        <x:v>Kontrola lokalna</x:v>
      </x:c>
      <x:c r="B392" s="59" t="str">
        <x:v>probe_references:KRS_API_DOCS</x:v>
      </x:c>
      <x:c r="C392" s="59" t="str">
        <x:v>PASS</x:v>
      </x:c>
    </x:row>
    <x:row r="393" ht="30" customHeight="1">
      <x:c r="A393" s="59" t="str">
        <x:v>Kontrola lokalna</x:v>
      </x:c>
      <x:c r="B393" s="59" t="str">
        <x:v>probe_references:GUGIK_EGIB</x:v>
      </x:c>
      <x:c r="C393" s="59" t="str">
        <x:v>PASS</x:v>
      </x:c>
    </x:row>
    <x:row r="394" ht="30" customHeight="1">
      <x:c r="A394" s="59" t="str">
        <x:v>Kontrola lokalna</x:v>
      </x:c>
      <x:c r="B394" s="59" t="str">
        <x:v>probe_references:GUGIK_BDOT</x:v>
      </x:c>
      <x:c r="C394" s="59" t="str">
        <x:v>PASS</x:v>
      </x:c>
    </x:row>
    <x:row r="395" ht="30" customHeight="1">
      <x:c r="A395" s="59" t="str">
        <x:v>Kontrola lokalna</x:v>
      </x:c>
      <x:c r="B395" s="59" t="str">
        <x:v>probe_references:GUGIK_BDOT_PARQUET</x:v>
      </x:c>
      <x:c r="C395" s="59" t="str">
        <x:v>PASS</x:v>
      </x:c>
    </x:row>
    <x:row r="396" ht="30" customHeight="1">
      <x:c r="A396" s="59" t="str">
        <x:v>Kontrola lokalna</x:v>
      </x:c>
      <x:c r="B396" s="59" t="str">
        <x:v>probe_references:GUGIK_ORTHO</x:v>
      </x:c>
      <x:c r="C396" s="59" t="str">
        <x:v>PASS</x:v>
      </x:c>
    </x:row>
    <x:row r="397" ht="30" customHeight="1">
      <x:c r="A397" s="59" t="str">
        <x:v>Kontrola lokalna</x:v>
      </x:c>
      <x:c r="B397" s="59" t="str">
        <x:v>probe_references:GUGIK_NMT</x:v>
      </x:c>
      <x:c r="C397" s="59" t="str">
        <x:v>PASS</x:v>
      </x:c>
    </x:row>
    <x:row r="398" ht="30" customHeight="1">
      <x:c r="A398" s="59" t="str">
        <x:v>Kontrola lokalna</x:v>
      </x:c>
      <x:c r="B398" s="59" t="str">
        <x:v>probe_references:GUGIK_MPZP</x:v>
      </x:c>
      <x:c r="C398" s="59" t="str">
        <x:v>PASS</x:v>
      </x:c>
    </x:row>
    <x:row r="399" ht="30" customHeight="1">
      <x:c r="A399" s="59" t="str">
        <x:v>Kontrola lokalna</x:v>
      </x:c>
      <x:c r="B399" s="59" t="str">
        <x:v>probe_references:URBAN_REGISTER</x:v>
      </x:c>
      <x:c r="C399" s="59" t="str">
        <x:v>PASS</x:v>
      </x:c>
    </x:row>
    <x:row r="400" ht="30" customHeight="1">
      <x:c r="A400" s="59" t="str">
        <x:v>Kontrola lokalna</x:v>
      </x:c>
      <x:c r="B400" s="59" t="str">
        <x:v>probe_references:GDOS_GIS</x:v>
      </x:c>
      <x:c r="C400" s="59" t="str">
        <x:v>PASS</x:v>
      </x:c>
    </x:row>
    <x:row r="401" ht="30" customHeight="1">
      <x:c r="A401" s="59" t="str">
        <x:v>Kontrola lokalna</x:v>
      </x:c>
      <x:c r="B401" s="59" t="str">
        <x:v>probe_references:WODY_SIGW</x:v>
      </x:c>
      <x:c r="C401" s="59" t="str">
        <x:v>PASS</x:v>
      </x:c>
    </x:row>
    <x:row r="402" ht="30" customHeight="1">
      <x:c r="A402" s="59" t="str">
        <x:v>Kontrola lokalna</x:v>
      </x:c>
      <x:c r="B402" s="59" t="str">
        <x:v>probe_references:BDL_GIS</x:v>
      </x:c>
      <x:c r="C402" s="59" t="str">
        <x:v>PASS</x:v>
      </x:c>
    </x:row>
    <x:row r="403" ht="30" customHeight="1">
      <x:c r="A403" s="59" t="str">
        <x:v>Kontrola lokalna</x:v>
      </x:c>
      <x:c r="B403" s="59" t="str">
        <x:v>probe_references:ENTSOE_TP</x:v>
      </x:c>
      <x:c r="C403" s="59" t="str">
        <x:v>PASS</x:v>
      </x:c>
    </x:row>
    <x:row r="404" ht="30" customHeight="1">
      <x:c r="A404" s="59" t="str">
        <x:v>Kontrola lokalna</x:v>
      </x:c>
      <x:c r="B404" s="59" t="str">
        <x:v>probe_references:ENTSOE_MAP</x:v>
      </x:c>
      <x:c r="C404" s="59" t="str">
        <x:v>PASS</x:v>
      </x:c>
    </x:row>
    <x:row r="405" ht="30" customHeight="1">
      <x:c r="A405" s="59" t="str">
        <x:v>Kontrola lokalna</x:v>
      </x:c>
      <x:c r="B405" s="59" t="str">
        <x:v>probe_references:OSM_LICENSE</x:v>
      </x:c>
      <x:c r="C405" s="59" t="str">
        <x:v>PASS</x:v>
      </x:c>
    </x:row>
    <x:row r="406" ht="30" customHeight="1">
      <x:c r="A406" s="59" t="str">
        <x:v>Kontrola lokalna</x:v>
      </x:c>
      <x:c r="B406" s="59" t="str">
        <x:v>probe_references:GEOFABRIK_PL</x:v>
      </x:c>
      <x:c r="C406" s="59" t="str">
        <x:v>PASS</x:v>
      </x:c>
    </x:row>
    <x:row r="407" ht="30" customHeight="1">
      <x:c r="A407" s="59" t="str">
        <x:v>Kontrola lokalna</x:v>
      </x:c>
      <x:c r="B407" s="59" t="str">
        <x:v>probe_references:OPENINFRAMAP</x:v>
      </x:c>
      <x:c r="C407" s="59" t="str">
        <x:v>PASS</x:v>
      </x:c>
    </x:row>
    <x:row r="408" ht="30" customHeight="1">
      <x:c r="A408" s="59" t="str">
        <x:v>Kontrola lokalna</x:v>
      </x:c>
      <x:c r="B408" s="59" t="str">
        <x:v>probe_references:PYPSA_EUR</x:v>
      </x:c>
      <x:c r="C408" s="59" t="str">
        <x:v>PASS</x:v>
      </x:c>
    </x:row>
    <x:row r="409" ht="30" customHeight="1">
      <x:c r="A409" s="59" t="str">
        <x:v>Kontrola lokalna</x:v>
      </x:c>
      <x:c r="B409" s="59" t="str">
        <x:v>probe_references:MATPOWER_POLAND</x:v>
      </x:c>
      <x:c r="C409" s="59" t="str">
        <x:v>PASS</x:v>
      </x:c>
    </x:row>
    <x:row r="410" ht="30" customHeight="1">
      <x:c r="A410" s="59" t="str">
        <x:v>Kontrola lokalna</x:v>
      </x:c>
      <x:c r="B410" s="59" t="str">
        <x:v>probe_references:PANDAPOWER</x:v>
      </x:c>
      <x:c r="C410" s="59" t="str">
        <x:v>PASS</x:v>
      </x:c>
    </x:row>
    <x:row r="411" ht="30" customHeight="1">
      <x:c r="A411" s="59" t="str">
        <x:v>Kontrola lokalna</x:v>
      </x:c>
      <x:c r="B411" s="59" t="str">
        <x:v>probe_references:VERAGRID</x:v>
      </x:c>
      <x:c r="C411" s="59" t="str">
        <x:v>PASS</x:v>
      </x:c>
    </x:row>
    <x:row r="412" ht="30" customHeight="1">
      <x:c r="A412" s="59" t="str">
        <x:v>Kontrola lokalna</x:v>
      </x:c>
      <x:c r="B412" s="59" t="str">
        <x:v>probe_references:MATPOWER_LIBRARY</x:v>
      </x:c>
      <x:c r="C412" s="59" t="str">
        <x:v>PASS</x:v>
      </x:c>
    </x:row>
    <x:row r="413" ht="30" customHeight="1">
      <x:c r="A413" s="59" t="str">
        <x:v>Kontrola lokalna</x:v>
      </x:c>
      <x:c r="B413" s="59" t="str">
        <x:v>probe_references:POWERMODELS</x:v>
      </x:c>
      <x:c r="C413" s="59" t="str">
        <x:v>PASS</x:v>
      </x:c>
    </x:row>
    <x:row r="414" ht="30" customHeight="1">
      <x:c r="A414" s="59" t="str">
        <x:v>Kontrola lokalna</x:v>
      </x:c>
      <x:c r="B414" s="59" t="str">
        <x:v>probe_references:OPSD_TIMESERIES</x:v>
      </x:c>
      <x:c r="C414" s="59" t="str">
        <x:v>PASS</x:v>
      </x:c>
    </x:row>
    <x:row r="415" ht="30" customHeight="1">
      <x:c r="A415" s="59" t="str">
        <x:v>Kontrola lokalna</x:v>
      </x:c>
      <x:c r="B415" s="59" t="str">
        <x:v>probe_references:ENERGY_CHARTS</x:v>
      </x:c>
      <x:c r="C415" s="59" t="str">
        <x:v>PASS</x:v>
      </x:c>
    </x:row>
    <x:row r="416" ht="30" customHeight="1">
      <x:c r="A416" s="59" t="str">
        <x:v>Kontrola lokalna</x:v>
      </x:c>
      <x:c r="B416" s="59" t="str">
        <x:v>probe_references:EMBER_API</x:v>
      </x:c>
      <x:c r="C416" s="59" t="str">
        <x:v>PASS</x:v>
      </x:c>
    </x:row>
    <x:row r="417" ht="30" customHeight="1">
      <x:c r="A417" s="59" t="str">
        <x:v>Kontrola lokalna</x:v>
      </x:c>
      <x:c r="B417" s="59" t="str">
        <x:v>probe_references:JRC_IDEES</x:v>
      </x:c>
      <x:c r="C417" s="59" t="str">
        <x:v>PASS</x:v>
      </x:c>
    </x:row>
    <x:row r="418" ht="30" customHeight="1">
      <x:c r="A418" s="59" t="str">
        <x:v>Kontrola lokalna</x:v>
      </x:c>
      <x:c r="B418" s="59" t="str">
        <x:v>probe_references:COPERNICUS</x:v>
      </x:c>
      <x:c r="C418" s="59" t="str">
        <x:v>PASS</x:v>
      </x:c>
    </x:row>
    <x:row r="419" ht="30" customHeight="1">
      <x:c r="A419" s="59" t="str">
        <x:v>Kontrola lokalna</x:v>
      </x:c>
      <x:c r="B419" s="59" t="str">
        <x:v>probe_references:PSE_INVESTMENTS_RADK</x:v>
      </x:c>
      <x:c r="C419" s="59" t="str">
        <x:v>PASS</x:v>
      </x:c>
    </x:row>
    <x:row r="420" ht="30" customHeight="1">
      <x:c r="A420" s="59" t="str">
        <x:v>Kontrola lokalna</x:v>
      </x:c>
      <x:c r="B420" s="59" t="str">
        <x:v>probe_references:CHECINY_ENERGY_PLAN</x:v>
      </x:c>
      <x:c r="C420" s="59" t="str">
        <x:v>PASS</x:v>
      </x:c>
    </x:row>
    <x:row r="421" ht="30" customHeight="1">
      <x:c r="A421" s="59" t="str">
        <x:v>Kontrola lokalna</x:v>
      </x:c>
      <x:c r="B421" s="59" t="str">
        <x:v>probe_references:PSE_TARIFF_2026</x:v>
      </x:c>
      <x:c r="C421" s="59" t="str">
        <x:v>PASS</x:v>
      </x:c>
    </x:row>
    <x:row r="422" ht="30" customHeight="1">
      <x:c r="A422" s="59" t="str">
        <x:v>Kontrola lokalna</x:v>
      </x:c>
      <x:c r="B422" s="59" t="str">
        <x:v>probe_references:PGE_RADK_CAPACITY_ATTEMPT</x:v>
      </x:c>
      <x:c r="C422" s="59" t="str">
        <x:v>PASS</x:v>
      </x:c>
    </x:row>
    <x:row r="423" ht="30" customHeight="1">
      <x:c r="A423" s="59" t="str">
        <x:v>Kontrola lokalna</x:v>
      </x:c>
      <x:c r="B423" s="59" t="str">
        <x:v>probe_references:SUW_RADK_WOLICA_3_2024</x:v>
      </x:c>
      <x:c r="C423" s="59" t="str">
        <x:v>PASS</x:v>
      </x:c>
    </x:row>
    <x:row r="424" ht="30" customHeight="1">
      <x:c r="A424" s="59" t="str">
        <x:v>Kontrola lokalna</x:v>
      </x:c>
      <x:c r="B424" s="59" t="str">
        <x:v>probe_references:PSE_RADK_BRIDGE_NOTICE_2025</x:v>
      </x:c>
      <x:c r="C424" s="59" t="str">
        <x:v>PASS</x:v>
      </x:c>
    </x:row>
    <x:row r="425" ht="30" customHeight="1">
      <x:c r="A425" s="59" t="str">
        <x:v>Kontrola lokalna</x:v>
      </x:c>
      <x:c r="B425" s="59" t="str">
        <x:v>probe_references:RDOS_RADK_PIASKI_NOTICE_2025</x:v>
      </x:c>
      <x:c r="C425" s="59" t="str">
        <x:v>PASS</x:v>
      </x:c>
    </x:row>
    <x:row r="426" ht="30" customHeight="1">
      <x:c r="A426" s="59" t="str">
        <x:v>Kontrola lokalna</x:v>
      </x:c>
      <x:c r="B426" s="59" t="str">
        <x:v>probe_references:RDOS_RADK_PIASKI_DECISION_2025</x:v>
      </x:c>
      <x:c r="C426" s="59" t="str">
        <x:v>PASS</x:v>
      </x:c>
    </x:row>
    <x:row r="427" ht="30" customHeight="1">
      <x:c r="A427" s="59" t="str">
        <x:v>Kontrola lokalna</x:v>
      </x:c>
      <x:c r="B427" s="59" t="str">
        <x:v>probe_references:PSE_IMPACT_REPORT_2023</x:v>
      </x:c>
      <x:c r="C427" s="59" t="str">
        <x:v>PASS</x:v>
      </x:c>
    </x:row>
    <x:row r="428" ht="30" customHeight="1">
      <x:c r="A428" s="59" t="str">
        <x:v>Kontrola lokalna</x:v>
      </x:c>
      <x:c r="B428" s="59" t="str">
        <x:v>snapshot_within_raw:PSE_API_DOCS</x:v>
      </x:c>
      <x:c r="C428" s="59" t="str">
        <x:v>PASS</x:v>
      </x:c>
    </x:row>
    <x:row r="429" ht="30" customHeight="1">
      <x:c r="A429" s="59" t="str">
        <x:v>Kontrola lokalna</x:v>
      </x:c>
      <x:c r="B429" s="59" t="str">
        <x:v>snapshot_exists:PSE_API_DOCS</x:v>
      </x:c>
      <x:c r="C429" s="59" t="str">
        <x:v>PASS</x:v>
      </x:c>
    </x:row>
    <x:row r="430" ht="30" customHeight="1">
      <x:c r="A430" s="59" t="str">
        <x:v>Kontrola lokalna</x:v>
      </x:c>
      <x:c r="B430" s="59" t="str">
        <x:v>snapshot_bytes:PSE_API_DOCS</x:v>
      </x:c>
      <x:c r="C430" s="59" t="str">
        <x:v>PASS</x:v>
      </x:c>
    </x:row>
    <x:row r="431" ht="30" customHeight="1">
      <x:c r="A431" s="59" t="str">
        <x:v>Kontrola lokalna</x:v>
      </x:c>
      <x:c r="B431" s="59" t="str">
        <x:v>snapshot_sha256:PSE_API_DOCS</x:v>
      </x:c>
      <x:c r="C431" s="59" t="str">
        <x:v>PASS</x:v>
      </x:c>
    </x:row>
    <x:row r="432" ht="30" customHeight="1">
      <x:c r="A432" s="59" t="str">
        <x:v>Kontrola lokalna</x:v>
      </x:c>
      <x:c r="B432" s="59" t="str">
        <x:v>snapshot_within_raw:PSE_CAPACITY</x:v>
      </x:c>
      <x:c r="C432" s="59" t="str">
        <x:v>PASS</x:v>
      </x:c>
    </x:row>
    <x:row r="433" ht="30" customHeight="1">
      <x:c r="A433" s="59" t="str">
        <x:v>Kontrola lokalna</x:v>
      </x:c>
      <x:c r="B433" s="59" t="str">
        <x:v>snapshot_exists:PSE_CAPACITY</x:v>
      </x:c>
      <x:c r="C433" s="59" t="str">
        <x:v>PASS</x:v>
      </x:c>
    </x:row>
    <x:row r="434" ht="30" customHeight="1">
      <x:c r="A434" s="59" t="str">
        <x:v>Kontrola lokalna</x:v>
      </x:c>
      <x:c r="B434" s="59" t="str">
        <x:v>snapshot_bytes:PSE_CAPACITY</x:v>
      </x:c>
      <x:c r="C434" s="59" t="str">
        <x:v>PASS</x:v>
      </x:c>
    </x:row>
    <x:row r="435" ht="30" customHeight="1">
      <x:c r="A435" s="59" t="str">
        <x:v>Kontrola lokalna</x:v>
      </x:c>
      <x:c r="B435" s="59" t="str">
        <x:v>snapshot_sha256:PSE_CAPACITY</x:v>
      </x:c>
      <x:c r="C435" s="59" t="str">
        <x:v>PASS</x:v>
      </x:c>
    </x:row>
    <x:row r="436" ht="30" customHeight="1">
      <x:c r="A436" s="59" t="str">
        <x:v>Kontrola lokalna</x:v>
      </x:c>
      <x:c r="B436" s="59" t="str">
        <x:v>snapshot_within_raw:ENERGA_PIPELINE</x:v>
      </x:c>
      <x:c r="C436" s="59" t="str">
        <x:v>PASS</x:v>
      </x:c>
    </x:row>
    <x:row r="437" ht="30" customHeight="1">
      <x:c r="A437" s="59" t="str">
        <x:v>Kontrola lokalna</x:v>
      </x:c>
      <x:c r="B437" s="59" t="str">
        <x:v>snapshot_exists:ENERGA_PIPELINE</x:v>
      </x:c>
      <x:c r="C437" s="59" t="str">
        <x:v>PASS</x:v>
      </x:c>
    </x:row>
    <x:row r="438" ht="30" customHeight="1">
      <x:c r="A438" s="59" t="str">
        <x:v>Kontrola lokalna</x:v>
      </x:c>
      <x:c r="B438" s="59" t="str">
        <x:v>snapshot_bytes:ENERGA_PIPELINE</x:v>
      </x:c>
      <x:c r="C438" s="59" t="str">
        <x:v>PASS</x:v>
      </x:c>
    </x:row>
    <x:row r="439" ht="30" customHeight="1">
      <x:c r="A439" s="59" t="str">
        <x:v>Kontrola lokalna</x:v>
      </x:c>
      <x:c r="B439" s="59" t="str">
        <x:v>snapshot_sha256:ENERGA_PIPELINE</x:v>
      </x:c>
      <x:c r="C439" s="59" t="str">
        <x:v>PASS</x:v>
      </x:c>
    </x:row>
    <x:row r="440" ht="30" customHeight="1">
      <x:c r="A440" s="59" t="str">
        <x:v>Kontrola lokalna</x:v>
      </x:c>
      <x:c r="B440" s="59" t="str">
        <x:v>snapshot_within_raw:ENERGA_IMPORT</x:v>
      </x:c>
      <x:c r="C440" s="59" t="str">
        <x:v>PASS</x:v>
      </x:c>
    </x:row>
    <x:row r="441" ht="30" customHeight="1">
      <x:c r="A441" s="59" t="str">
        <x:v>Kontrola lokalna</x:v>
      </x:c>
      <x:c r="B441" s="59" t="str">
        <x:v>snapshot_exists:ENERGA_IMPORT</x:v>
      </x:c>
      <x:c r="C441" s="59" t="str">
        <x:v>PASS</x:v>
      </x:c>
    </x:row>
    <x:row r="442" ht="30" customHeight="1">
      <x:c r="A442" s="59" t="str">
        <x:v>Kontrola lokalna</x:v>
      </x:c>
      <x:c r="B442" s="59" t="str">
        <x:v>snapshot_bytes:ENERGA_IMPORT</x:v>
      </x:c>
      <x:c r="C442" s="59" t="str">
        <x:v>PASS</x:v>
      </x:c>
    </x:row>
    <x:row r="443" ht="30" customHeight="1">
      <x:c r="A443" s="59" t="str">
        <x:v>Kontrola lokalna</x:v>
      </x:c>
      <x:c r="B443" s="59" t="str">
        <x:v>snapshot_sha256:ENERGA_IMPORT</x:v>
      </x:c>
      <x:c r="C443" s="59" t="str">
        <x:v>PASS</x:v>
      </x:c>
    </x:row>
    <x:row r="444" ht="30" customHeight="1">
      <x:c r="A444" s="59" t="str">
        <x:v>Kontrola lokalna</x:v>
      </x:c>
      <x:c r="B444" s="59" t="str">
        <x:v>snapshot_within_raw:ENERGA_EXPORT</x:v>
      </x:c>
      <x:c r="C444" s="59" t="str">
        <x:v>PASS</x:v>
      </x:c>
    </x:row>
    <x:row r="445" ht="30" customHeight="1">
      <x:c r="A445" s="59" t="str">
        <x:v>Kontrola lokalna</x:v>
      </x:c>
      <x:c r="B445" s="59" t="str">
        <x:v>snapshot_exists:ENERGA_EXPORT</x:v>
      </x:c>
      <x:c r="C445" s="59" t="str">
        <x:v>PASS</x:v>
      </x:c>
    </x:row>
    <x:row r="446" ht="30" customHeight="1">
      <x:c r="A446" s="59" t="str">
        <x:v>Kontrola lokalna</x:v>
      </x:c>
      <x:c r="B446" s="59" t="str">
        <x:v>snapshot_bytes:ENERGA_EXPORT</x:v>
      </x:c>
      <x:c r="C446" s="59" t="str">
        <x:v>PASS</x:v>
      </x:c>
    </x:row>
    <x:row r="447" ht="30" customHeight="1">
      <x:c r="A447" s="59" t="str">
        <x:v>Kontrola lokalna</x:v>
      </x:c>
      <x:c r="B447" s="59" t="str">
        <x:v>snapshot_sha256:ENERGA_EXPORT</x:v>
      </x:c>
      <x:c r="C447" s="59" t="str">
        <x:v>PASS</x:v>
      </x:c>
    </x:row>
    <x:row r="448" ht="30" customHeight="1">
      <x:c r="A448" s="59" t="str">
        <x:v>Kontrola lokalna</x:v>
      </x:c>
      <x:c r="B448" s="59" t="str">
        <x:v>snapshot_within_raw:PGE_LANDING</x:v>
      </x:c>
      <x:c r="C448" s="59" t="str">
        <x:v>PASS</x:v>
      </x:c>
    </x:row>
    <x:row r="449" ht="30" customHeight="1">
      <x:c r="A449" s="59" t="str">
        <x:v>Kontrola lokalna</x:v>
      </x:c>
      <x:c r="B449" s="59" t="str">
        <x:v>snapshot_exists:PGE_LANDING</x:v>
      </x:c>
      <x:c r="C449" s="59" t="str">
        <x:v>PASS</x:v>
      </x:c>
    </x:row>
    <x:row r="450" ht="30" customHeight="1">
      <x:c r="A450" s="59" t="str">
        <x:v>Kontrola lokalna</x:v>
      </x:c>
      <x:c r="B450" s="59" t="str">
        <x:v>snapshot_bytes:PGE_LANDING</x:v>
      </x:c>
      <x:c r="C450" s="59" t="str">
        <x:v>PASS</x:v>
      </x:c>
    </x:row>
    <x:row r="451" ht="30" customHeight="1">
      <x:c r="A451" s="59" t="str">
        <x:v>Kontrola lokalna</x:v>
      </x:c>
      <x:c r="B451" s="59" t="str">
        <x:v>snapshot_sha256:PGE_LANDING</x:v>
      </x:c>
      <x:c r="C451" s="59" t="str">
        <x:v>PASS</x:v>
      </x:c>
    </x:row>
    <x:row r="452" ht="30" customHeight="1">
      <x:c r="A452" s="59" t="str">
        <x:v>Kontrola lokalna</x:v>
      </x:c>
      <x:c r="B452" s="59" t="str">
        <x:v>snapshot_within_raw:TAURON_PIPELINE</x:v>
      </x:c>
      <x:c r="C452" s="59" t="str">
        <x:v>PASS</x:v>
      </x:c>
    </x:row>
    <x:row r="453" ht="30" customHeight="1">
      <x:c r="A453" s="59" t="str">
        <x:v>Kontrola lokalna</x:v>
      </x:c>
      <x:c r="B453" s="59" t="str">
        <x:v>snapshot_exists:TAURON_PIPELINE</x:v>
      </x:c>
      <x:c r="C453" s="59" t="str">
        <x:v>PASS</x:v>
      </x:c>
    </x:row>
    <x:row r="454" ht="30" customHeight="1">
      <x:c r="A454" s="59" t="str">
        <x:v>Kontrola lokalna</x:v>
      </x:c>
      <x:c r="B454" s="59" t="str">
        <x:v>snapshot_bytes:TAURON_PIPELINE</x:v>
      </x:c>
      <x:c r="C454" s="59" t="str">
        <x:v>PASS</x:v>
      </x:c>
    </x:row>
    <x:row r="455" ht="30" customHeight="1">
      <x:c r="A455" s="59" t="str">
        <x:v>Kontrola lokalna</x:v>
      </x:c>
      <x:c r="B455" s="59" t="str">
        <x:v>snapshot_sha256:TAURON_PIPELINE</x:v>
      </x:c>
      <x:c r="C455" s="59" t="str">
        <x:v>PASS</x:v>
      </x:c>
    </x:row>
    <x:row r="456" ht="30" customHeight="1">
      <x:c r="A456" s="59" t="str">
        <x:v>Kontrola lokalna</x:v>
      </x:c>
      <x:c r="B456" s="59" t="str">
        <x:v>snapshot_within_raw:ENERGA_LANDING</x:v>
      </x:c>
      <x:c r="C456" s="59" t="str">
        <x:v>PASS</x:v>
      </x:c>
    </x:row>
    <x:row r="457" ht="30" customHeight="1">
      <x:c r="A457" s="59" t="str">
        <x:v>Kontrola lokalna</x:v>
      </x:c>
      <x:c r="B457" s="59" t="str">
        <x:v>snapshot_exists:ENERGA_LANDING</x:v>
      </x:c>
      <x:c r="C457" s="59" t="str">
        <x:v>PASS</x:v>
      </x:c>
    </x:row>
    <x:row r="458" ht="30" customHeight="1">
      <x:c r="A458" s="59" t="str">
        <x:v>Kontrola lokalna</x:v>
      </x:c>
      <x:c r="B458" s="59" t="str">
        <x:v>snapshot_bytes:ENERGA_LANDING</x:v>
      </x:c>
      <x:c r="C458" s="59" t="str">
        <x:v>PASS</x:v>
      </x:c>
    </x:row>
    <x:row r="459" ht="30" customHeight="1">
      <x:c r="A459" s="59" t="str">
        <x:v>Kontrola lokalna</x:v>
      </x:c>
      <x:c r="B459" s="59" t="str">
        <x:v>snapshot_sha256:ENERGA_LANDING</x:v>
      </x:c>
      <x:c r="C459" s="59" t="str">
        <x:v>PASS</x:v>
      </x:c>
    </x:row>
    <x:row r="460" ht="30" customHeight="1">
      <x:c r="A460" s="59" t="str">
        <x:v>Kontrola lokalna</x:v>
      </x:c>
      <x:c r="B460" s="59" t="str">
        <x:v>snapshot_within_raw:GUGIK_EGIB_CAPABILITIES</x:v>
      </x:c>
      <x:c r="C460" s="59" t="str">
        <x:v>PASS</x:v>
      </x:c>
    </x:row>
    <x:row r="461" ht="30" customHeight="1">
      <x:c r="A461" s="59" t="str">
        <x:v>Kontrola lokalna</x:v>
      </x:c>
      <x:c r="B461" s="59" t="str">
        <x:v>snapshot_exists:GUGIK_EGIB_CAPABILITIES</x:v>
      </x:c>
      <x:c r="C461" s="59" t="str">
        <x:v>PASS</x:v>
      </x:c>
    </x:row>
    <x:row r="462" ht="30" customHeight="1">
      <x:c r="A462" s="59" t="str">
        <x:v>Kontrola lokalna</x:v>
      </x:c>
      <x:c r="B462" s="59" t="str">
        <x:v>snapshot_bytes:GUGIK_EGIB_CAPABILITIES</x:v>
      </x:c>
      <x:c r="C462" s="59" t="str">
        <x:v>PASS</x:v>
      </x:c>
    </x:row>
    <x:row r="463" ht="30" customHeight="1">
      <x:c r="A463" s="59" t="str">
        <x:v>Kontrola lokalna</x:v>
      </x:c>
      <x:c r="B463" s="59" t="str">
        <x:v>snapshot_sha256:GUGIK_EGIB_CAPABILITIES</x:v>
      </x:c>
      <x:c r="C463" s="59" t="str">
        <x:v>PASS</x:v>
      </x:c>
    </x:row>
    <x:row r="464" ht="30" customHeight="1">
      <x:c r="A464" s="59" t="str">
        <x:v>Kontrola lokalna</x:v>
      </x:c>
      <x:c r="B464" s="59" t="str">
        <x:v>snapshot_within_raw:GDOS_CAPABILITIES</x:v>
      </x:c>
      <x:c r="C464" s="59" t="str">
        <x:v>PASS</x:v>
      </x:c>
    </x:row>
    <x:row r="465" ht="30" customHeight="1">
      <x:c r="A465" s="59" t="str">
        <x:v>Kontrola lokalna</x:v>
      </x:c>
      <x:c r="B465" s="59" t="str">
        <x:v>snapshot_exists:GDOS_CAPABILITIES</x:v>
      </x:c>
      <x:c r="C465" s="59" t="str">
        <x:v>PASS</x:v>
      </x:c>
    </x:row>
    <x:row r="466" ht="30" customHeight="1">
      <x:c r="A466" s="59" t="str">
        <x:v>Kontrola lokalna</x:v>
      </x:c>
      <x:c r="B466" s="59" t="str">
        <x:v>snapshot_bytes:GDOS_CAPABILITIES</x:v>
      </x:c>
      <x:c r="C466" s="59" t="str">
        <x:v>PASS</x:v>
      </x:c>
    </x:row>
    <x:row r="467" ht="30" customHeight="1">
      <x:c r="A467" s="59" t="str">
        <x:v>Kontrola lokalna</x:v>
      </x:c>
      <x:c r="B467" s="59" t="str">
        <x:v>snapshot_sha256:GDOS_CAPABILITIES</x:v>
      </x:c>
      <x:c r="C467" s="59" t="str">
        <x:v>PASS</x:v>
      </x:c>
    </x:row>
    <x:row r="468" ht="30" customHeight="1">
      <x:c r="A468" s="59" t="str">
        <x:v>Kontrola lokalna</x:v>
      </x:c>
      <x:c r="B468" s="59" t="str">
        <x:v>snapshot_within_raw:ENERGY_CHARTS_DOCS</x:v>
      </x:c>
      <x:c r="C468" s="59" t="str">
        <x:v>PASS</x:v>
      </x:c>
    </x:row>
    <x:row r="469" ht="30" customHeight="1">
      <x:c r="A469" s="59" t="str">
        <x:v>Kontrola lokalna</x:v>
      </x:c>
      <x:c r="B469" s="59" t="str">
        <x:v>snapshot_exists:ENERGY_CHARTS_DOCS</x:v>
      </x:c>
      <x:c r="C469" s="59" t="str">
        <x:v>PASS</x:v>
      </x:c>
    </x:row>
    <x:row r="470" ht="30" customHeight="1">
      <x:c r="A470" s="59" t="str">
        <x:v>Kontrola lokalna</x:v>
      </x:c>
      <x:c r="B470" s="59" t="str">
        <x:v>snapshot_bytes:ENERGY_CHARTS_DOCS</x:v>
      </x:c>
      <x:c r="C470" s="59" t="str">
        <x:v>PASS</x:v>
      </x:c>
    </x:row>
    <x:row r="471" ht="30" customHeight="1">
      <x:c r="A471" s="59" t="str">
        <x:v>Kontrola lokalna</x:v>
      </x:c>
      <x:c r="B471" s="59" t="str">
        <x:v>snapshot_sha256:ENERGY_CHARTS_DOCS</x:v>
      </x:c>
      <x:c r="C471" s="59" t="str">
        <x:v>PASS</x:v>
      </x:c>
    </x:row>
    <x:row r="472" ht="30" customHeight="1">
      <x:c r="A472" s="59" t="str">
        <x:v>Kontrola lokalna</x:v>
      </x:c>
      <x:c r="B472" s="59" t="str">
        <x:v>snapshot_within_raw:PSE_API_JS</x:v>
      </x:c>
      <x:c r="C472" s="59" t="str">
        <x:v>PASS</x:v>
      </x:c>
    </x:row>
    <x:row r="473" ht="30" customHeight="1">
      <x:c r="A473" s="59" t="str">
        <x:v>Kontrola lokalna</x:v>
      </x:c>
      <x:c r="B473" s="59" t="str">
        <x:v>snapshot_exists:PSE_API_JS</x:v>
      </x:c>
      <x:c r="C473" s="59" t="str">
        <x:v>PASS</x:v>
      </x:c>
    </x:row>
    <x:row r="474" ht="30" customHeight="1">
      <x:c r="A474" s="59" t="str">
        <x:v>Kontrola lokalna</x:v>
      </x:c>
      <x:c r="B474" s="59" t="str">
        <x:v>snapshot_bytes:PSE_API_JS</x:v>
      </x:c>
      <x:c r="C474" s="59" t="str">
        <x:v>PASS</x:v>
      </x:c>
    </x:row>
    <x:row r="475" ht="30" customHeight="1">
      <x:c r="A475" s="59" t="str">
        <x:v>Kontrola lokalna</x:v>
      </x:c>
      <x:c r="B475" s="59" t="str">
        <x:v>snapshot_sha256:PSE_API_JS</x:v>
      </x:c>
      <x:c r="C475" s="59" t="str">
        <x:v>PASS</x:v>
      </x:c>
    </x:row>
    <x:row r="476" ht="30" customHeight="1">
      <x:c r="A476" s="59" t="str">
        <x:v>Kontrola lokalna</x:v>
      </x:c>
      <x:c r="B476" s="59" t="str">
        <x:v>snapshot_within_raw:ENERGY_CHARTS_OPENAPI</x:v>
      </x:c>
      <x:c r="C476" s="59" t="str">
        <x:v>PASS</x:v>
      </x:c>
    </x:row>
    <x:row r="477" ht="30" customHeight="1">
      <x:c r="A477" s="59" t="str">
        <x:v>Kontrola lokalna</x:v>
      </x:c>
      <x:c r="B477" s="59" t="str">
        <x:v>snapshot_exists:ENERGY_CHARTS_OPENAPI</x:v>
      </x:c>
      <x:c r="C477" s="59" t="str">
        <x:v>PASS</x:v>
      </x:c>
    </x:row>
    <x:row r="478" ht="30" customHeight="1">
      <x:c r="A478" s="59" t="str">
        <x:v>Kontrola lokalna</x:v>
      </x:c>
      <x:c r="B478" s="59" t="str">
        <x:v>snapshot_bytes:ENERGY_CHARTS_OPENAPI</x:v>
      </x:c>
      <x:c r="C478" s="59" t="str">
        <x:v>PASS</x:v>
      </x:c>
    </x:row>
    <x:row r="479" ht="30" customHeight="1">
      <x:c r="A479" s="59" t="str">
        <x:v>Kontrola lokalna</x:v>
      </x:c>
      <x:c r="B479" s="59" t="str">
        <x:v>snapshot_sha256:ENERGY_CHARTS_OPENAPI</x:v>
      </x:c>
      <x:c r="C479" s="59" t="str">
        <x:v>PASS</x:v>
      </x:c>
    </x:row>
    <x:row r="480" ht="30" customHeight="1">
      <x:c r="A480" s="59" t="str">
        <x:v>Kontrola lokalna</x:v>
      </x:c>
      <x:c r="B480" s="59" t="str">
        <x:v>snapshot_within_raw:TAURON_PIPELINE_PDF</x:v>
      </x:c>
      <x:c r="C480" s="59" t="str">
        <x:v>PASS</x:v>
      </x:c>
    </x:row>
    <x:row r="481" ht="30" customHeight="1">
      <x:c r="A481" s="59" t="str">
        <x:v>Kontrola lokalna</x:v>
      </x:c>
      <x:c r="B481" s="59" t="str">
        <x:v>snapshot_exists:TAURON_PIPELINE_PDF</x:v>
      </x:c>
      <x:c r="C481" s="59" t="str">
        <x:v>PASS</x:v>
      </x:c>
    </x:row>
    <x:row r="482" ht="30" customHeight="1">
      <x:c r="A482" s="59" t="str">
        <x:v>Kontrola lokalna</x:v>
      </x:c>
      <x:c r="B482" s="59" t="str">
        <x:v>snapshot_bytes:TAURON_PIPELINE_PDF</x:v>
      </x:c>
      <x:c r="C482" s="59" t="str">
        <x:v>PASS</x:v>
      </x:c>
    </x:row>
    <x:row r="483" ht="30" customHeight="1">
      <x:c r="A483" s="59" t="str">
        <x:v>Kontrola lokalna</x:v>
      </x:c>
      <x:c r="B483" s="59" t="str">
        <x:v>snapshot_sha256:TAURON_PIPELINE_PDF</x:v>
      </x:c>
      <x:c r="C483" s="59" t="str">
        <x:v>PASS</x:v>
      </x:c>
    </x:row>
    <x:row r="484" ht="30" customHeight="1">
      <x:c r="A484" s="59" t="str">
        <x:v>Kontrola lokalna</x:v>
      </x:c>
      <x:c r="B484" s="59" t="str">
        <x:v>snapshot_within_raw:STOEN_NETWORK_HTML</x:v>
      </x:c>
      <x:c r="C484" s="59" t="str">
        <x:v>PASS</x:v>
      </x:c>
    </x:row>
    <x:row r="485" ht="30" customHeight="1">
      <x:c r="A485" s="59" t="str">
        <x:v>Kontrola lokalna</x:v>
      </x:c>
      <x:c r="B485" s="59" t="str">
        <x:v>snapshot_exists:STOEN_NETWORK_HTML</x:v>
      </x:c>
      <x:c r="C485" s="59" t="str">
        <x:v>PASS</x:v>
      </x:c>
    </x:row>
    <x:row r="486" ht="30" customHeight="1">
      <x:c r="A486" s="59" t="str">
        <x:v>Kontrola lokalna</x:v>
      </x:c>
      <x:c r="B486" s="59" t="str">
        <x:v>snapshot_bytes:STOEN_NETWORK_HTML</x:v>
      </x:c>
      <x:c r="C486" s="59" t="str">
        <x:v>PASS</x:v>
      </x:c>
    </x:row>
    <x:row r="487" ht="30" customHeight="1">
      <x:c r="A487" s="59" t="str">
        <x:v>Kontrola lokalna</x:v>
      </x:c>
      <x:c r="B487" s="59" t="str">
        <x:v>snapshot_sha256:STOEN_NETWORK_HTML</x:v>
      </x:c>
      <x:c r="C487" s="59" t="str">
        <x:v>PASS</x:v>
      </x:c>
    </x:row>
    <x:row r="488" ht="30" customHeight="1">
      <x:c r="A488" s="59" t="str">
        <x:v>Kontrola lokalna</x:v>
      </x:c>
      <x:c r="B488" s="59" t="str">
        <x:v>snapshot_within_raw:ENEA_PIPELINE_HTML</x:v>
      </x:c>
      <x:c r="C488" s="59" t="str">
        <x:v>PASS</x:v>
      </x:c>
    </x:row>
    <x:row r="489" ht="30" customHeight="1">
      <x:c r="A489" s="59" t="str">
        <x:v>Kontrola lokalna</x:v>
      </x:c>
      <x:c r="B489" s="59" t="str">
        <x:v>snapshot_exists:ENEA_PIPELINE_HTML</x:v>
      </x:c>
      <x:c r="C489" s="59" t="str">
        <x:v>PASS</x:v>
      </x:c>
    </x:row>
    <x:row r="490" ht="30" customHeight="1">
      <x:c r="A490" s="59" t="str">
        <x:v>Kontrola lokalna</x:v>
      </x:c>
      <x:c r="B490" s="59" t="str">
        <x:v>snapshot_bytes:ENEA_PIPELINE_HTML</x:v>
      </x:c>
      <x:c r="C490" s="59" t="str">
        <x:v>PASS</x:v>
      </x:c>
    </x:row>
    <x:row r="491" ht="30" customHeight="1">
      <x:c r="A491" s="59" t="str">
        <x:v>Kontrola lokalna</x:v>
      </x:c>
      <x:c r="B491" s="59" t="str">
        <x:v>snapshot_sha256:ENEA_PIPELINE_HTML</x:v>
      </x:c>
      <x:c r="C491" s="59" t="str">
        <x:v>PASS</x:v>
      </x:c>
    </x:row>
    <x:row r="492" ht="30" customHeight="1">
      <x:c r="A492" s="59" t="str">
        <x:v>Kontrola lokalna</x:v>
      </x:c>
      <x:c r="B492" s="59" t="str">
        <x:v>snapshot_within_raw:PSE_PIPELINE_HTML</x:v>
      </x:c>
      <x:c r="C492" s="59" t="str">
        <x:v>PASS</x:v>
      </x:c>
    </x:row>
    <x:row r="493" ht="30" customHeight="1">
      <x:c r="A493" s="59" t="str">
        <x:v>Kontrola lokalna</x:v>
      </x:c>
      <x:c r="B493" s="59" t="str">
        <x:v>snapshot_exists:PSE_PIPELINE_HTML</x:v>
      </x:c>
      <x:c r="C493" s="59" t="str">
        <x:v>PASS</x:v>
      </x:c>
    </x:row>
    <x:row r="494" ht="30" customHeight="1">
      <x:c r="A494" s="59" t="str">
        <x:v>Kontrola lokalna</x:v>
      </x:c>
      <x:c r="B494" s="59" t="str">
        <x:v>snapshot_bytes:PSE_PIPELINE_HTML</x:v>
      </x:c>
      <x:c r="C494" s="59" t="str">
        <x:v>PASS</x:v>
      </x:c>
    </x:row>
    <x:row r="495" ht="30" customHeight="1">
      <x:c r="A495" s="59" t="str">
        <x:v>Kontrola lokalna</x:v>
      </x:c>
      <x:c r="B495" s="59" t="str">
        <x:v>snapshot_sha256:PSE_PIPELINE_HTML</x:v>
      </x:c>
      <x:c r="C495" s="59" t="str">
        <x:v>PASS</x:v>
      </x:c>
    </x:row>
    <x:row r="496" ht="30" customHeight="1">
      <x:c r="A496" s="59" t="str">
        <x:v>Kontrola lokalna</x:v>
      </x:c>
      <x:c r="B496" s="59" t="str">
        <x:v>snapshot_within_raw:PSE_OPENAPI</x:v>
      </x:c>
      <x:c r="C496" s="59" t="str">
        <x:v>PASS</x:v>
      </x:c>
    </x:row>
    <x:row r="497" ht="30" customHeight="1">
      <x:c r="A497" s="59" t="str">
        <x:v>Kontrola lokalna</x:v>
      </x:c>
      <x:c r="B497" s="59" t="str">
        <x:v>snapshot_exists:PSE_OPENAPI</x:v>
      </x:c>
      <x:c r="C497" s="59" t="str">
        <x:v>PASS</x:v>
      </x:c>
    </x:row>
    <x:row r="498" ht="30" customHeight="1">
      <x:c r="A498" s="59" t="str">
        <x:v>Kontrola lokalna</x:v>
      </x:c>
      <x:c r="B498" s="59" t="str">
        <x:v>snapshot_bytes:PSE_OPENAPI</x:v>
      </x:c>
      <x:c r="C498" s="59" t="str">
        <x:v>PASS</x:v>
      </x:c>
    </x:row>
    <x:row r="499" ht="30" customHeight="1">
      <x:c r="A499" s="59" t="str">
        <x:v>Kontrola lokalna</x:v>
      </x:c>
      <x:c r="B499" s="59" t="str">
        <x:v>snapshot_sha256:PSE_OPENAPI</x:v>
      </x:c>
      <x:c r="C499" s="59" t="str">
        <x:v>PASS</x:v>
      </x:c>
    </x:row>
    <x:row r="500" ht="30" customHeight="1">
      <x:c r="A500" s="59" t="str">
        <x:v>Kontrola lokalna</x:v>
      </x:c>
      <x:c r="B500" s="59" t="str">
        <x:v>snapshot_within_raw:PSE_PIPELINE_XLSX</x:v>
      </x:c>
      <x:c r="C500" s="59" t="str">
        <x:v>PASS</x:v>
      </x:c>
    </x:row>
    <x:row r="501" ht="30" customHeight="1">
      <x:c r="A501" s="59" t="str">
        <x:v>Kontrola lokalna</x:v>
      </x:c>
      <x:c r="B501" s="59" t="str">
        <x:v>snapshot_exists:PSE_PIPELINE_XLSX</x:v>
      </x:c>
      <x:c r="C501" s="59" t="str">
        <x:v>PASS</x:v>
      </x:c>
    </x:row>
    <x:row r="502" ht="30" customHeight="1">
      <x:c r="A502" s="59" t="str">
        <x:v>Kontrola lokalna</x:v>
      </x:c>
      <x:c r="B502" s="59" t="str">
        <x:v>snapshot_bytes:PSE_PIPELINE_XLSX</x:v>
      </x:c>
      <x:c r="C502" s="59" t="str">
        <x:v>PASS</x:v>
      </x:c>
    </x:row>
    <x:row r="503" ht="30" customHeight="1">
      <x:c r="A503" s="59" t="str">
        <x:v>Kontrola lokalna</x:v>
      </x:c>
      <x:c r="B503" s="59" t="str">
        <x:v>snapshot_sha256:PSE_PIPELINE_XLSX</x:v>
      </x:c>
      <x:c r="C503" s="59" t="str">
        <x:v>PASS</x:v>
      </x:c>
    </x:row>
    <x:row r="504" ht="30" customHeight="1">
      <x:c r="A504" s="59" t="str">
        <x:v>Kontrola lokalna</x:v>
      </x:c>
      <x:c r="B504" s="59" t="str">
        <x:v>snapshot_within_raw:ENEA_MAP</x:v>
      </x:c>
      <x:c r="C504" s="59" t="str">
        <x:v>PASS</x:v>
      </x:c>
    </x:row>
    <x:row r="505" ht="30" customHeight="1">
      <x:c r="A505" s="59" t="str">
        <x:v>Kontrola lokalna</x:v>
      </x:c>
      <x:c r="B505" s="59" t="str">
        <x:v>snapshot_exists:ENEA_MAP</x:v>
      </x:c>
      <x:c r="C505" s="59" t="str">
        <x:v>PASS</x:v>
      </x:c>
    </x:row>
    <x:row r="506" ht="30" customHeight="1">
      <x:c r="A506" s="59" t="str">
        <x:v>Kontrola lokalna</x:v>
      </x:c>
      <x:c r="B506" s="59" t="str">
        <x:v>snapshot_bytes:ENEA_MAP</x:v>
      </x:c>
      <x:c r="C506" s="59" t="str">
        <x:v>PASS</x:v>
      </x:c>
    </x:row>
    <x:row r="507" ht="30" customHeight="1">
      <x:c r="A507" s="59" t="str">
        <x:v>Kontrola lokalna</x:v>
      </x:c>
      <x:c r="B507" s="59" t="str">
        <x:v>snapshot_sha256:ENEA_MAP</x:v>
      </x:c>
      <x:c r="C507" s="59" t="str">
        <x:v>PASS</x:v>
      </x:c>
    </x:row>
    <x:row r="508" ht="30" customHeight="1">
      <x:c r="A508" s="59" t="str">
        <x:v>Kontrola lokalna</x:v>
      </x:c>
      <x:c r="B508" s="59" t="str">
        <x:v>snapshot_within_raw:ENEA_PLAN</x:v>
      </x:c>
      <x:c r="C508" s="59" t="str">
        <x:v>PASS</x:v>
      </x:c>
    </x:row>
    <x:row r="509" ht="30" customHeight="1">
      <x:c r="A509" s="59" t="str">
        <x:v>Kontrola lokalna</x:v>
      </x:c>
      <x:c r="B509" s="59" t="str">
        <x:v>snapshot_exists:ENEA_PLAN</x:v>
      </x:c>
      <x:c r="C509" s="59" t="str">
        <x:v>PASS</x:v>
      </x:c>
    </x:row>
    <x:row r="510" ht="30" customHeight="1">
      <x:c r="A510" s="59" t="str">
        <x:v>Kontrola lokalna</x:v>
      </x:c>
      <x:c r="B510" s="59" t="str">
        <x:v>snapshot_bytes:ENEA_PLAN</x:v>
      </x:c>
      <x:c r="C510" s="59" t="str">
        <x:v>PASS</x:v>
      </x:c>
    </x:row>
    <x:row r="511" ht="30" customHeight="1">
      <x:c r="A511" s="59" t="str">
        <x:v>Kontrola lokalna</x:v>
      </x:c>
      <x:c r="B511" s="59" t="str">
        <x:v>snapshot_sha256:ENEA_PLAN</x:v>
      </x:c>
      <x:c r="C511" s="59" t="str">
        <x:v>PASS</x:v>
      </x:c>
    </x:row>
    <x:row r="512" ht="30" customHeight="1">
      <x:c r="A512" s="59" t="str">
        <x:v>Kontrola lokalna</x:v>
      </x:c>
      <x:c r="B512" s="59" t="str">
        <x:v>snapshot_within_raw:STOEN_EXPORT</x:v>
      </x:c>
      <x:c r="C512" s="59" t="str">
        <x:v>PASS</x:v>
      </x:c>
    </x:row>
    <x:row r="513" ht="30" customHeight="1">
      <x:c r="A513" s="59" t="str">
        <x:v>Kontrola lokalna</x:v>
      </x:c>
      <x:c r="B513" s="59" t="str">
        <x:v>snapshot_exists:STOEN_EXPORT</x:v>
      </x:c>
      <x:c r="C513" s="59" t="str">
        <x:v>PASS</x:v>
      </x:c>
    </x:row>
    <x:row r="514" ht="30" customHeight="1">
      <x:c r="A514" s="59" t="str">
        <x:v>Kontrola lokalna</x:v>
      </x:c>
      <x:c r="B514" s="59" t="str">
        <x:v>snapshot_bytes:STOEN_EXPORT</x:v>
      </x:c>
      <x:c r="C514" s="59" t="str">
        <x:v>PASS</x:v>
      </x:c>
    </x:row>
    <x:row r="515" ht="30" customHeight="1">
      <x:c r="A515" s="59" t="str">
        <x:v>Kontrola lokalna</x:v>
      </x:c>
      <x:c r="B515" s="59" t="str">
        <x:v>snapshot_sha256:STOEN_EXPORT</x:v>
      </x:c>
      <x:c r="C515" s="59" t="str">
        <x:v>PASS</x:v>
      </x:c>
    </x:row>
    <x:row r="516" ht="30" customHeight="1">
      <x:c r="A516" s="59" t="str">
        <x:v>Kontrola lokalna</x:v>
      </x:c>
      <x:c r="B516" s="59" t="str">
        <x:v>snapshot_within_raw:STOEN_IMPORT</x:v>
      </x:c>
      <x:c r="C516" s="59" t="str">
        <x:v>PASS</x:v>
      </x:c>
    </x:row>
    <x:row r="517" ht="30" customHeight="1">
      <x:c r="A517" s="59" t="str">
        <x:v>Kontrola lokalna</x:v>
      </x:c>
      <x:c r="B517" s="59" t="str">
        <x:v>snapshot_exists:STOEN_IMPORT</x:v>
      </x:c>
      <x:c r="C517" s="59" t="str">
        <x:v>PASS</x:v>
      </x:c>
    </x:row>
    <x:row r="518" ht="30" customHeight="1">
      <x:c r="A518" s="59" t="str">
        <x:v>Kontrola lokalna</x:v>
      </x:c>
      <x:c r="B518" s="59" t="str">
        <x:v>snapshot_bytes:STOEN_IMPORT</x:v>
      </x:c>
      <x:c r="C518" s="59" t="str">
        <x:v>PASS</x:v>
      </x:c>
    </x:row>
    <x:row r="519" ht="30" customHeight="1">
      <x:c r="A519" s="59" t="str">
        <x:v>Kontrola lokalna</x:v>
      </x:c>
      <x:c r="B519" s="59" t="str">
        <x:v>snapshot_sha256:STOEN_IMPORT</x:v>
      </x:c>
      <x:c r="C519" s="59" t="str">
        <x:v>PASS</x:v>
      </x:c>
    </x:row>
    <x:row r="520" ht="30" customHeight="1">
      <x:c r="A520" s="59" t="str">
        <x:v>Kontrola lokalna</x:v>
      </x:c>
      <x:c r="B520" s="59" t="str">
        <x:v>snapshot_within_raw:LAW_2026_516</x:v>
      </x:c>
      <x:c r="C520" s="59" t="str">
        <x:v>PASS</x:v>
      </x:c>
    </x:row>
    <x:row r="521" ht="30" customHeight="1">
      <x:c r="A521" s="59" t="str">
        <x:v>Kontrola lokalna</x:v>
      </x:c>
      <x:c r="B521" s="59" t="str">
        <x:v>snapshot_exists:LAW_2026_516</x:v>
      </x:c>
      <x:c r="C521" s="59" t="str">
        <x:v>PASS</x:v>
      </x:c>
    </x:row>
    <x:row r="522" ht="30" customHeight="1">
      <x:c r="A522" s="59" t="str">
        <x:v>Kontrola lokalna</x:v>
      </x:c>
      <x:c r="B522" s="59" t="str">
        <x:v>snapshot_bytes:LAW_2026_516</x:v>
      </x:c>
      <x:c r="C522" s="59" t="str">
        <x:v>PASS</x:v>
      </x:c>
    </x:row>
    <x:row r="523" ht="30" customHeight="1">
      <x:c r="A523" s="59" t="str">
        <x:v>Kontrola lokalna</x:v>
      </x:c>
      <x:c r="B523" s="59" t="str">
        <x:v>snapshot_sha256:LAW_2026_516</x:v>
      </x:c>
      <x:c r="C523" s="59" t="str">
        <x:v>PASS</x:v>
      </x:c>
    </x:row>
    <x:row r="524" ht="30" customHeight="1">
      <x:c r="A524" s="59" t="str">
        <x:v>Kontrola lokalna</x:v>
      </x:c>
      <x:c r="B524" s="59" t="str">
        <x:v>snapshot_within_raw:PSE_NODES_SAMPLE</x:v>
      </x:c>
      <x:c r="C524" s="59" t="str">
        <x:v>PASS</x:v>
      </x:c>
    </x:row>
    <x:row r="525" ht="30" customHeight="1">
      <x:c r="A525" s="59" t="str">
        <x:v>Kontrola lokalna</x:v>
      </x:c>
      <x:c r="B525" s="59" t="str">
        <x:v>snapshot_exists:PSE_NODES_SAMPLE</x:v>
      </x:c>
      <x:c r="C525" s="59" t="str">
        <x:v>PASS</x:v>
      </x:c>
    </x:row>
    <x:row r="526" ht="30" customHeight="1">
      <x:c r="A526" s="59" t="str">
        <x:v>Kontrola lokalna</x:v>
      </x:c>
      <x:c r="B526" s="59" t="str">
        <x:v>snapshot_bytes:PSE_NODES_SAMPLE</x:v>
      </x:c>
      <x:c r="C526" s="59" t="str">
        <x:v>PASS</x:v>
      </x:c>
    </x:row>
    <x:row r="527" ht="30" customHeight="1">
      <x:c r="A527" s="59" t="str">
        <x:v>Kontrola lokalna</x:v>
      </x:c>
      <x:c r="B527" s="59" t="str">
        <x:v>snapshot_sha256:PSE_NODES_SAMPLE</x:v>
      </x:c>
      <x:c r="C527" s="59" t="str">
        <x:v>PASS</x:v>
      </x:c>
    </x:row>
    <x:row r="528" ht="30" customHeight="1">
      <x:c r="A528" s="59" t="str">
        <x:v>Kontrola lokalna</x:v>
      </x:c>
      <x:c r="B528" s="59" t="str">
        <x:v>snapshot_within_raw:PSE_REDISPATCH_SAMPLE</x:v>
      </x:c>
      <x:c r="C528" s="59" t="str">
        <x:v>PASS</x:v>
      </x:c>
    </x:row>
    <x:row r="529" ht="30" customHeight="1">
      <x:c r="A529" s="59" t="str">
        <x:v>Kontrola lokalna</x:v>
      </x:c>
      <x:c r="B529" s="59" t="str">
        <x:v>snapshot_exists:PSE_REDISPATCH_SAMPLE</x:v>
      </x:c>
      <x:c r="C529" s="59" t="str">
        <x:v>PASS</x:v>
      </x:c>
    </x:row>
    <x:row r="530" ht="30" customHeight="1">
      <x:c r="A530" s="59" t="str">
        <x:v>Kontrola lokalna</x:v>
      </x:c>
      <x:c r="B530" s="59" t="str">
        <x:v>snapshot_bytes:PSE_REDISPATCH_SAMPLE</x:v>
      </x:c>
      <x:c r="C530" s="59" t="str">
        <x:v>PASS</x:v>
      </x:c>
    </x:row>
    <x:row r="531" ht="30" customHeight="1">
      <x:c r="A531" s="59" t="str">
        <x:v>Kontrola lokalna</x:v>
      </x:c>
      <x:c r="B531" s="59" t="str">
        <x:v>snapshot_sha256:PSE_REDISPATCH_SAMPLE</x:v>
      </x:c>
      <x:c r="C531" s="59" t="str">
        <x:v>PASS</x:v>
      </x:c>
    </x:row>
    <x:row r="532" ht="30" customHeight="1">
      <x:c r="A532" s="59" t="str">
        <x:v>Kontrola lokalna</x:v>
      </x:c>
      <x:c r="B532" s="59" t="str">
        <x:v>snapshot_within_raw:PSE_FLOWS_SAMPLE</x:v>
      </x:c>
      <x:c r="C532" s="59" t="str">
        <x:v>PASS</x:v>
      </x:c>
    </x:row>
    <x:row r="533" ht="30" customHeight="1">
      <x:c r="A533" s="59" t="str">
        <x:v>Kontrola lokalna</x:v>
      </x:c>
      <x:c r="B533" s="59" t="str">
        <x:v>snapshot_exists:PSE_FLOWS_SAMPLE</x:v>
      </x:c>
      <x:c r="C533" s="59" t="str">
        <x:v>PASS</x:v>
      </x:c>
    </x:row>
    <x:row r="534" ht="30" customHeight="1">
      <x:c r="A534" s="59" t="str">
        <x:v>Kontrola lokalna</x:v>
      </x:c>
      <x:c r="B534" s="59" t="str">
        <x:v>snapshot_bytes:PSE_FLOWS_SAMPLE</x:v>
      </x:c>
      <x:c r="C534" s="59" t="str">
        <x:v>PASS</x:v>
      </x:c>
    </x:row>
    <x:row r="535" ht="30" customHeight="1">
      <x:c r="A535" s="59" t="str">
        <x:v>Kontrola lokalna</x:v>
      </x:c>
      <x:c r="B535" s="59" t="str">
        <x:v>snapshot_sha256:PSE_FLOWS_SAMPLE</x:v>
      </x:c>
      <x:c r="C535" s="59" t="str">
        <x:v>PASS</x:v>
      </x:c>
    </x:row>
    <x:row r="536" ht="30" customHeight="1">
      <x:c r="A536" s="59" t="str">
        <x:v>Kontrola lokalna</x:v>
      </x:c>
      <x:c r="B536" s="59" t="str">
        <x:v>snapshot_within_raw:ENERGY_CHARTS_SAMPLE</x:v>
      </x:c>
      <x:c r="C536" s="59" t="str">
        <x:v>PASS</x:v>
      </x:c>
    </x:row>
    <x:row r="537" ht="30" customHeight="1">
      <x:c r="A537" s="59" t="str">
        <x:v>Kontrola lokalna</x:v>
      </x:c>
      <x:c r="B537" s="59" t="str">
        <x:v>snapshot_exists:ENERGY_CHARTS_SAMPLE</x:v>
      </x:c>
      <x:c r="C537" s="59" t="str">
        <x:v>PASS</x:v>
      </x:c>
    </x:row>
    <x:row r="538" ht="30" customHeight="1">
      <x:c r="A538" s="59" t="str">
        <x:v>Kontrola lokalna</x:v>
      </x:c>
      <x:c r="B538" s="59" t="str">
        <x:v>snapshot_bytes:ENERGY_CHARTS_SAMPLE</x:v>
      </x:c>
      <x:c r="C538" s="59" t="str">
        <x:v>PASS</x:v>
      </x:c>
    </x:row>
    <x:row r="539" ht="30" customHeight="1">
      <x:c r="A539" s="59" t="str">
        <x:v>Kontrola lokalna</x:v>
      </x:c>
      <x:c r="B539" s="59" t="str">
        <x:v>snapshot_sha256:ENERGY_CHARTS_SAMPLE</x:v>
      </x:c>
      <x:c r="C539" s="59" t="str">
        <x:v>PASS</x:v>
      </x:c>
    </x:row>
    <x:row r="540" ht="30" customHeight="1">
      <x:c r="A540" s="59" t="str">
        <x:v>Kontrola lokalna</x:v>
      </x:c>
      <x:c r="B540" s="59" t="str">
        <x:v>snapshot_within_raw:RDOS_RADK_PIASKI_DECISION_2025</x:v>
      </x:c>
      <x:c r="C540" s="59" t="str">
        <x:v>PASS</x:v>
      </x:c>
    </x:row>
    <x:row r="541" ht="30" customHeight="1">
      <x:c r="A541" s="59" t="str">
        <x:v>Kontrola lokalna</x:v>
      </x:c>
      <x:c r="B541" s="59" t="str">
        <x:v>snapshot_exists:RDOS_RADK_PIASKI_DECISION_2025</x:v>
      </x:c>
      <x:c r="C541" s="59" t="str">
        <x:v>PASS</x:v>
      </x:c>
    </x:row>
    <x:row r="542" ht="30" customHeight="1">
      <x:c r="A542" s="59" t="str">
        <x:v>Kontrola lokalna</x:v>
      </x:c>
      <x:c r="B542" s="59" t="str">
        <x:v>snapshot_bytes:RDOS_RADK_PIASKI_DECISION_2025</x:v>
      </x:c>
      <x:c r="C542" s="59" t="str">
        <x:v>PASS</x:v>
      </x:c>
    </x:row>
    <x:row r="543" ht="30" customHeight="1">
      <x:c r="A543" s="59" t="str">
        <x:v>Kontrola lokalna</x:v>
      </x:c>
      <x:c r="B543" s="59" t="str">
        <x:v>snapshot_sha256:RDOS_RADK_PIASKI_DECISION_2025</x:v>
      </x:c>
      <x:c r="C543" s="59" t="str">
        <x:v>PASS</x:v>
      </x:c>
    </x:row>
    <x:row r="544" ht="30" customHeight="1">
      <x:c r="A544" s="59" t="str">
        <x:v>Kontrola lokalna</x:v>
      </x:c>
      <x:c r="B544" s="59" t="str">
        <x:v>snapshot_within_raw:PSE_RADK_BRIDGE_NOTICE_2025</x:v>
      </x:c>
      <x:c r="C544" s="59" t="str">
        <x:v>PASS</x:v>
      </x:c>
    </x:row>
    <x:row r="545" ht="30" customHeight="1">
      <x:c r="A545" s="59" t="str">
        <x:v>Kontrola lokalna</x:v>
      </x:c>
      <x:c r="B545" s="59" t="str">
        <x:v>snapshot_exists:PSE_RADK_BRIDGE_NOTICE_2025</x:v>
      </x:c>
      <x:c r="C545" s="59" t="str">
        <x:v>PASS</x:v>
      </x:c>
    </x:row>
    <x:row r="546" ht="30" customHeight="1">
      <x:c r="A546" s="59" t="str">
        <x:v>Kontrola lokalna</x:v>
      </x:c>
      <x:c r="B546" s="59" t="str">
        <x:v>snapshot_bytes:PSE_RADK_BRIDGE_NOTICE_2025</x:v>
      </x:c>
      <x:c r="C546" s="59" t="str">
        <x:v>PASS</x:v>
      </x:c>
    </x:row>
    <x:row r="547" ht="30" customHeight="1">
      <x:c r="A547" s="59" t="str">
        <x:v>Kontrola lokalna</x:v>
      </x:c>
      <x:c r="B547" s="59" t="str">
        <x:v>snapshot_sha256:PSE_RADK_BRIDGE_NOTICE_2025</x:v>
      </x:c>
      <x:c r="C547" s="59" t="str">
        <x:v>PASS</x:v>
      </x:c>
    </x:row>
    <x:row r="548" ht="30" customHeight="1">
      <x:c r="A548" s="59" t="str">
        <x:v>Kontrola lokalna</x:v>
      </x:c>
      <x:c r="B548" s="59" t="str">
        <x:v>snapshot_within_raw:RDOS_RADK_PIASKI_NOTICE_2025</x:v>
      </x:c>
      <x:c r="C548" s="59" t="str">
        <x:v>PASS</x:v>
      </x:c>
    </x:row>
    <x:row r="549" ht="30" customHeight="1">
      <x:c r="A549" s="59" t="str">
        <x:v>Kontrola lokalna</x:v>
      </x:c>
      <x:c r="B549" s="59" t="str">
        <x:v>snapshot_exists:RDOS_RADK_PIASKI_NOTICE_2025</x:v>
      </x:c>
      <x:c r="C549" s="59" t="str">
        <x:v>PASS</x:v>
      </x:c>
    </x:row>
    <x:row r="550" ht="30" customHeight="1">
      <x:c r="A550" s="59" t="str">
        <x:v>Kontrola lokalna</x:v>
      </x:c>
      <x:c r="B550" s="59" t="str">
        <x:v>snapshot_bytes:RDOS_RADK_PIASKI_NOTICE_2025</x:v>
      </x:c>
      <x:c r="C550" s="59" t="str">
        <x:v>PASS</x:v>
      </x:c>
    </x:row>
    <x:row r="551" ht="30" customHeight="1">
      <x:c r="A551" s="59" t="str">
        <x:v>Kontrola lokalna</x:v>
      </x:c>
      <x:c r="B551" s="59" t="str">
        <x:v>snapshot_sha256:RDOS_RADK_PIASKI_NOTICE_2025</x:v>
      </x:c>
      <x:c r="C551" s="59" t="str">
        <x:v>PASS</x:v>
      </x:c>
    </x:row>
    <x:row r="552" ht="30" customHeight="1">
      <x:c r="A552" s="59" t="str">
        <x:v>Kontrola lokalna</x:v>
      </x:c>
      <x:c r="B552" s="59" t="str">
        <x:v>snapshot_within_raw:PSE_INVESTMENTS_RADK</x:v>
      </x:c>
      <x:c r="C552" s="59" t="str">
        <x:v>PASS</x:v>
      </x:c>
    </x:row>
    <x:row r="553" ht="30" customHeight="1">
      <x:c r="A553" s="59" t="str">
        <x:v>Kontrola lokalna</x:v>
      </x:c>
      <x:c r="B553" s="59" t="str">
        <x:v>snapshot_exists:PSE_INVESTMENTS_RADK</x:v>
      </x:c>
      <x:c r="C553" s="59" t="str">
        <x:v>PASS</x:v>
      </x:c>
    </x:row>
    <x:row r="554" ht="30" customHeight="1">
      <x:c r="A554" s="59" t="str">
        <x:v>Kontrola lokalna</x:v>
      </x:c>
      <x:c r="B554" s="59" t="str">
        <x:v>snapshot_bytes:PSE_INVESTMENTS_RADK</x:v>
      </x:c>
      <x:c r="C554" s="59" t="str">
        <x:v>PASS</x:v>
      </x:c>
    </x:row>
    <x:row r="555" ht="30" customHeight="1">
      <x:c r="A555" s="59" t="str">
        <x:v>Kontrola lokalna</x:v>
      </x:c>
      <x:c r="B555" s="59" t="str">
        <x:v>snapshot_sha256:PSE_INVESTMENTS_RADK</x:v>
      </x:c>
      <x:c r="C555" s="59" t="str">
        <x:v>PASS</x:v>
      </x:c>
    </x:row>
    <x:row r="556" ht="30" customHeight="1">
      <x:c r="A556" s="59" t="str">
        <x:v>Kontrola lokalna</x:v>
      </x:c>
      <x:c r="B556" s="59" t="str">
        <x:v>snapshot_within_raw:PSE_IMPACT_REPORT_2023</x:v>
      </x:c>
      <x:c r="C556" s="59" t="str">
        <x:v>PASS</x:v>
      </x:c>
    </x:row>
    <x:row r="557" ht="30" customHeight="1">
      <x:c r="A557" s="59" t="str">
        <x:v>Kontrola lokalna</x:v>
      </x:c>
      <x:c r="B557" s="59" t="str">
        <x:v>snapshot_exists:PSE_IMPACT_REPORT_2023</x:v>
      </x:c>
      <x:c r="C557" s="59" t="str">
        <x:v>PASS</x:v>
      </x:c>
    </x:row>
    <x:row r="558" ht="30" customHeight="1">
      <x:c r="A558" s="59" t="str">
        <x:v>Kontrola lokalna</x:v>
      </x:c>
      <x:c r="B558" s="59" t="str">
        <x:v>snapshot_bytes:PSE_IMPACT_REPORT_2023</x:v>
      </x:c>
      <x:c r="C558" s="59" t="str">
        <x:v>PASS</x:v>
      </x:c>
    </x:row>
    <x:row r="559" ht="30" customHeight="1">
      <x:c r="A559" s="59" t="str">
        <x:v>Kontrola lokalna</x:v>
      </x:c>
      <x:c r="B559" s="59" t="str">
        <x:v>snapshot_sha256:PSE_IMPACT_REPORT_2023</x:v>
      </x:c>
      <x:c r="C559" s="59" t="str">
        <x:v>PASS</x:v>
      </x:c>
    </x:row>
    <x:row r="560" ht="30" customHeight="1">
      <x:c r="A560" s="59" t="str">
        <x:v>Kontrola lokalna</x:v>
      </x:c>
      <x:c r="B560" s="59" t="str">
        <x:v>snapshot_within_raw:PSE_INVESTMENTS_RADK</x:v>
      </x:c>
      <x:c r="C560" s="59" t="str">
        <x:v>PASS</x:v>
      </x:c>
    </x:row>
    <x:row r="561" ht="30" customHeight="1">
      <x:c r="A561" s="59" t="str">
        <x:v>Kontrola lokalna</x:v>
      </x:c>
      <x:c r="B561" s="59" t="str">
        <x:v>snapshot_exists:PSE_INVESTMENTS_RADK</x:v>
      </x:c>
      <x:c r="C561" s="59" t="str">
        <x:v>PASS</x:v>
      </x:c>
    </x:row>
    <x:row r="562" ht="30" customHeight="1">
      <x:c r="A562" s="59" t="str">
        <x:v>Kontrola lokalna</x:v>
      </x:c>
      <x:c r="B562" s="59" t="str">
        <x:v>snapshot_bytes:PSE_INVESTMENTS_RADK</x:v>
      </x:c>
      <x:c r="C562" s="59" t="str">
        <x:v>PASS</x:v>
      </x:c>
    </x:row>
    <x:row r="563" ht="30" customHeight="1">
      <x:c r="A563" s="59" t="str">
        <x:v>Kontrola lokalna</x:v>
      </x:c>
      <x:c r="B563" s="59" t="str">
        <x:v>snapshot_sha256:PSE_INVESTMENTS_RADK</x:v>
      </x:c>
      <x:c r="C563" s="59" t="str">
        <x:v>PASS</x:v>
      </x:c>
    </x:row>
    <x:row r="564" ht="30" customHeight="1">
      <x:c r="A564" s="59" t="str">
        <x:v>Kontrola lokalna</x:v>
      </x:c>
      <x:c r="B564" s="59" t="str">
        <x:v>snapshot_within_raw:SUW_RADK_WOLICA_3_2024</x:v>
      </x:c>
      <x:c r="C564" s="59" t="str">
        <x:v>PASS</x:v>
      </x:c>
    </x:row>
    <x:row r="565" ht="30" customHeight="1">
      <x:c r="A565" s="59" t="str">
        <x:v>Kontrola lokalna</x:v>
      </x:c>
      <x:c r="B565" s="59" t="str">
        <x:v>snapshot_exists:SUW_RADK_WOLICA_3_2024</x:v>
      </x:c>
      <x:c r="C565" s="59" t="str">
        <x:v>PASS</x:v>
      </x:c>
    </x:row>
    <x:row r="566" ht="30" customHeight="1">
      <x:c r="A566" s="59" t="str">
        <x:v>Kontrola lokalna</x:v>
      </x:c>
      <x:c r="B566" s="59" t="str">
        <x:v>snapshot_bytes:SUW_RADK_WOLICA_3_2024</x:v>
      </x:c>
      <x:c r="C566" s="59" t="str">
        <x:v>PASS</x:v>
      </x:c>
    </x:row>
    <x:row r="567" ht="30" customHeight="1">
      <x:c r="A567" s="59" t="str">
        <x:v>Kontrola lokalna</x:v>
      </x:c>
      <x:c r="B567" s="59" t="str">
        <x:v>snapshot_sha256:SUW_RADK_WOLICA_3_2024</x:v>
      </x:c>
      <x:c r="C567" s="59" t="str">
        <x:v>PASS</x:v>
      </x:c>
    </x:row>
    <x:row r="568" ht="30" customHeight="1">
      <x:c r="A568" s="59" t="str">
        <x:v>Kontrola lokalna</x:v>
      </x:c>
      <x:c r="B568" s="59" t="str">
        <x:v>snapshot_within_raw:PSE_INVESTMENTS_RADK</x:v>
      </x:c>
      <x:c r="C568" s="59" t="str">
        <x:v>PASS</x:v>
      </x:c>
    </x:row>
    <x:row r="569" ht="30" customHeight="1">
      <x:c r="A569" s="59" t="str">
        <x:v>Kontrola lokalna</x:v>
      </x:c>
      <x:c r="B569" s="59" t="str">
        <x:v>snapshot_exists:PSE_INVESTMENTS_RADK</x:v>
      </x:c>
      <x:c r="C569" s="59" t="str">
        <x:v>PASS</x:v>
      </x:c>
    </x:row>
    <x:row r="570" ht="30" customHeight="1">
      <x:c r="A570" s="59" t="str">
        <x:v>Kontrola lokalna</x:v>
      </x:c>
      <x:c r="B570" s="59" t="str">
        <x:v>snapshot_bytes:PSE_INVESTMENTS_RADK</x:v>
      </x:c>
      <x:c r="C570" s="59" t="str">
        <x:v>PASS</x:v>
      </x:c>
    </x:row>
    <x:row r="571" ht="30" customHeight="1">
      <x:c r="A571" s="59" t="str">
        <x:v>Kontrola lokalna</x:v>
      </x:c>
      <x:c r="B571" s="59" t="str">
        <x:v>snapshot_sha256:PSE_INVESTMENTS_RADK</x:v>
      </x:c>
      <x:c r="C571" s="59" t="str">
        <x:v>PASS</x:v>
      </x:c>
    </x:row>
    <x:row r="572" ht="30" customHeight="1">
      <x:c r="A572" s="59" t="str">
        <x:v>Kontrola lokalna</x:v>
      </x:c>
      <x:c r="B572" s="59" t="str">
        <x:v>snapshot_within_raw:CHECINY_ENERGY_PLAN</x:v>
      </x:c>
      <x:c r="C572" s="59" t="str">
        <x:v>PASS</x:v>
      </x:c>
    </x:row>
    <x:row r="573" ht="30" customHeight="1">
      <x:c r="A573" s="59" t="str">
        <x:v>Kontrola lokalna</x:v>
      </x:c>
      <x:c r="B573" s="59" t="str">
        <x:v>snapshot_exists:CHECINY_ENERGY_PLAN</x:v>
      </x:c>
      <x:c r="C573" s="59" t="str">
        <x:v>PASS</x:v>
      </x:c>
    </x:row>
    <x:row r="574" ht="30" customHeight="1">
      <x:c r="A574" s="59" t="str">
        <x:v>Kontrola lokalna</x:v>
      </x:c>
      <x:c r="B574" s="59" t="str">
        <x:v>snapshot_bytes:CHECINY_ENERGY_PLAN</x:v>
      </x:c>
      <x:c r="C574" s="59" t="str">
        <x:v>PASS</x:v>
      </x:c>
    </x:row>
    <x:row r="575" ht="30" customHeight="1">
      <x:c r="A575" s="59" t="str">
        <x:v>Kontrola lokalna</x:v>
      </x:c>
      <x:c r="B575" s="59" t="str">
        <x:v>snapshot_sha256:CHECINY_ENERGY_PLAN</x:v>
      </x:c>
      <x:c r="C575" s="59" t="str">
        <x:v>PASS</x:v>
      </x:c>
    </x:row>
    <x:row r="576" ht="30" customHeight="1">
      <x:c r="A576" s="59" t="str">
        <x:v>Kontrola lokalna</x:v>
      </x:c>
      <x:c r="B576" s="59" t="str">
        <x:v>snapshot_within_raw:PSE_TARIFF_2026</x:v>
      </x:c>
      <x:c r="C576" s="59" t="str">
        <x:v>PASS</x:v>
      </x:c>
    </x:row>
    <x:row r="577" ht="30" customHeight="1">
      <x:c r="A577" s="59" t="str">
        <x:v>Kontrola lokalna</x:v>
      </x:c>
      <x:c r="B577" s="59" t="str">
        <x:v>snapshot_exists:PSE_TARIFF_2026</x:v>
      </x:c>
      <x:c r="C577" s="59" t="str">
        <x:v>PASS</x:v>
      </x:c>
    </x:row>
    <x:row r="578" ht="30" customHeight="1">
      <x:c r="A578" s="59" t="str">
        <x:v>Kontrola lokalna</x:v>
      </x:c>
      <x:c r="B578" s="59" t="str">
        <x:v>snapshot_bytes:PSE_TARIFF_2026</x:v>
      </x:c>
      <x:c r="C578" s="59" t="str">
        <x:v>PASS</x:v>
      </x:c>
    </x:row>
    <x:row r="579" ht="30" customHeight="1">
      <x:c r="A579" s="59" t="str">
        <x:v>Kontrola lokalna</x:v>
      </x:c>
      <x:c r="B579" s="59" t="str">
        <x:v>snapshot_sha256:PSE_TARIFF_2026</x:v>
      </x:c>
      <x:c r="C579" s="59" t="str">
        <x:v>PASS</x:v>
      </x:c>
    </x:row>
    <x:row r="580" ht="30" customHeight="1">
      <x:c r="A580" s="59" t="str">
        <x:v>Kontrola lokalna</x:v>
      </x:c>
      <x:c r="B580" s="59" t="str">
        <x:v>all_raw_files_have_manifests</x:v>
      </x:c>
      <x:c r="C580" s="59" t="str">
        <x:v>PASS</x:v>
      </x:c>
    </x:row>
    <x:row r="581" ht="30" customHeight="1">
      <x:c r="A581" s="59" t="str">
        <x:v>Kontrola lokalna</x:v>
      </x:c>
      <x:c r="B581" s="59" t="str">
        <x:v>format_readable:enea_maps.html</x:v>
      </x:c>
      <x:c r="C581" s="59" t="str">
        <x:v>PASS</x:v>
      </x:c>
    </x:row>
    <x:row r="582" ht="30" customHeight="1">
      <x:c r="A582" s="59" t="str">
        <x:v>Kontrola lokalna</x:v>
      </x:c>
      <x:c r="B582" s="59" t="str">
        <x:v>format_readable:enea_pipeline_landing.html</x:v>
      </x:c>
      <x:c r="C582" s="59" t="str">
        <x:v>PASS</x:v>
      </x:c>
    </x:row>
    <x:row r="583" ht="30" customHeight="1">
      <x:c r="A583" s="59" t="str">
        <x:v>Kontrola lokalna</x:v>
      </x:c>
      <x:c r="B583" s="59" t="str">
        <x:v>format_readable:enea_plan_landing.html</x:v>
      </x:c>
      <x:c r="C583" s="59" t="str">
        <x:v>PASS</x:v>
      </x:c>
    </x:row>
    <x:row r="584" ht="30" customHeight="1">
      <x:c r="A584" s="59" t="str">
        <x:v>Kontrola lokalna</x:v>
      </x:c>
      <x:c r="B584" s="59" t="str">
        <x:v>pdf_text_layer:energa_export_2026-08-31.pdf</x:v>
      </x:c>
      <x:c r="C584" s="59" t="str">
        <x:v>PASS</x:v>
      </x:c>
    </x:row>
    <x:row r="585" ht="30" customHeight="1">
      <x:c r="A585" s="59" t="str">
        <x:v>Kontrola lokalna</x:v>
      </x:c>
      <x:c r="B585" s="59" t="str">
        <x:v>format_readable:energa_export_2026-08-31.pdf</x:v>
      </x:c>
      <x:c r="C585" s="59" t="str">
        <x:v>PASS</x:v>
      </x:c>
    </x:row>
    <x:row r="586" ht="30" customHeight="1">
      <x:c r="A586" s="59" t="str">
        <x:v>Kontrola lokalna</x:v>
      </x:c>
      <x:c r="B586" s="59" t="str">
        <x:v>pdf_text_layer:energa_import_2026-08-31.pdf</x:v>
      </x:c>
      <x:c r="C586" s="59" t="str">
        <x:v>PASS</x:v>
      </x:c>
    </x:row>
    <x:row r="587" ht="30" customHeight="1">
      <x:c r="A587" s="59" t="str">
        <x:v>Kontrola lokalna</x:v>
      </x:c>
      <x:c r="B587" s="59" t="str">
        <x:v>format_readable:energa_import_2026-08-31.pdf</x:v>
      </x:c>
      <x:c r="C587" s="59" t="str">
        <x:v>PASS</x:v>
      </x:c>
    </x:row>
    <x:row r="588" ht="30" customHeight="1">
      <x:c r="A588" s="59" t="str">
        <x:v>Kontrola lokalna</x:v>
      </x:c>
      <x:c r="B588" s="59" t="str">
        <x:v>format_readable:energa_landing.html</x:v>
      </x:c>
      <x:c r="C588" s="59" t="str">
        <x:v>PASS</x:v>
      </x:c>
    </x:row>
    <x:row r="589" ht="30" customHeight="1">
      <x:c r="A589" s="59" t="str">
        <x:v>Kontrola lokalna</x:v>
      </x:c>
      <x:c r="B589" s="59" t="str">
        <x:v>pdf_text_layer:energa_pipeline_2026-08-31.pdf</x:v>
      </x:c>
      <x:c r="C589" s="59" t="str">
        <x:v>PASS</x:v>
      </x:c>
    </x:row>
    <x:row r="590" ht="30" customHeight="1">
      <x:c r="A590" s="59" t="str">
        <x:v>Kontrola lokalna</x:v>
      </x:c>
      <x:c r="B590" s="59" t="str">
        <x:v>format_readable:energa_pipeline_2026-08-31.pdf</x:v>
      </x:c>
      <x:c r="C590" s="59" t="str">
        <x:v>PASS</x:v>
      </x:c>
    </x:row>
    <x:row r="591" ht="30" customHeight="1">
      <x:c r="A591" s="59" t="str">
        <x:v>Kontrola lokalna</x:v>
      </x:c>
      <x:c r="B591" s="59" t="str">
        <x:v>format_readable:energy_charts_index.html</x:v>
      </x:c>
      <x:c r="C591" s="59" t="str">
        <x:v>PASS</x:v>
      </x:c>
    </x:row>
    <x:row r="592" ht="30" customHeight="1">
      <x:c r="A592" s="59" t="str">
        <x:v>Kontrola lokalna</x:v>
      </x:c>
      <x:c r="B592" s="59" t="str">
        <x:v>format_readable:energy_charts_openapi.json</x:v>
      </x:c>
      <x:c r="C592" s="59" t="str">
        <x:v>PASS</x:v>
      </x:c>
    </x:row>
    <x:row r="593" ht="30" customHeight="1">
      <x:c r="A593" s="59" t="str">
        <x:v>Kontrola lokalna</x:v>
      </x:c>
      <x:c r="B593" s="59" t="str">
        <x:v>format_readable:energy_charts_pl_sample.json</x:v>
      </x:c>
      <x:c r="C593" s="59" t="str">
        <x:v>PASS</x:v>
      </x:c>
    </x:row>
    <x:row r="594" ht="30" customHeight="1">
      <x:c r="A594" s="59" t="str">
        <x:v>Kontrola lokalna</x:v>
      </x:c>
      <x:c r="B594" s="59" t="str">
        <x:v>wfs_capabilities:gdos_capabilities.xml</x:v>
      </x:c>
      <x:c r="C594" s="59" t="str">
        <x:v>PASS: "2.0.0"</x:v>
      </x:c>
    </x:row>
    <x:row r="595" ht="30" customHeight="1">
      <x:c r="A595" s="59" t="str">
        <x:v>Kontrola lokalna</x:v>
      </x:c>
      <x:c r="B595" s="59" t="str">
        <x:v>format_readable:gdos_capabilities.xml</x:v>
      </x:c>
      <x:c r="C595" s="59" t="str">
        <x:v>PASS</x:v>
      </x:c>
    </x:row>
    <x:row r="596" ht="30" customHeight="1">
      <x:c r="A596" s="59" t="str">
        <x:v>Kontrola lokalna</x:v>
      </x:c>
      <x:c r="B596" s="59" t="str">
        <x:v>wfs_capabilities:gugik_egib_capabilities.xml</x:v>
      </x:c>
      <x:c r="C596" s="59" t="str">
        <x:v>PASS: "2.0.0"</x:v>
      </x:c>
    </x:row>
    <x:row r="597" ht="30" customHeight="1">
      <x:c r="A597" s="59" t="str">
        <x:v>Kontrola lokalna</x:v>
      </x:c>
      <x:c r="B597" s="59" t="str">
        <x:v>format_readable:gugik_egib_capabilities.xml</x:v>
      </x:c>
      <x:c r="C597" s="59" t="str">
        <x:v>PASS</x:v>
      </x:c>
    </x:row>
    <x:row r="598" ht="30" customHeight="1">
      <x:c r="A598" s="59" t="str">
        <x:v>Kontrola lokalna</x:v>
      </x:c>
      <x:c r="B598" s="59" t="str">
        <x:v>format_readable:pge_capacity_landing.html</x:v>
      </x:c>
      <x:c r="C598" s="59" t="str">
        <x:v>PASS</x:v>
      </x:c>
    </x:row>
    <x:row r="599" ht="30" customHeight="1">
      <x:c r="A599" s="59" t="str">
        <x:v>Kontrola lokalna</x:v>
      </x:c>
      <x:c r="B599" s="59" t="str">
        <x:v>pdf_text_layer:prawo_energetyczne_zmiana_2026_516.pdf</x:v>
      </x:c>
      <x:c r="C599" s="59" t="str">
        <x:v>PASS</x:v>
      </x:c>
    </x:row>
    <x:row r="600" ht="30" customHeight="1">
      <x:c r="A600" s="59" t="str">
        <x:v>Kontrola lokalna</x:v>
      </x:c>
      <x:c r="B600" s="59" t="str">
        <x:v>format_readable:prawo_energetyczne_zmiana_2026_516.pdf</x:v>
      </x:c>
      <x:c r="C600" s="59" t="str">
        <x:v>PASS</x:v>
      </x:c>
    </x:row>
    <x:row r="601" ht="30" customHeight="1">
      <x:c r="A601" s="59" t="str">
        <x:v>Kontrola lokalna</x:v>
      </x:c>
      <x:c r="B601" s="59" t="str">
        <x:v>format_readable:pse_api_frontend.js</x:v>
      </x:c>
      <x:c r="C601" s="59" t="str">
        <x:v>PASS</x:v>
      </x:c>
    </x:row>
    <x:row r="602" ht="30" customHeight="1">
      <x:c r="A602" s="59" t="str">
        <x:v>Kontrola lokalna</x:v>
      </x:c>
      <x:c r="B602" s="59" t="str">
        <x:v>format_readable:pse_api_index.html</x:v>
      </x:c>
      <x:c r="C602" s="59" t="str">
        <x:v>PASS</x:v>
      </x:c>
    </x:row>
    <x:row r="603" ht="30" customHeight="1">
      <x:c r="A603" s="59" t="str">
        <x:v>Kontrola lokalna</x:v>
      </x:c>
      <x:c r="B603" s="59" t="str">
        <x:v>pdf_text_layer:pse_capacity_retrieved_2026-09-10.pdf</x:v>
      </x:c>
      <x:c r="C603" s="59" t="str">
        <x:v>PASS</x:v>
      </x:c>
    </x:row>
    <x:row r="604" ht="30" customHeight="1">
      <x:c r="A604" s="59" t="str">
        <x:v>Kontrola lokalna</x:v>
      </x:c>
      <x:c r="B604" s="59" t="str">
        <x:v>format_readable:pse_capacity_retrieved_2026-09-10.pdf</x:v>
      </x:c>
      <x:c r="C604" s="59" t="str">
        <x:v>PASS</x:v>
      </x:c>
    </x:row>
    <x:row r="605" ht="30" customHeight="1">
      <x:c r="A605" s="59" t="str">
        <x:v>Kontrola lokalna</x:v>
      </x:c>
      <x:c r="B605" s="59" t="str">
        <x:v>format_readable:pse_flows_sample.json</x:v>
      </x:c>
      <x:c r="C605" s="59" t="str">
        <x:v>PASS</x:v>
      </x:c>
    </x:row>
    <x:row r="606" ht="30" customHeight="1">
      <x:c r="A606" s="59" t="str">
        <x:v>Kontrola lokalna</x:v>
      </x:c>
      <x:c r="B606" s="59" t="str">
        <x:v>format_readable:pse_nodes_sample.json</x:v>
      </x:c>
      <x:c r="C606" s="59" t="str">
        <x:v>PASS</x:v>
      </x:c>
    </x:row>
    <x:row r="607" ht="30" customHeight="1">
      <x:c r="A607" s="59" t="str">
        <x:v>Kontrola lokalna</x:v>
      </x:c>
      <x:c r="B607" s="59" t="str">
        <x:v>format_readable:pse_openapi.json</x:v>
      </x:c>
      <x:c r="C607" s="59" t="str">
        <x:v>PASS</x:v>
      </x:c>
    </x:row>
    <x:row r="608" ht="30" customHeight="1">
      <x:c r="A608" s="59" t="str">
        <x:v>Kontrola lokalna</x:v>
      </x:c>
      <x:c r="B608" s="59" t="str">
        <x:v>format_readable:pse_pipeline_landing.html</x:v>
      </x:c>
      <x:c r="C608" s="59" t="str">
        <x:v>PASS</x:v>
      </x:c>
    </x:row>
    <x:row r="609" ht="30" customHeight="1">
      <x:c r="A609" s="59" t="str">
        <x:v>Kontrola lokalna</x:v>
      </x:c>
      <x:c r="B609" s="59" t="str">
        <x:v>pse_xlsx_expected_sheet</x:v>
      </x:c>
      <x:c r="C609" s="59" t="str">
        <x:v>PASS</x:v>
      </x:c>
    </x:row>
    <x:row r="610" ht="30" customHeight="1">
      <x:c r="A610" s="59" t="str">
        <x:v>Kontrola lokalna</x:v>
      </x:c>
      <x:c r="B610" s="59" t="str">
        <x:v>pse_xlsx_snapshot_date</x:v>
      </x:c>
      <x:c r="C610" s="59" t="str">
        <x:v>PASS: "Header date, not retrieval date"</x:v>
      </x:c>
    </x:row>
    <x:row r="611" ht="30" customHeight="1">
      <x:c r="A611" s="59" t="str">
        <x:v>Kontrola lokalna</x:v>
      </x:c>
      <x:c r="B611" s="59" t="str">
        <x:v>pse_xlsx_direction_fields</x:v>
      </x:c>
      <x:c r="C611" s="59" t="str">
        <x:v>PASS</x:v>
      </x:c>
    </x:row>
    <x:row r="612" ht="30" customHeight="1">
      <x:c r="A612" s="59" t="str">
        <x:v>Kontrola lokalna</x:v>
      </x:c>
      <x:c r="B612" s="59" t="str">
        <x:v>format_readable:pse_pipeline_url_2026-07-31.xlsx</x:v>
      </x:c>
      <x:c r="C612" s="59" t="str">
        <x:v>PASS</x:v>
      </x:c>
    </x:row>
    <x:row r="613" ht="30" customHeight="1">
      <x:c r="A613" s="59" t="str">
        <x:v>Kontrola lokalna</x:v>
      </x:c>
      <x:c r="B613" s="59" t="str">
        <x:v>format_readable:pse_redispatch_sample.json</x:v>
      </x:c>
      <x:c r="C613" s="59" t="str">
        <x:v>PASS</x:v>
      </x:c>
    </x:row>
    <x:row r="614" ht="30" customHeight="1">
      <x:c r="A614" s="59" t="str">
        <x:v>Kontrola lokalna</x:v>
      </x:c>
      <x:c r="B614" s="59" t="str">
        <x:v>pdf_text_layer:stoen_export_2026_q3.pdf</x:v>
      </x:c>
      <x:c r="C614" s="59" t="str">
        <x:v>PASS</x:v>
      </x:c>
    </x:row>
    <x:row r="615" ht="30" customHeight="1">
      <x:c r="A615" s="59" t="str">
        <x:v>Kontrola lokalna</x:v>
      </x:c>
      <x:c r="B615" s="59" t="str">
        <x:v>format_readable:stoen_export_2026_q3.pdf</x:v>
      </x:c>
      <x:c r="C615" s="59" t="str">
        <x:v>PASS</x:v>
      </x:c>
    </x:row>
    <x:row r="616" ht="30" customHeight="1">
      <x:c r="A616" s="59" t="str">
        <x:v>Kontrola lokalna</x:v>
      </x:c>
      <x:c r="B616" s="59" t="str">
        <x:v>pdf_text_layer:stoen_import_2026-08-31.pdf</x:v>
      </x:c>
      <x:c r="C616" s="59" t="str">
        <x:v>PASS</x:v>
      </x:c>
    </x:row>
    <x:row r="617" ht="30" customHeight="1">
      <x:c r="A617" s="59" t="str">
        <x:v>Kontrola lokalna</x:v>
      </x:c>
      <x:c r="B617" s="59" t="str">
        <x:v>format_readable:stoen_import_2026-08-31.pdf</x:v>
      </x:c>
      <x:c r="C617" s="59" t="str">
        <x:v>PASS</x:v>
      </x:c>
    </x:row>
    <x:row r="618" ht="30" customHeight="1">
      <x:c r="A618" s="59" t="str">
        <x:v>Kontrola lokalna</x:v>
      </x:c>
      <x:c r="B618" s="59" t="str">
        <x:v>format_readable:stoen_network_landing.html</x:v>
      </x:c>
      <x:c r="C618" s="59" t="str">
        <x:v>PASS</x:v>
      </x:c>
    </x:row>
    <x:row r="619" ht="30" customHeight="1">
      <x:c r="A619" s="59" t="str">
        <x:v>Kontrola lokalna</x:v>
      </x:c>
      <x:c r="B619" s="59" t="str">
        <x:v>format_readable:tauron_pipeline_landing.html</x:v>
      </x:c>
      <x:c r="C619" s="59" t="str">
        <x:v>PASS</x:v>
      </x:c>
    </x:row>
    <x:row r="620" ht="30" customHeight="1">
      <x:c r="A620" s="59" t="str">
        <x:v>Kontrola lokalna</x:v>
      </x:c>
      <x:c r="B620" s="59" t="str">
        <x:v>pdf_text_layer:tauron_pipeline_retrieved_2026-09-10.pdf</x:v>
      </x:c>
      <x:c r="C620" s="59" t="str">
        <x:v>PASS</x:v>
      </x:c>
    </x:row>
    <x:row r="621" ht="30" customHeight="1">
      <x:c r="A621" s="59" t="str">
        <x:v>Kontrola lokalna</x:v>
      </x:c>
      <x:c r="B621" s="59" t="str">
        <x:v>format_readable:tauron_pipeline_retrieved_2026-09-10.pdf</x:v>
      </x:c>
      <x:c r="C621" s="59" t="str">
        <x:v>PASS</x:v>
      </x:c>
    </x:row>
    <x:row r="622" ht="30" customHeight="1">
      <x:c r="A622" s="59" t="str">
        <x:v>Kontrola lokalna</x:v>
      </x:c>
      <x:c r="B622" s="59" t="str">
        <x:v>pdf_text_layer:checiny_energy_plan.pdf</x:v>
      </x:c>
      <x:c r="C622" s="59" t="str">
        <x:v>PASS</x:v>
      </x:c>
    </x:row>
    <x:row r="623" ht="30" customHeight="1">
      <x:c r="A623" s="59" t="str">
        <x:v>Kontrola lokalna</x:v>
      </x:c>
      <x:c r="B623" s="59" t="str">
        <x:v>format_readable:checiny_energy_plan.pdf</x:v>
      </x:c>
      <x:c r="C623" s="59" t="str">
        <x:v>PASS</x:v>
      </x:c>
    </x:row>
    <x:row r="624" ht="30" customHeight="1">
      <x:c r="A624" s="59" t="str">
        <x:v>Kontrola lokalna</x:v>
      </x:c>
      <x:c r="B624" s="59" t="str">
        <x:v>format_readable:pse_investments.html</x:v>
      </x:c>
      <x:c r="C624" s="59" t="str">
        <x:v>PASS</x:v>
      </x:c>
    </x:row>
    <x:row r="625" ht="30" customHeight="1">
      <x:c r="A625" s="59" t="str">
        <x:v>Kontrola lokalna</x:v>
      </x:c>
      <x:c r="B625" s="59" t="str">
        <x:v>pdf_text_layer:pse_tariff_2026.pdf</x:v>
      </x:c>
      <x:c r="C625" s="59" t="str">
        <x:v>PASS</x:v>
      </x:c>
    </x:row>
    <x:row r="626" ht="30" customHeight="1">
      <x:c r="A626" s="59" t="str">
        <x:v>Kontrola lokalna</x:v>
      </x:c>
      <x:c r="B626" s="59" t="str">
        <x:v>format_readable:pse_tariff_2026.pdf</x:v>
      </x:c>
      <x:c r="C626" s="59" t="str">
        <x:v>PASS</x:v>
      </x:c>
    </x:row>
    <x:row r="627" ht="30" customHeight="1">
      <x:c r="A627" s="59" t="str">
        <x:v>Kontrola lokalna</x:v>
      </x:c>
      <x:c r="B627" s="59" t="str">
        <x:v>pdf_text_layer:radkowice_wolica_decision_3_2024.pdf</x:v>
      </x:c>
      <x:c r="C627" s="59" t="str">
        <x:v>PASS</x:v>
      </x:c>
    </x:row>
    <x:row r="628" ht="30" customHeight="1">
      <x:c r="A628" s="59" t="str">
        <x:v>Kontrola lokalna</x:v>
      </x:c>
      <x:c r="B628" s="59" t="str">
        <x:v>format_readable:radkowice_wolica_decision_3_2024.pdf</x:v>
      </x:c>
      <x:c r="C628" s="59" t="str">
        <x:v>PASS</x:v>
      </x:c>
    </x:row>
    <x:row r="629" ht="30" customHeight="1">
      <x:c r="A629" s="59" t="str">
        <x:v>Kontrola lokalna</x:v>
      </x:c>
      <x:c r="B629" s="59" t="str">
        <x:v>pdf_text_layer:pse_bridge_notice_2025.pdf</x:v>
      </x:c>
      <x:c r="C629" s="59" t="str">
        <x:v>PASS</x:v>
      </x:c>
    </x:row>
    <x:row r="630" ht="30" customHeight="1">
      <x:c r="A630" s="59" t="str">
        <x:v>Kontrola lokalna</x:v>
      </x:c>
      <x:c r="B630" s="59" t="str">
        <x:v>format_readable:pse_bridge_notice_2025.pdf</x:v>
      </x:c>
      <x:c r="C630" s="59" t="str">
        <x:v>PASS</x:v>
      </x:c>
    </x:row>
    <x:row r="631" ht="30" customHeight="1">
      <x:c r="A631" s="59" t="str">
        <x:v>Kontrola lokalna</x:v>
      </x:c>
      <x:c r="B631" s="59" t="str">
        <x:v>format_readable:pse_investments_2026-09-15.html</x:v>
      </x:c>
      <x:c r="C631" s="59" t="str">
        <x:v>PASS</x:v>
      </x:c>
    </x:row>
    <x:row r="632" ht="30" customHeight="1">
      <x:c r="A632" s="59" t="str">
        <x:v>Kontrola lokalna</x:v>
      </x:c>
      <x:c r="B632" s="59" t="str">
        <x:v>format_readable:rdos_radkowice_piaski_2025.html</x:v>
      </x:c>
      <x:c r="C632" s="59" t="str">
        <x:v>PASS</x:v>
      </x:c>
    </x:row>
    <x:row r="633" ht="30" customHeight="1">
      <x:c r="A633" s="59" t="str">
        <x:v>Kontrola lokalna</x:v>
      </x:c>
      <x:c r="B633" s="59" t="str">
        <x:v>pdf_text_layer:rdos_radkowice_piaski_decision_2025.pdf</x:v>
      </x:c>
      <x:c r="C633" s="59" t="str">
        <x:v>PASS</x:v>
      </x:c>
    </x:row>
    <x:row r="634" ht="30" customHeight="1">
      <x:c r="A634" s="59" t="str">
        <x:v>Kontrola lokalna</x:v>
      </x:c>
      <x:c r="B634" s="59" t="str">
        <x:v>format_readable:rdos_radkowice_piaski_decision_2025.pdf</x:v>
      </x:c>
      <x:c r="C634" s="59" t="str">
        <x:v>PASS</x:v>
      </x:c>
    </x:row>
    <x:row r="635" ht="30" customHeight="1">
      <x:c r="A635" s="59" t="str">
        <x:v>Kontrola lokalna</x:v>
      </x:c>
      <x:c r="B635" s="59" t="str">
        <x:v>pdf_text_layer:pse_impact_report_2023.pdf</x:v>
      </x:c>
      <x:c r="C635" s="59" t="str">
        <x:v>PASS</x:v>
      </x:c>
    </x:row>
    <x:row r="636" ht="30" customHeight="1">
      <x:c r="A636" s="59" t="str">
        <x:v>Kontrola lokalna</x:v>
      </x:c>
      <x:c r="B636" s="59" t="str">
        <x:v>format_readable:pse_impact_report_2023.pdf</x:v>
      </x:c>
      <x:c r="C636" s="59" t="str">
        <x:v>PASS</x:v>
      </x:c>
    </x:row>
    <x:row r="637" ht="30" customHeight="1">
      <x:c r="A637" s="59" t="str">
        <x:v>Kontrola lokalna</x:v>
      </x:c>
      <x:c r="B637" s="59" t="str">
        <x:v>format_readable:pse_investment_map_2026-09-17.html</x:v>
      </x:c>
      <x:c r="C637" s="59" t="str">
        <x:v>PASS</x:v>
      </x:c>
    </x:row>
    <x:row r="638" ht="30" customHeight="1">
      <x:c r="A638" s="59" t="str">
        <x:v>Kontrola lokalna</x:v>
      </x:c>
      <x:c r="B638" s="59" t="str">
        <x:v>pge_block_body_identified</x:v>
      </x:c>
      <x:c r="C638" s="59" t="str">
        <x:v>PASS</x:v>
      </x:c>
    </x:row>
    <x:row r="639" ht="30" customHeight="1">
      <x:c r="A639" s="59" t="str">
        <x:v>Kontrola lokalna</x:v>
      </x:c>
      <x:c r="B639" s="59" t="str">
        <x:v>pge_catalog_not_data_success</x:v>
      </x:c>
      <x:c r="C639" s="59" t="str">
        <x:v>PASS</x:v>
      </x:c>
    </x:row>
    <x:row r="640" ht="30" customHeight="1">
      <x:c r="A640" s="59" t="str">
        <x:v>Kontrola lokalna</x:v>
      </x:c>
      <x:c r="B640" s="59" t="str">
        <x:v>energa_header_june_date</x:v>
      </x:c>
      <x:c r="C640" s="59" t="str">
        <x:v>PASS</x:v>
      </x:c>
    </x:row>
    <x:row r="641" ht="30" customHeight="1">
      <x:c r="A641" s="59" t="str">
        <x:v>Kontrola lokalna</x:v>
      </x:c>
      <x:c r="B641" s="59" t="str">
        <x:v>energa_conflict_preserved</x:v>
      </x:c>
      <x:c r="C641" s="59" t="str">
        <x:v>PASS</x:v>
      </x:c>
    </x:row>
    <x:row r="642" ht="30" customHeight="1">
      <x:c r="A642" s="59" t="str">
        <x:v>Kontrola lokalna</x:v>
      </x:c>
      <x:c r="B642" s="59" t="str">
        <x:v>pse_nodes_shape</x:v>
      </x:c>
      <x:c r="C642" s="59" t="str">
        <x:v>PASS</x:v>
      </x:c>
    </x:row>
    <x:row r="643" ht="30" customHeight="1">
      <x:c r="A643" s="59" t="str">
        <x:v>Kontrola lokalna</x:v>
      </x:c>
      <x:c r="B643" s="59" t="str">
        <x:v>pse_nodes_pagination</x:v>
      </x:c>
      <x:c r="C643" s="59" t="str">
        <x:v>PASS</x:v>
      </x:c>
    </x:row>
    <x:row r="644" ht="30" customHeight="1">
      <x:c r="A644" s="59" t="str">
        <x:v>Kontrola lokalna</x:v>
      </x:c>
      <x:c r="B644" s="59" t="str">
        <x:v>pse_redispatch_causes</x:v>
      </x:c>
      <x:c r="C644" s="59" t="str">
        <x:v>PASS</x:v>
      </x:c>
    </x:row>
    <x:row r="645" ht="30" customHeight="1">
      <x:c r="A645" s="59" t="str">
        <x:v>Kontrola lokalna</x:v>
      </x:c>
      <x:c r="B645" s="59" t="str">
        <x:v>pse_redispatch_null_preserved</x:v>
      </x:c>
      <x:c r="C645" s="59" t="str">
        <x:v>PASS</x:v>
      </x:c>
    </x:row>
    <x:row r="646" ht="30" customHeight="1">
      <x:c r="A646" s="59" t="str">
        <x:v>Kontrola lokalna</x:v>
      </x:c>
      <x:c r="B646" s="59" t="str">
        <x:v>pse_flows_sections</x:v>
      </x:c>
      <x:c r="C646" s="59" t="str">
        <x:v>PASS</x:v>
      </x:c>
    </x:row>
    <x:row r="647" ht="30" customHeight="1">
      <x:c r="A647" s="59" t="str">
        <x:v>Kontrola lokalna</x:v>
      </x:c>
      <x:c r="B647" s="59" t="str">
        <x:v>energy_charts_v2_timeseries_shape</x:v>
      </x:c>
      <x:c r="C647" s="59" t="str">
        <x:v>PASS</x:v>
      </x:c>
    </x:row>
    <x:row r="648" ht="30" customHeight="1">
      <x:c r="A648" s="59" t="str">
        <x:v>Kontrola lokalna</x:v>
      </x:c>
      <x:c r="B648" s="59" t="str">
        <x:v>energy_charts_v2_series_keys</x:v>
      </x:c>
      <x:c r="C648" s="59" t="str">
        <x:v>PASS</x:v>
      </x:c>
    </x:row>
    <x:row r="649" ht="30" customHeight="1">
      <x:c r="A649" s="59" t="str">
        <x:v>Kontrola lokalna</x:v>
      </x:c>
      <x:c r="B649" s="59" t="str">
        <x:v>energy_charts_v2_country_unit</x:v>
      </x:c>
      <x:c r="C649" s="59" t="str">
        <x:v>PASS</x:v>
      </x:c>
    </x:row>
    <x:row r="650" ht="30" customHeight="1">
      <x:c r="A650" s="59" t="str">
        <x:v>Kontrola lokalna</x:v>
      </x:c>
      <x:c r="B650" s="59" t="str">
        <x:v>energy_charts_v2_license_metadata</x:v>
      </x:c>
      <x:c r="C650" s="59" t="str">
        <x:v>PASS</x:v>
      </x:c>
    </x:row>
    <x:row r="651" ht="30" customHeight="1">
      <x:c r="A651" s="59" t="str">
        <x:v>Kontrola lokalna</x:v>
      </x:c>
      <x:c r="B651" s="59" t="str">
        <x:v>openapi_contract:pse_openapi.json</x:v>
      </x:c>
      <x:c r="C651" s="59" t="str">
        <x:v>PASS</x:v>
      </x:c>
    </x:row>
    <x:row r="652" ht="30" customHeight="1">
      <x:c r="A652" s="59" t="str">
        <x:v>Kontrola lokalna</x:v>
      </x:c>
      <x:c r="B652" s="59" t="str">
        <x:v>openapi_contract:energy_charts_openapi.json</x:v>
      </x:c>
      <x:c r="C652" s="59" t="str">
        <x:v>PASS</x:v>
      </x:c>
    </x:row>
    <x:row r="653" ht="30" customHeight="1">
      <x:c r="A653" s="59" t="str">
        <x:v>Kontrola lokalna</x:v>
      </x:c>
      <x:c r="B653" s="59" t="str">
        <x:v>local_link:README.md:docs/17_local_application.md</x:v>
      </x:c>
      <x:c r="C653" s="59" t="str">
        <x:v>PASS</x:v>
      </x:c>
    </x:row>
    <x:row r="654" ht="30" customHeight="1">
      <x:c r="A654" s="59" t="str">
        <x:v>Kontrola lokalna</x:v>
      </x:c>
      <x:c r="B654" s="59" t="str">
        <x:v>local_link:README.md:TODO.md</x:v>
      </x:c>
      <x:c r="C654" s="59" t="str">
        <x:v>PASS</x:v>
      </x:c>
    </x:row>
    <x:row r="655" ht="30" customHeight="1">
      <x:c r="A655" s="59" t="str">
        <x:v>Kontrola lokalna</x:v>
      </x:c>
      <x:c r="B655" s="59" t="str">
        <x:v>local_link:README.md:docs/project_reporting.md</x:v>
      </x:c>
      <x:c r="C655" s="59" t="str">
        <x:v>PASS</x:v>
      </x:c>
    </x:row>
    <x:row r="656" ht="30" customHeight="1">
      <x:c r="A656" s="59" t="str">
        <x:v>Kontrola lokalna</x:v>
      </x:c>
      <x:c r="B656" s="59" t="str">
        <x:v>local_link:README.md:docs/15_information_requests.md</x:v>
      </x:c>
      <x:c r="C656" s="59" t="str">
        <x:v>PASS</x:v>
      </x:c>
    </x:row>
    <x:row r="657" ht="30" customHeight="1">
      <x:c r="A657" s="59" t="str">
        <x:v>Kontrola lokalna</x:v>
      </x:c>
      <x:c r="B657" s="59" t="str">
        <x:v>local_link:README.md:docs/11_radkowice_evidence_model.md</x:v>
      </x:c>
      <x:c r="C657" s="59" t="str">
        <x:v>PASS</x:v>
      </x:c>
    </x:row>
    <x:row r="658" ht="30" customHeight="1">
      <x:c r="A658" s="59" t="str">
        <x:v>Kontrola lokalna</x:v>
      </x:c>
      <x:c r="B658" s="59" t="str">
        <x:v>local_link:README.md:docs/14_observation_history.md</x:v>
      </x:c>
      <x:c r="C658" s="59" t="str">
        <x:v>PASS</x:v>
      </x:c>
    </x:row>
    <x:row r="659" ht="30" customHeight="1">
      <x:c r="A659" s="59" t="str">
        <x:v>Kontrola lokalna</x:v>
      </x:c>
      <x:c r="B659" s="59" t="str">
        <x:v>local_link:README.md:docs/01_data_research.md</x:v>
      </x:c>
      <x:c r="C659" s="59" t="str">
        <x:v>PASS</x:v>
      </x:c>
    </x:row>
    <x:row r="660" ht="30" customHeight="1">
      <x:c r="A660" s="59" t="str">
        <x:v>Kontrola lokalna</x:v>
      </x:c>
      <x:c r="B660" s="59" t="str">
        <x:v>local_link:README.md:docs/data_sources.md</x:v>
      </x:c>
      <x:c r="C660" s="59" t="str">
        <x:v>PASS</x:v>
      </x:c>
    </x:row>
    <x:row r="661" ht="30" customHeight="1">
      <x:c r="A661" s="59" t="str">
        <x:v>Kontrola lokalna</x:v>
      </x:c>
      <x:c r="B661" s="59" t="str">
        <x:v>local_link:README.md:data/catalog/data_sources.json</x:v>
      </x:c>
      <x:c r="C661" s="59" t="str">
        <x:v>PASS</x:v>
      </x:c>
    </x:row>
    <x:row r="662" ht="30" customHeight="1">
      <x:c r="A662" s="59" t="str">
        <x:v>Kontrola lokalna</x:v>
      </x:c>
      <x:c r="B662" s="59" t="str">
        <x:v>local_link:README.md:docs/02_feasibility_matrix.md</x:v>
      </x:c>
      <x:c r="C662" s="59" t="str">
        <x:v>PASS</x:v>
      </x:c>
    </x:row>
    <x:row r="663" ht="30" customHeight="1">
      <x:c r="A663" s="59" t="str">
        <x:v>Kontrola lokalna</x:v>
      </x:c>
      <x:c r="B663" s="59" t="str">
        <x:v>local_link:README.md:docs/gpz_pipeline.md</x:v>
      </x:c>
      <x:c r="C663" s="59" t="str">
        <x:v>PASS</x:v>
      </x:c>
    </x:row>
    <x:row r="664" ht="30" customHeight="1">
      <x:c r="A664" s="59" t="str">
        <x:v>Kontrola lokalna</x:v>
      </x:c>
      <x:c r="B664" s="59" t="str">
        <x:v>local_link:README.md:docs/03_system_architecture.md</x:v>
      </x:c>
      <x:c r="C664" s="59" t="str">
        <x:v>PASS</x:v>
      </x:c>
    </x:row>
    <x:row r="665" ht="30" customHeight="1">
      <x:c r="A665" s="59" t="str">
        <x:v>Kontrola lokalna</x:v>
      </x:c>
      <x:c r="B665" s="59" t="str">
        <x:v>local_link:README.md:docs/04_data_model.md</x:v>
      </x:c>
      <x:c r="C665" s="59" t="str">
        <x:v>PASS</x:v>
      </x:c>
    </x:row>
    <x:row r="666" ht="30" customHeight="1">
      <x:c r="A666" s="59" t="str">
        <x:v>Kontrola lokalna</x:v>
      </x:c>
      <x:c r="B666" s="59" t="str">
        <x:v>local_link:README.md:docs/05_grid_capacity_methodology.md</x:v>
      </x:c>
      <x:c r="C666" s="59" t="str">
        <x:v>PASS</x:v>
      </x:c>
    </x:row>
    <x:row r="667" ht="30" customHeight="1">
      <x:c r="A667" s="59" t="str">
        <x:v>Kontrola lokalna</x:v>
      </x:c>
      <x:c r="B667" s="59" t="str">
        <x:v>local_link:README.md:docs/06_scoring_methodology.md</x:v>
      </x:c>
      <x:c r="C667" s="59" t="str">
        <x:v>PASS</x:v>
      </x:c>
    </x:row>
    <x:row r="668" ht="30" customHeight="1">
      <x:c r="A668" s="59" t="str">
        <x:v>Kontrola lokalna</x:v>
      </x:c>
      <x:c r="B668" s="59" t="str">
        <x:v>local_link:README.md:docs/07_data_quality.md</x:v>
      </x:c>
      <x:c r="C668" s="59" t="str">
        <x:v>PASS</x:v>
      </x:c>
    </x:row>
    <x:row r="669" ht="30" customHeight="1">
      <x:c r="A669" s="59" t="str">
        <x:v>Kontrola lokalna</x:v>
      </x:c>
      <x:c r="B669" s="59" t="str">
        <x:v>local_link:README.md:docs/08_roadmap.md</x:v>
      </x:c>
      <x:c r="C669" s="59" t="str">
        <x:v>PASS</x:v>
      </x:c>
    </x:row>
    <x:row r="670" ht="30" customHeight="1">
      <x:c r="A670" s="59" t="str">
        <x:v>Kontrola lokalna</x:v>
      </x:c>
      <x:c r="B670" s="59" t="str">
        <x:v>local_link:README.md:docs/decision_log.md</x:v>
      </x:c>
      <x:c r="C670" s="59" t="str">
        <x:v>PASS</x:v>
      </x:c>
    </x:row>
    <x:row r="671" ht="30" customHeight="1">
      <x:c r="A671" s="59" t="str">
        <x:v>Kontrola lokalna</x:v>
      </x:c>
      <x:c r="B671" s="59" t="str">
        <x:v>local_link:README.md:docs/git_workflow.md</x:v>
      </x:c>
      <x:c r="C671" s="59" t="str">
        <x:v>PASS</x:v>
      </x:c>
    </x:row>
    <x:row r="672" ht="30" customHeight="1">
      <x:c r="A672" s="59" t="str">
        <x:v>Kontrola lokalna</x:v>
      </x:c>
      <x:c r="B672" s="59" t="str">
        <x:v>local_link:README.md:docs/reproducibility.md</x:v>
      </x:c>
      <x:c r="C672" s="59" t="str">
        <x:v>PASS</x:v>
      </x:c>
    </x:row>
    <x:row r="673" ht="30" customHeight="1">
      <x:c r="A673" s="59" t="str">
        <x:v>Kontrola lokalna</x:v>
      </x:c>
      <x:c r="B673" s="59" t="str">
        <x:v>local_link:README.md:docs/gpz_pipeline.md</x:v>
      </x:c>
      <x:c r="C673" s="59" t="str">
        <x:v>PASS</x:v>
      </x:c>
    </x:row>
    <x:row r="674" ht="30" customHeight="1">
      <x:c r="A674" s="59" t="str">
        <x:v>Kontrola lokalna</x:v>
      </x:c>
      <x:c r="B674" s="59" t="str">
        <x:v>local_link:01_data_research.md:data_sources.md</x:v>
      </x:c>
      <x:c r="C674" s="59" t="str">
        <x:v>PASS</x:v>
      </x:c>
    </x:row>
    <x:row r="675" ht="30" customHeight="1">
      <x:c r="A675" s="59" t="str">
        <x:v>Kontrola lokalna</x:v>
      </x:c>
      <x:c r="B675" s="59" t="str">
        <x:v>local_link:01_data_research.md:11_radkowice_evidence_model.md</x:v>
      </x:c>
      <x:c r="C675" s="59" t="str">
        <x:v>PASS</x:v>
      </x:c>
    </x:row>
    <x:row r="676" ht="30" customHeight="1">
      <x:c r="A676" s="59" t="str">
        <x:v>Kontrola lokalna</x:v>
      </x:c>
      <x:c r="B676" s="59" t="str">
        <x:v>local_link:01_data_research.md:10_radkowice_pilot.md</x:v>
      </x:c>
      <x:c r="C676" s="59" t="str">
        <x:v>PASS</x:v>
      </x:c>
    </x:row>
    <x:row r="677" ht="30" customHeight="1">
      <x:c r="A677" s="59" t="str">
        <x:v>Kontrola lokalna</x:v>
      </x:c>
      <x:c r="B677" s="59" t="str">
        <x:v>local_link:01_data_research.md:02_feasibility_matrix.md</x:v>
      </x:c>
      <x:c r="C677" s="59" t="str">
        <x:v>PASS</x:v>
      </x:c>
    </x:row>
    <x:row r="678" ht="30" customHeight="1">
      <x:c r="A678" s="59" t="str">
        <x:v>Kontrola lokalna</x:v>
      </x:c>
      <x:c r="B678" s="59" t="str">
        <x:v>local_link:01_data_research.md:12_radkowice_110kv_research.md</x:v>
      </x:c>
      <x:c r="C678" s="59" t="str">
        <x:v>PASS</x:v>
      </x:c>
    </x:row>
    <x:row r="679" ht="30" customHeight="1">
      <x:c r="A679" s="59" t="str">
        <x:v>Kontrola lokalna</x:v>
      </x:c>
      <x:c r="B679" s="59" t="str">
        <x:v>local_link:01_data_research.md:16_radkowice_public_followup.md</x:v>
      </x:c>
      <x:c r="C679" s="59" t="str">
        <x:v>PASS</x:v>
      </x:c>
    </x:row>
    <x:row r="680" ht="30" customHeight="1">
      <x:c r="A680" s="59" t="str">
        <x:v>Kontrola lokalna</x:v>
      </x:c>
      <x:c r="B680" s="59" t="str">
        <x:v>local_link:02_feasibility_matrix.md:01_data_research.md</x:v>
      </x:c>
      <x:c r="C680" s="59" t="str">
        <x:v>PASS</x:v>
      </x:c>
    </x:row>
    <x:row r="681" ht="30" customHeight="1">
      <x:c r="A681" s="59" t="str">
        <x:v>Kontrola lokalna</x:v>
      </x:c>
      <x:c r="B681" s="59" t="str">
        <x:v>local_link:02_feasibility_matrix.md:data_sources.md</x:v>
      </x:c>
      <x:c r="C681" s="59" t="str">
        <x:v>PASS</x:v>
      </x:c>
    </x:row>
    <x:row r="682" ht="30" customHeight="1">
      <x:c r="A682" s="59" t="str">
        <x:v>Kontrola lokalna</x:v>
      </x:c>
      <x:c r="B682" s="59" t="str">
        <x:v>local_link:04_data_model.md:11_radkowice_evidence_model.md</x:v>
      </x:c>
      <x:c r="C682" s="59" t="str">
        <x:v>PASS</x:v>
      </x:c>
    </x:row>
    <x:row r="683" ht="30" customHeight="1">
      <x:c r="A683" s="59" t="str">
        <x:v>Kontrola lokalna</x:v>
      </x:c>
      <x:c r="B683" s="59" t="str">
        <x:v>local_link:04_data_model.md:gpz_pipeline.md</x:v>
      </x:c>
      <x:c r="C683" s="59" t="str">
        <x:v>PASS</x:v>
      </x:c>
    </x:row>
    <x:row r="684" ht="30" customHeight="1">
      <x:c r="A684" s="59" t="str">
        <x:v>Kontrola lokalna</x:v>
      </x:c>
      <x:c r="B684" s="59" t="str">
        <x:v>local_link:04_data_model.md:13_shared_connection_model.md</x:v>
      </x:c>
      <x:c r="C684" s="59" t="str">
        <x:v>PASS</x:v>
      </x:c>
    </x:row>
    <x:row r="685" ht="30" customHeight="1">
      <x:c r="A685" s="59" t="str">
        <x:v>Kontrola lokalna</x:v>
      </x:c>
      <x:c r="B685" s="59" t="str">
        <x:v>local_link:04_data_model.md:14_observation_history.md</x:v>
      </x:c>
      <x:c r="C685" s="59" t="str">
        <x:v>PASS</x:v>
      </x:c>
    </x:row>
    <x:row r="686" ht="30" customHeight="1">
      <x:c r="A686" s="59" t="str">
        <x:v>Kontrola lokalna</x:v>
      </x:c>
      <x:c r="B686" s="59" t="str">
        <x:v>local_link:05_grid_capacity_methodology.md:01_data_research.md</x:v>
      </x:c>
      <x:c r="C686" s="59" t="str">
        <x:v>PASS</x:v>
      </x:c>
    </x:row>
    <x:row r="687" ht="30" customHeight="1">
      <x:c r="A687" s="59" t="str">
        <x:v>Kontrola lokalna</x:v>
      </x:c>
      <x:c r="B687" s="59" t="str">
        <x:v>local_link:07_data_quality.md:../data/catalog/energa_date_review_2026-09-11.json</x:v>
      </x:c>
      <x:c r="C687" s="59" t="str">
        <x:v>PASS</x:v>
      </x:c>
    </x:row>
    <x:row r="688" ht="30" customHeight="1">
      <x:c r="A688" s="59" t="str">
        <x:v>Kontrola lokalna</x:v>
      </x:c>
      <x:c r="B688" s="59" t="str">
        <x:v>local_link:08_roadmap.md:gpz_pipeline.md</x:v>
      </x:c>
      <x:c r="C688" s="59" t="str">
        <x:v>PASS</x:v>
      </x:c>
    </x:row>
    <x:row r="689" ht="30" customHeight="1">
      <x:c r="A689" s="59" t="str">
        <x:v>Kontrola lokalna</x:v>
      </x:c>
      <x:c r="B689" s="59" t="str">
        <x:v>local_link:09_pilot_scope.md:10_radkowice_pilot.md</x:v>
      </x:c>
      <x:c r="C689" s="59" t="str">
        <x:v>PASS</x:v>
      </x:c>
    </x:row>
    <x:row r="690" ht="30" customHeight="1">
      <x:c r="A690" s="59" t="str">
        <x:v>Kontrola lokalna</x:v>
      </x:c>
      <x:c r="B690" s="59" t="str">
        <x:v>local_link:10_radkowice_pilot.md:11_radkowice_evidence_model.md</x:v>
      </x:c>
      <x:c r="C690" s="59" t="str">
        <x:v>PASS</x:v>
      </x:c>
    </x:row>
    <x:row r="691" ht="30" customHeight="1">
      <x:c r="A691" s="59" t="str">
        <x:v>Kontrola lokalna</x:v>
      </x:c>
      <x:c r="B691" s="59" t="str">
        <x:v>local_link:11_radkowice_evidence_model.md:12_radkowice_110kv_research.md</x:v>
      </x:c>
      <x:c r="C691" s="59" t="str">
        <x:v>PASS</x:v>
      </x:c>
    </x:row>
    <x:row r="692" ht="30" customHeight="1">
      <x:c r="A692" s="59" t="str">
        <x:v>Kontrola lokalna</x:v>
      </x:c>
      <x:c r="B692" s="59" t="str">
        <x:v>local_link:13_shared_connection_model.md:14_observation_history.md</x:v>
      </x:c>
      <x:c r="C692" s="59" t="str">
        <x:v>PASS</x:v>
      </x:c>
    </x:row>
    <x:row r="693" ht="30" customHeight="1">
      <x:c r="A693" s="59" t="str">
        <x:v>Kontrola lokalna</x:v>
      </x:c>
      <x:c r="B693" s="59" t="str">
        <x:v>local_link:data_sources.md:01_data_research.md</x:v>
      </x:c>
      <x:c r="C693" s="59" t="str">
        <x:v>PASS</x:v>
      </x:c>
    </x:row>
    <x:row r="694" ht="30" customHeight="1">
      <x:c r="A694" s="59" t="str">
        <x:v>Kontrola lokalna</x:v>
      </x:c>
      <x:c r="B694" s="59" t="str">
        <x:v>local_link:discovery_log.md:01_data_research.md</x:v>
      </x:c>
      <x:c r="C694" s="59" t="str">
        <x:v>PASS</x:v>
      </x:c>
    </x:row>
    <x:row r="695" ht="30" customHeight="1">
      <x:c r="A695" s="59" t="str">
        <x:v>Kontrola lokalna</x:v>
      </x:c>
      <x:c r="B695" s="59" t="str">
        <x:v>local_link:discovery_log.md:data_sources.md</x:v>
      </x:c>
      <x:c r="C695" s="59" t="str">
        <x:v>PASS</x:v>
      </x:c>
    </x:row>
    <x:row r="696" ht="30" customHeight="1">
      <x:c r="A696" s="59" t="str">
        <x:v>Kontrola lokalna</x:v>
      </x:c>
      <x:c r="B696" s="59" t="str">
        <x:v>local_link:git_workflow.md:reproducibility.md</x:v>
      </x:c>
      <x:c r="C696" s="59" t="str">
        <x:v>PASS</x:v>
      </x:c>
    </x:row>
    <x:row r="697" ht="30" customHeight="1">
      <x:c r="A697" s="59" t="str">
        <x:v>Kontrola lokalna</x:v>
      </x:c>
      <x:c r="B697" s="59" t="str">
        <x:v>local_link:gpz_pipeline.md:data_sources.md</x:v>
      </x:c>
      <x:c r="C697" s="59" t="str">
        <x:v>PASS</x:v>
      </x:c>
    </x:row>
    <x:row r="698" ht="30" customHeight="1">
      <x:c r="A698" s="59" t="str">
        <x:v>Kontrola lokalna</x:v>
      </x:c>
      <x:c r="B698" s="59" t="str">
        <x:v>local_link:gpz_pipeline.md:02_feasibility_matrix.md</x:v>
      </x:c>
      <x:c r="C698" s="59" t="str">
        <x:v>PASS</x:v>
      </x:c>
    </x:row>
    <x:row r="699" ht="30" customHeight="1">
      <x:c r="A699" s="59" t="str">
        <x:v>Kontrola lokalna</x:v>
      </x:c>
      <x:c r="B699" s="59" t="str">
        <x:v>local_link:project_reporting.md:../TODO.md</x:v>
      </x:c>
      <x:c r="C699" s="59" t="str">
        <x:v>PASS</x:v>
      </x:c>
    </x:row>
    <x:row r="700" ht="30" customHeight="1">
      <x:c r="A700" s="59" t="str">
        <x:v>Kontrola lokalna</x:v>
      </x:c>
      <x:c r="B700" s="59" t="str">
        <x:v>local_link:project_reporting.md:15_information_requests.md</x:v>
      </x:c>
      <x:c r="C700" s="59" t="str">
        <x:v>PASS</x:v>
      </x:c>
    </x:row>
    <x:row r="701" ht="30" customHeight="1">
      <x:c r="A701" s="59" t="str">
        <x:v>Kontrola lokalna</x:v>
      </x:c>
      <x:c r="B701" s="59" t="str">
        <x:v>local_link:reproducibility.md:../data/catalog/archive_manifest.json</x:v>
      </x:c>
      <x:c r="C701" s="59" t="str">
        <x:v>PASS</x:v>
      </x:c>
    </x:row>
    <x:row r="702" ht="30" customHeight="1">
      <x:c r="A702" s="59" t="str">
        <x:v>Kontrola lokalna</x:v>
      </x:c>
      <x:c r="B702" s="59" t="str">
        <x:v>python_syntax:analyze_historical_assignments.py</x:v>
      </x:c>
      <x:c r="C702" s="59" t="str">
        <x:v>PASS</x:v>
      </x:c>
    </x:row>
    <x:row r="703" ht="30" customHeight="1">
      <x:c r="A703" s="59" t="str">
        <x:v>Kontrola lokalna</x:v>
      </x:c>
      <x:c r="B703" s="59" t="str">
        <x:v>python_syntax:analyze_shared_connection.py</x:v>
      </x:c>
      <x:c r="C703" s="59" t="str">
        <x:v>PASS</x:v>
      </x:c>
    </x:row>
    <x:row r="704" ht="30" customHeight="1">
      <x:c r="A704" s="59" t="str">
        <x:v>Kontrola lokalna</x:v>
      </x:c>
      <x:c r="B704" s="59" t="str">
        <x:v>python_syntax:audit_private_gis_geometry.py</x:v>
      </x:c>
      <x:c r="C704" s="59" t="str">
        <x:v>PASS</x:v>
      </x:c>
    </x:row>
    <x:row r="705" ht="30" customHeight="1">
      <x:c r="A705" s="59" t="str">
        <x:v>Kontrola lokalna</x:v>
      </x:c>
      <x:c r="B705" s="59" t="str">
        <x:v>python_syntax:audit_pse_pipeline_statuses.py</x:v>
      </x:c>
      <x:c r="C705" s="59" t="str">
        <x:v>PASS</x:v>
      </x:c>
    </x:row>
    <x:row r="706" ht="30" customHeight="1">
      <x:c r="A706" s="59" t="str">
        <x:v>Kontrola lokalna</x:v>
      </x:c>
      <x:c r="B706" s="59" t="str">
        <x:v>python_syntax:build_radkowice_graph.py</x:v>
      </x:c>
      <x:c r="C706" s="59" t="str">
        <x:v>PASS</x:v>
      </x:c>
    </x:row>
    <x:row r="707" ht="30" customHeight="1">
      <x:c r="A707" s="59" t="str">
        <x:v>Kontrola lokalna</x:v>
      </x:c>
      <x:c r="B707" s="59" t="str">
        <x:v>python_syntax:build_radkowice_history.py</x:v>
      </x:c>
      <x:c r="C707" s="59" t="str">
        <x:v>PASS</x:v>
      </x:c>
    </x:row>
    <x:row r="708" ht="30" customHeight="1">
      <x:c r="A708" s="59" t="str">
        <x:v>Kontrola lokalna</x:v>
      </x:c>
      <x:c r="B708" s="59" t="str">
        <x:v>python_syntax:build_radkowice_investment_review.py</x:v>
      </x:c>
      <x:c r="C708" s="59" t="str">
        <x:v>PASS</x:v>
      </x:c>
    </x:row>
    <x:row r="709" ht="30" customHeight="1">
      <x:c r="A709" s="59" t="str">
        <x:v>Kontrola lokalna</x:v>
      </x:c>
      <x:c r="B709" s="59" t="str">
        <x:v>python_syntax:build_radkowice_pipeline.py</x:v>
      </x:c>
      <x:c r="C709" s="59" t="str">
        <x:v>PASS</x:v>
      </x:c>
    </x:row>
    <x:row r="710" ht="30" customHeight="1">
      <x:c r="A710" s="59" t="str">
        <x:v>Kontrola lokalna</x:v>
      </x:c>
      <x:c r="B710" s="59" t="str">
        <x:v>python_syntax:build_research_catalog.py</x:v>
      </x:c>
      <x:c r="C710" s="59" t="str">
        <x:v>PASS</x:v>
      </x:c>
    </x:row>
    <x:row r="711" ht="30" customHeight="1">
      <x:c r="A711" s="59" t="str">
        <x:v>Kontrola lokalna</x:v>
      </x:c>
      <x:c r="B711" s="59" t="str">
        <x:v>python_syntax:compare_private_gis_tables.py</x:v>
      </x:c>
      <x:c r="C711" s="59" t="str">
        <x:v>PASS</x:v>
      </x:c>
    </x:row>
    <x:row r="712" ht="30" customHeight="1">
      <x:c r="A712" s="59" t="str">
        <x:v>Kontrola lokalna</x:v>
      </x:c>
      <x:c r="B712" s="59" t="str">
        <x:v>python_syntax:inspect_private_materials.py</x:v>
      </x:c>
      <x:c r="C712" s="59" t="str">
        <x:v>PASS</x:v>
      </x:c>
    </x:row>
    <x:row r="713" ht="30" customHeight="1">
      <x:c r="A713" s="59" t="str">
        <x:v>Kontrola lokalna</x:v>
      </x:c>
      <x:c r="B713" s="59" t="str">
        <x:v>python_syntax:normalize_private_gis_capacity.py</x:v>
      </x:c>
      <x:c r="C713" s="59" t="str">
        <x:v>PASS</x:v>
      </x:c>
    </x:row>
    <x:row r="714" ht="30" customHeight="1">
      <x:c r="A714" s="59" t="str">
        <x:v>Kontrola lokalna</x:v>
      </x:c>
      <x:c r="B714" s="59" t="str">
        <x:v>python_syntax:research_archive.py</x:v>
      </x:c>
      <x:c r="C714" s="59" t="str">
        <x:v>PASS</x:v>
      </x:c>
    </x:row>
    <x:row r="715" ht="30" customHeight="1">
      <x:c r="A715" s="59" t="str">
        <x:v>Kontrola lokalna</x:v>
      </x:c>
      <x:c r="B715" s="59" t="str">
        <x:v>python_syntax:research_radkowice.py</x:v>
      </x:c>
      <x:c r="C715" s="59" t="str">
        <x:v>PASS</x:v>
      </x:c>
    </x:row>
    <x:row r="716" ht="30" customHeight="1">
      <x:c r="A716" s="59" t="str">
        <x:v>Kontrola lokalna</x:v>
      </x:c>
      <x:c r="B716" s="59" t="str">
        <x:v>python_syntax:review_private_gis_groups.py</x:v>
      </x:c>
      <x:c r="C716" s="59" t="str">
        <x:v>PASS</x:v>
      </x:c>
    </x:row>
    <x:row r="717" ht="30" customHeight="1">
      <x:c r="A717" s="59" t="str">
        <x:v>Kontrola lokalna</x:v>
      </x:c>
      <x:c r="B717" s="59" t="str">
        <x:v>python_syntax:validate_project_report.py</x:v>
      </x:c>
      <x:c r="C717" s="59" t="str">
        <x:v>PASS</x:v>
      </x:c>
    </x:row>
    <x:row r="718" ht="30" customHeight="1">
      <x:c r="A718" s="59" t="str">
        <x:v>Kontrola lokalna</x:v>
      </x:c>
      <x:c r="B718" s="59" t="str">
        <x:v>python_syntax:validate_research.py</x:v>
      </x:c>
      <x:c r="C718" s="59" t="str">
        <x:v>PASS</x:v>
      </x:c>
    </x:row>
  </x:sheetData>
  <x:pageMargins left="0.7" right="0.7" top="0.75" bottom="0.75" header="0.3" footer="0.3"/>
  <x:tableParts count="1">
    <x:tablePart xmlns:r="http://schemas.openxmlformats.org/officeDocument/2006/relationships" r:id="R196058bc54f24c95"/>
  </x:tableParts>
</x:worksheet>
</file>

<file path=xl/worksheets/sheet1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70" hidden="0" customWidth="1"/>
    <x:col min="2" max="2" width="130" hidden="0" customWidth="1"/>
  </x:cols>
  <x:sheetData>
    <x:row r="1">
      <x:c r="A1" s="49"/>
      <x:c r="B1" s="49"/>
    </x:row>
    <x:row r="2" ht="30" customHeight="1">
      <x:c r="A2" s="50" t="str">
        <x:v>Pochodzenie raportu i ponowne generowanie</x:v>
      </x:c>
      <x:c r="B2" s="49"/>
    </x:row>
    <x:row r="3">
      <x:c r="A3" s="51"/>
      <x:c r="B3" s="51"/>
    </x:row>
    <x:row r="4">
      <x:c r="A4" s="52" t="str">
        <x:v>Hashe wskazują dokładne wejścia, także gdy podczas generowania nie były jeszcze w commicie.</x:v>
      </x:c>
      <x:c r="B4" s="49"/>
    </x:row>
    <x:row r="5">
      <x:c r="A5" s="49"/>
      <x:c r="B5" s="49"/>
    </x:row>
    <x:row r="6" ht="34" customHeight="1">
      <x:c r="A6" s="58" t="str">
        <x:v>Element</x:v>
      </x:c>
      <x:c r="B6" s="58" t="str">
        <x:v>Wartość / instrukcja</x:v>
      </x:c>
    </x:row>
    <x:row r="7" ht="30" customHeight="1">
      <x:c r="A7" s="59" t="str">
        <x:v>Wygenerowano UTC</x:v>
      </x:c>
      <x:c r="B7" s="82" t="n">
        <x:v>46282.459389537034</x:v>
      </x:c>
    </x:row>
    <x:row r="8" ht="30" customHeight="1">
      <x:c r="A8" s="59" t="str">
        <x:v>Stan rejestru TODO</x:v>
      </x:c>
      <x:c r="B8" s="60" t="n">
        <x:v>46282</x:v>
      </x:c>
    </x:row>
    <x:row r="9" ht="30" customHeight="1">
      <x:c r="A9" s="59" t="str">
        <x:v>Commit widoczny przy generowaniu</x:v>
      </x:c>
      <x:c r="B9" s="59" t="str">
        <x:v>8207732ebebbfff789f126fae66ebce62db0113e</x:v>
      </x:c>
    </x:row>
    <x:row r="10" ht="30" customHeight="1">
      <x:c r="A10" s="59" t="str">
        <x:v>SHA-256 zestawu wejść</x:v>
      </x:c>
      <x:c r="B10" s="59" t="str">
        <x:v>5b61f51bf102c96f323959c003706b0ba70eee3cd6790c7341b09b875f4df765</x:v>
      </x:c>
    </x:row>
    <x:row r="11" ht="30" customHeight="1">
      <x:c r="A11" s="59" t="str">
        <x:v>Node.js</x:v>
      </x:c>
      <x:c r="B11" s="59" t="str">
        <x:v>v24.19.0</x:v>
      </x:c>
    </x:row>
    <x:row r="12" ht="30" customHeight="1">
      <x:c r="A12" s="59" t="str">
        <x:v>artifact-tool</x:v>
      </x:c>
      <x:c r="B12" s="59" t="str">
        <x:v>2.8.59</x:v>
      </x:c>
    </x:row>
    <x:row r="13" ht="30" customHeight="1">
      <x:c r="A13" s="59" t="str">
        <x:v>Szablon</x:v>
      </x:c>
      <x:c r="B13" s="59" t="str">
        <x:v>Project Tracker — zachowana struktura planu; dane demonstracyjne zastąpione</x:v>
      </x:c>
    </x:row>
    <x:row r="14" ht="30" customHeight="1">
      <x:c r="A14" s="59" t="str">
        <x:v>SHA-256 szablonu</x:v>
      </x:c>
      <x:c r="B14" s="59" t="str">
        <x:v>dd8bd283784a189061a328040e845a6d26807e2ee1005a9a195e6dc7baeefe80</x:v>
      </x:c>
    </x:row>
    <x:row r="15" ht="30" customHeight="1">
      <x:c r="A15" s="59" t="str">
        <x:v>Źródło zadań</x:v>
      </x:c>
      <x:c r="B15" s="59" t="str">
        <x:v>data/project/todo.json; Excel i TODO.md są widokami generowanymi</x:v>
      </x:c>
    </x:row>
    <x:row r="16" ht="30" customHeight="1">
      <x:c r="A16" s="59" t="str">
        <x:v>Odświeżenie</x:v>
      </x:c>
      <x:c r="B16" s="59" t="str">
        <x:v>Uruchom scripts/generate_project_report.ps1 w folderze projektu.</x:v>
      </x:c>
    </x:row>
    <x:row r="17" ht="30" customHeight="1">
      <x:c r="A17" s="59" t="str">
        <x:v>Historia źródeł</x:v>
      </x:c>
      <x:c r="B17" s="59" t="str">
        <x:v>Do odtworzenia dokładnych źródeł potrzebne archiwum ZIP i zgodny manifest w repozytorium.</x:v>
      </x:c>
    </x:row>
    <x:row r="18" ht="30" customHeight="1">
      <x:c r="A18" s="59" t="str">
        <x:v>SHA-256 archiwum badania</x:v>
      </x:c>
      <x:c r="B18" s="59" t="str">
        <x:v>c2f340cadecf51260edc41df88d66f89916c891dcd88b92e6db7557a0cd3265c</x:v>
      </x:c>
    </x:row>
    <x:row r="19" ht="30" customHeight="1">
      <x:c r="A19" s="59" t="str">
        <x:v>Sekrety</x:v>
      </x:c>
      <x:c r="B19" s="59" t="str">
        <x:v>Generator nie odczytuje _secrets ani tokenów.</x:v>
      </x:c>
    </x:row>
    <x:row r="20" ht="30" customHeight="1">
      <x:c r="A20" s="59" t="str">
        <x:v>Edycja Excela</x:v>
      </x:c>
      <x:c r="B20" s="59" t="str">
        <x:v>Zmiany w XLSX nie wracają do rejestru; wprowadź je do właściwych plików i wygeneruj ponownie.</x:v>
      </x:c>
    </x:row>
    <x:row r="21" ht="30" customHeight="1">
      <x:c r="A21" s="59" t="str">
        <x:v>data/project/todo.json</x:v>
      </x:c>
      <x:c r="B21" s="59" t="str">
        <x:v>SHA-256 afc31041e948b767e3fc52ae1c8017a9a8bd3dba56f0048ce3d212079af6dcb4; 27218 bajtów</x:v>
      </x:c>
    </x:row>
    <x:row r="22" ht="30" customHeight="1">
      <x:c r="A22" s="59" t="str">
        <x:v>data/project/information_requests.json</x:v>
      </x:c>
      <x:c r="B22" s="59" t="str">
        <x:v>SHA-256 3dc438d2bf7af3828e17c1d143cd65c091099e6f51fce43bb4e15e4d3d7f9a94; 13352 bajtów</x:v>
      </x:c>
    </x:row>
    <x:row r="23" ht="30" customHeight="1">
      <x:c r="A23" s="59" t="str">
        <x:v>data/catalog/data_sources.json</x:v>
      </x:c>
      <x:c r="B23" s="59" t="str">
        <x:v>SHA-256 7773dead6d3528ceaebb6c424a1479af0eaf2e2d48ef7e8fbffa0a6580b10306; 190156 bajtów</x:v>
      </x:c>
    </x:row>
    <x:row r="24" ht="30" customHeight="1">
      <x:c r="A24" s="59" t="str">
        <x:v>data/catalog/research_validation.json</x:v>
      </x:c>
      <x:c r="B24" s="59" t="str">
        <x:v>SHA-256 ef60fbf4031e858695971860c81649359df3a8ae5fe745e768f3fedd22eddc52; 79704 bajtów</x:v>
      </x:c>
    </x:row>
    <x:row r="25" ht="30" customHeight="1">
      <x:c r="A25" s="59" t="str">
        <x:v>data/catalog/archive_manifest.json</x:v>
      </x:c>
      <x:c r="B25" s="59" t="str">
        <x:v>SHA-256 db9d4a636e3ecfd47b4bfb690a61d61b8a6853fef35dcb945a671d99d1f16d48; 6867 bajtów</x:v>
      </x:c>
    </x:row>
    <x:row r="26" ht="30" customHeight="1">
      <x:c r="A26" s="59" t="str">
        <x:v>README.md</x:v>
      </x:c>
      <x:c r="B26" s="59" t="str">
        <x:v>SHA-256 9834ffc2389ad232da616bf5cc4dfb060837bf803e59276b2514156c92205828; 4723 bajtów</x:v>
      </x:c>
    </x:row>
    <x:row r="27" ht="30" customHeight="1">
      <x:c r="A27" s="59" t="str">
        <x:v>docs/01_data_research.md</x:v>
      </x:c>
      <x:c r="B27" s="59" t="str">
        <x:v>SHA-256 e571aab0242d47ba00ec300240cf77342952df9c58a6825010a4b813d58bc227; 45587 bajtów</x:v>
      </x:c>
    </x:row>
    <x:row r="28" ht="30" customHeight="1">
      <x:c r="A28" s="59" t="str">
        <x:v>docs/02_feasibility_matrix.md</x:v>
      </x:c>
      <x:c r="B28" s="59" t="str">
        <x:v>SHA-256 adbf7284bd5e5793a2334f71956a5cdca52e583dfc4ffb3cb04b7c02d491d3b0; 6602 bajtów</x:v>
      </x:c>
    </x:row>
    <x:row r="29" ht="30" customHeight="1">
      <x:c r="A29" s="59" t="str">
        <x:v>docs/03_system_architecture.md</x:v>
      </x:c>
      <x:c r="B29" s="59" t="str">
        <x:v>SHA-256 84c4a3b458e65fac551238e50d54a4e05de61e66316fc2292af7a0f95eb5e0b8; 3000 bajtów</x:v>
      </x:c>
    </x:row>
    <x:row r="30" ht="30" customHeight="1">
      <x:c r="A30" s="59" t="str">
        <x:v>docs/04_data_model.md</x:v>
      </x:c>
      <x:c r="B30" s="59" t="str">
        <x:v>SHA-256 e8a4cc6f81c6334840f3cbe625d8eadae132c56d3155c4056078bf4cc59059ee; 3748 bajtów</x:v>
      </x:c>
    </x:row>
    <x:row r="31" ht="30" customHeight="1">
      <x:c r="A31" s="59" t="str">
        <x:v>docs/05_grid_capacity_methodology.md</x:v>
      </x:c>
      <x:c r="B31" s="59" t="str">
        <x:v>SHA-256 bb567d9f754aafbd1b71a174b574e50c5bdbbd783d73ad8a67641e8659db0d82; 1787 bajtów</x:v>
      </x:c>
    </x:row>
    <x:row r="32" ht="30" customHeight="1">
      <x:c r="A32" s="59" t="str">
        <x:v>docs/06_scoring_methodology.md</x:v>
      </x:c>
      <x:c r="B32" s="59" t="str">
        <x:v>SHA-256 eb1cc874f964a8968ea08d9cef93ec8e02081a8b2b37836042426c940b351d7d; 1857 bajtów</x:v>
      </x:c>
    </x:row>
    <x:row r="33" ht="30" customHeight="1">
      <x:c r="A33" s="59" t="str">
        <x:v>docs/07_data_quality.md</x:v>
      </x:c>
      <x:c r="B33" s="59" t="str">
        <x:v>SHA-256 b92dc582206e53ac60600774d7d9f4a1199a4d0092606fdcd01d2f450b1249dd; 5298 bajtów</x:v>
      </x:c>
    </x:row>
    <x:row r="34" ht="30" customHeight="1">
      <x:c r="A34" s="59" t="str">
        <x:v>docs/08_roadmap.md</x:v>
      </x:c>
      <x:c r="B34" s="59" t="str">
        <x:v>SHA-256 e0a7ed406410c129fff6df65be213addcc1f254601336d6e9ec01c2d69a8852e; 2244 bajtów</x:v>
      </x:c>
    </x:row>
    <x:row r="35" ht="30" customHeight="1">
      <x:c r="A35" s="59" t="str">
        <x:v>docs/gpz_pipeline.md</x:v>
      </x:c>
      <x:c r="B35" s="59" t="str">
        <x:v>SHA-256 06872c93fd3018b1aea2f3f1a887a554a97e4706e8e30762b07dd9e8f104c56d; 7461 bajtów</x:v>
      </x:c>
    </x:row>
    <x:row r="36" ht="30" customHeight="1">
      <x:c r="A36" s="59" t="str">
        <x:v>docs/decision_log.md</x:v>
      </x:c>
      <x:c r="B36" s="59" t="str">
        <x:v>SHA-256 9eae35ad4007b6982183d88ef78756836bee97625c8f5bec56ff6c42f570f6cb; 22667 bajtów</x:v>
      </x:c>
    </x:row>
    <x:row r="37" ht="30" customHeight="1">
      <x:c r="A37" s="59" t="str">
        <x:v>docs/discovery_log.md</x:v>
      </x:c>
      <x:c r="B37" s="59" t="str">
        <x:v>SHA-256 e1049cda6e471993bb574f4a6ff8c95479402f653f43b24a9605041cf86eafbc; 4217 bajtów</x:v>
      </x:c>
    </x:row>
    <x:row r="38" ht="30" customHeight="1">
      <x:c r="A38" s="59" t="str">
        <x:v>docs/reproducibility.md</x:v>
      </x:c>
      <x:c r="B38" s="59" t="str">
        <x:v>SHA-256 cf263f517ae91b72659c30e011afbf2a3ab5a703914365343da5bf2ad366e095; 7030 bajtów</x:v>
      </x:c>
    </x:row>
    <x:row r="39" ht="30" customHeight="1">
      <x:c r="A39" s="59" t="str">
        <x:v>docs/git_workflow.md</x:v>
      </x:c>
      <x:c r="B39" s="59" t="str">
        <x:v>SHA-256 5f3a11ae855ab526329ecaeb5e311ed9a86342114be5f29e72e214476d51a72b; 4545 bajtów</x:v>
      </x:c>
    </x:row>
    <x:row r="40" ht="30" customHeight="1">
      <x:c r="A40" s="59" t="str">
        <x:v>docs/project_reporting.md</x:v>
      </x:c>
      <x:c r="B40" s="59" t="str">
        <x:v>SHA-256 c761014d95f5709fe04fc469db591243de84ceacd7c748846b73a080f6d0e70c; 4981 bajtów</x:v>
      </x:c>
    </x:row>
    <x:row r="41" ht="30" customHeight="1">
      <x:c r="A41" s="59" t="str">
        <x:v>docs/09_pilot_scope.md</x:v>
      </x:c>
      <x:c r="B41" s="59" t="str">
        <x:v>SHA-256 626a9d282a813c8159599775b5eadf78e877f5eb263f3b52da4cf0024b4e2989; 2277 bajtów</x:v>
      </x:c>
    </x:row>
    <x:row r="42" ht="30" customHeight="1">
      <x:c r="A42" s="59" t="str">
        <x:v>docs/10_radkowice_pilot.md</x:v>
      </x:c>
      <x:c r="B42" s="59" t="str">
        <x:v>SHA-256 fc561d66d3da9f0adbff8c9b9d606d3b6662b2cb9a5c4501c131fb55fe262f14; 6036 bajtów</x:v>
      </x:c>
    </x:row>
    <x:row r="43" ht="30" customHeight="1">
      <x:c r="A43" s="59" t="str">
        <x:v>docs/11_radkowice_evidence_model.md</x:v>
      </x:c>
      <x:c r="B43" s="59" t="str">
        <x:v>SHA-256 5cd11d18db7bf9895571e809cf64b1122ad0009d58d23a2e6141912f1c04120b; 4672 bajtów</x:v>
      </x:c>
    </x:row>
    <x:row r="44" ht="30" customHeight="1">
      <x:c r="A44" s="59" t="str">
        <x:v>docs/12_radkowice_110kv_research.md</x:v>
      </x:c>
      <x:c r="B44" s="59" t="str">
        <x:v>SHA-256 ef234cda866ed99b939d647fa8bd4c316965f457daa2ea3c2f97a0c797e8f4c8; 2087 bajtów</x:v>
      </x:c>
    </x:row>
    <x:row r="45" ht="30" customHeight="1">
      <x:c r="A45" s="59" t="str">
        <x:v>docs/13_shared_connection_model.md</x:v>
      </x:c>
      <x:c r="B45" s="59" t="str">
        <x:v>SHA-256 1d9a6abadd3d111af2710829aa1827a688c9fcc630bead8e4c79948f14b65d71; 5895 bajtów</x:v>
      </x:c>
    </x:row>
    <x:row r="46" ht="30" customHeight="1">
      <x:c r="A46" s="59" t="str">
        <x:v>docs/14_observation_history.md</x:v>
      </x:c>
      <x:c r="B46" s="59" t="str">
        <x:v>SHA-256 5d988552c01deded013c82aa7a19de50a8ca668869326783f0f6c8da24e8fd84; 14297 bajtów</x:v>
      </x:c>
    </x:row>
    <x:row r="47" ht="30" customHeight="1">
      <x:c r="A47" s="59" t="str">
        <x:v>docs/15_information_requests.md</x:v>
      </x:c>
      <x:c r="B47" s="59" t="str">
        <x:v>SHA-256 e26c8fdb9d98a8d43e07fc80a715185bdd6158929aac53310fafdbadbcf20b03; 3156 bajtów</x:v>
      </x:c>
    </x:row>
    <x:row r="48" ht="30" customHeight="1">
      <x:c r="A48" s="59" t="str">
        <x:v>docs/16_radkowice_public_followup.md</x:v>
      </x:c>
      <x:c r="B48" s="59" t="str">
        <x:v>SHA-256 bf9e671c8ad0c3b628f0a887496ea3f75165c927eaa20e9c9f1d009bd402c767; 7621 bajtów</x:v>
      </x:c>
    </x:row>
    <x:row r="49" ht="30" customHeight="1">
      <x:c r="A49" s="59" t="str">
        <x:v>docs/17_local_application.md</x:v>
      </x:c>
      <x:c r="B49" s="59" t="str">
        <x:v>SHA-256 967ec12ff1c37e6de41a25465dbe28f5e0a1f79262eaae7999349ad4d5f1d6a0; 4300 bajtów</x:v>
      </x:c>
    </x:row>
    <x:row r="50" ht="30" customHeight="1">
      <x:c r="A50" s="59" t="str">
        <x:v>docs/private_sources.md</x:v>
      </x:c>
      <x:c r="B50" s="59" t="str">
        <x:v>SHA-256 fb252404cfbfacc67ffa407dfbb3abbade5e0532d39892aab147a39d48f0c26a; 8468 bajtów</x:v>
      </x:c>
    </x:row>
    <x:row r="51" ht="30" customHeight="1">
      <x:c r="A51" s="59" t="str">
        <x:v>scripts/report_data.mjs</x:v>
      </x:c>
      <x:c r="B51" s="59" t="str">
        <x:v>SHA-256 21d75d212c052a39a84862a6ef18f2c91113c0789dcd61534aa48321e74e9333; 9291 bajtów</x:v>
      </x:c>
    </x:row>
    <x:row r="52" ht="30" customHeight="1">
      <x:c r="A52" s="59" t="str">
        <x:v>scripts/generate_project_report.mjs</x:v>
      </x:c>
      <x:c r="B52" s="59" t="str">
        <x:v>SHA-256 dacbfb8dabe86d332d44547a58a84bf1c69f41600167b5ad3600146c59ad6fb7; 18927 bajtów</x:v>
      </x:c>
    </x:row>
    <x:row r="53" ht="30" customHeight="1">
      <x:c r="A53" s="59" t="str">
        <x:v>scripts/generate_project_report.ps1</x:v>
      </x:c>
      <x:c r="B53" s="59" t="str">
        <x:v>SHA-256 18664ffdf769acf42dce0d589a54a313d2f16e5732617b6bf8e31a0545b0ca4d; 1950 bajtów</x:v>
      </x:c>
    </x:row>
    <x:row r="54" ht="30" customHeight="1">
      <x:c r="A54" s="59" t="str">
        <x:v>scripts/validate_project_report.py</x:v>
      </x:c>
      <x:c r="B54" s="59" t="str">
        <x:v>SHA-256 fc2fd0533037b1e4ffd90886926efaa1947e4ce29f50ae864d14586f83a009b0; 4810 bajtów</x:v>
      </x:c>
    </x:row>
    <x:row r="55" ht="30" customHeight="1">
      <x:c r="A55" s="59" t="str">
        <x:v>data/reference/project_tracker_template.xlsx</x:v>
      </x:c>
      <x:c r="B55" s="59" t="str">
        <x:v>SHA-256 dd8bd283784a189061a328040e845a6d26807e2ee1005a9a195e6dc7baeefe80; 14846 bajtów</x:v>
      </x:c>
    </x:row>
  </x:sheetData>
  <x:pageMargins left="0.7" right="0.7" top="0.75" bottom="0.75" header="0.3" footer="0.3"/>
  <x:tableParts count="1">
    <x:tablePart xmlns:r="http://schemas.openxmlformats.org/officeDocument/2006/relationships" r:id="Rfa067202f6ef4f26"/>
  </x:tableParts>
</x:worksheet>
</file>