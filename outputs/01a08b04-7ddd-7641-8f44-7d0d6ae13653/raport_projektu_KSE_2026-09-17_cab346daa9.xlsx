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dfce28f8434d67" /></Relationships>
</file>

<file path=xl/workbook.xml><?xml version="1.0" encoding="utf-8"?>
<x:workbook xmlns:x="http://schemas.openxmlformats.org/spreadsheetml/2006/main">
  <x:sheets>
    <x:sheet xmlns:r="http://schemas.openxmlformats.org/officeDocument/2006/relationships" name="Project Plan" sheetId="1" r:id="R47e6391b007e4e3b"/>
    <x:sheet xmlns:r="http://schemas.openxmlformats.org/officeDocument/2006/relationships" name="Podsumowanie" sheetId="2" r:id="R8fb1c8b098a3411d"/>
    <x:sheet xmlns:r="http://schemas.openxmlformats.org/officeDocument/2006/relationships" name="Potrzebne informacje" sheetId="3" r:id="R7295e2463cbc48e8"/>
    <x:sheet xmlns:r="http://schemas.openxmlformats.org/officeDocument/2006/relationships" name="TODO" sheetId="4" r:id="Rb9f87c34e35c4b10"/>
    <x:sheet xmlns:r="http://schemas.openxmlformats.org/officeDocument/2006/relationships" name="Wykonalność" sheetId="5" r:id="Rff0181ed07274617"/>
    <x:sheet xmlns:r="http://schemas.openxmlformats.org/officeDocument/2006/relationships" name="Źródła" sheetId="6" r:id="R7c916e59d6dd4fe4"/>
    <x:sheet xmlns:r="http://schemas.openxmlformats.org/officeDocument/2006/relationships" name="Źródła szczegóły" sheetId="7" r:id="R6528ad5438da415b"/>
    <x:sheet xmlns:r="http://schemas.openxmlformats.org/officeDocument/2006/relationships" name="Ryzyka" sheetId="8" r:id="R5e8e288daabb477f"/>
    <x:sheet xmlns:r="http://schemas.openxmlformats.org/officeDocument/2006/relationships" name="Dokumentacja" sheetId="9" r:id="Rc3752b0f22cf4695"/>
    <x:sheet xmlns:r="http://schemas.openxmlformats.org/officeDocument/2006/relationships" name="Audyt" sheetId="10" r:id="Rc0fdcd27c7b84f71"/>
    <x:sheet xmlns:r="http://schemas.openxmlformats.org/officeDocument/2006/relationships" name="Odtwarzanie" sheetId="11" r:id="Rd577cf67083a41c4"/>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<x:sst xmlns:x="http://schemas.openxmlformats.org/spreadsheetml/2006/main">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</x:sst>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2adf4df3c8493b" /><Relationship Type="http://schemas.openxmlformats.org/officeDocument/2006/relationships/theme" Target="/xl/theme/theme1.xml" Id="Rc8e8ef0c40934af0" /><Relationship Type="http://schemas.openxmlformats.org/officeDocument/2006/relationships/sharedStrings" Target="/xl/sharedStrings.xml" Id="R2076f1d220af44ba" /><Relationship Type="http://schemas.openxmlformats.org/officeDocument/2006/relationships/worksheet" Target="/xl/worksheets/sheet1.xml" Id="R47e6391b007e4e3b" /><Relationship Type="http://schemas.openxmlformats.org/officeDocument/2006/relationships/worksheet" Target="/xl/worksheets/sheet2.xml" Id="R8fb1c8b098a3411d" /><Relationship Type="http://schemas.openxmlformats.org/officeDocument/2006/relationships/worksheet" Target="/xl/worksheets/sheet3.xml" Id="R7295e2463cbc48e8" /><Relationship Type="http://schemas.openxmlformats.org/officeDocument/2006/relationships/worksheet" Target="/xl/worksheets/sheet4.xml" Id="Rb9f87c34e35c4b10" /><Relationship Type="http://schemas.openxmlformats.org/officeDocument/2006/relationships/worksheet" Target="/xl/worksheets/sheet5.xml" Id="Rff0181ed07274617" /><Relationship Type="http://schemas.openxmlformats.org/officeDocument/2006/relationships/worksheet" Target="/xl/worksheets/sheet6.xml" Id="R7c916e59d6dd4fe4" /><Relationship Type="http://schemas.openxmlformats.org/officeDocument/2006/relationships/worksheet" Target="/xl/worksheets/sheet7.xml" Id="R6528ad5438da415b" /><Relationship Type="http://schemas.openxmlformats.org/officeDocument/2006/relationships/worksheet" Target="/xl/worksheets/sheet8.xml" Id="R5e8e288daabb477f" /><Relationship Type="http://schemas.openxmlformats.org/officeDocument/2006/relationships/worksheet" Target="/xl/worksheets/sheet9.xml" Id="Rc3752b0f22cf4695" /><Relationship Type="http://schemas.openxmlformats.org/officeDocument/2006/relationships/worksheet" Target="/xl/worksheets/sheet10.xml" Id="Rc0fdcd27c7b84f71" /><Relationship Type="http://schemas.openxmlformats.org/officeDocument/2006/relationships/worksheet" Target="/xl/worksheets/sheet11.xml" Id="Rd577cf67083a41c4"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22" headerRowCount="1" totalsRowCount="0" totalsRowShown="0">
  <x:autoFilter ref="A6:L22"/>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7" headerRowCount="1" totalsRowCount="0" totalsRowShown="0">
  <x:autoFilter ref="A6:N47"/>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9" headerRowCount="1" totalsRowCount="0" totalsRowShown="0">
  <x:autoFilter ref="A6:J79"/>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3167" headerRowCount="1" totalsRowCount="0" totalsRowShown="0">
  <x:autoFilter ref="A6:C3167"/>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90" headerRowCount="1" totalsRowCount="0" totalsRowShown="0">
  <x:autoFilter ref="A6:E90"/>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692" headerRowCount="1" totalsRowCount="0" totalsRowShown="0">
  <x:autoFilter ref="A6:C692"/>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881" headerRowCount="1" totalsRowCount="0" totalsRowShown="0">
  <x:autoFilter ref="A6:C881"/>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7" headerRowCount="1" totalsRowCount="0" totalsRowShown="0">
  <x:autoFilter ref="A6:B57"/>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efc85e6438f42bb" /></Relationships>
</file>

<file path=xl/worksheets/_rels/sheet3.xml.rels>&#65279;<?xml version="1.0" encoding="utf-8"?><Relationships xmlns="http://schemas.openxmlformats.org/package/2006/relationships"><Relationship Type="http://schemas.openxmlformats.org/officeDocument/2006/relationships/table" Target="/xl/tables/table2.xml" Id="Rfb69371706934294" /></Relationships>
</file>

<file path=xl/worksheets/_rels/sheet4.xml.rels>&#65279;<?xml version="1.0" encoding="utf-8"?><Relationships xmlns="http://schemas.openxmlformats.org/package/2006/relationships"><Relationship Type="http://schemas.openxmlformats.org/officeDocument/2006/relationships/table" Target="/xl/tables/table3.xml" Id="Rda4ea9c63b734662" /></Relationships>
</file>

<file path=xl/worksheets/_rels/sheet5.xml.rels>&#65279;<?xml version="1.0" encoding="utf-8"?><Relationships xmlns="http://schemas.openxmlformats.org/package/2006/relationships"><Relationship Type="http://schemas.openxmlformats.org/officeDocument/2006/relationships/table" Target="/xl/tables/table4.xml" Id="R4971d0026e874ca3" /></Relationships>
</file>

<file path=xl/worksheets/_rels/sheet6.xml.rels>&#65279;<?xml version="1.0" encoding="utf-8"?><Relationships xmlns="http://schemas.openxmlformats.org/package/2006/relationships"><Relationship Type="http://schemas.openxmlformats.org/officeDocument/2006/relationships/table" Target="/xl/tables/table5.xml" Id="R5e68bac81a05459c" /></Relationships>
</file>

<file path=xl/worksheets/_rels/sheet7.xml.rels>&#65279;<?xml version="1.0" encoding="utf-8"?><Relationships xmlns="http://schemas.openxmlformats.org/package/2006/relationships"><Relationship Type="http://schemas.openxmlformats.org/officeDocument/2006/relationships/table" Target="/xl/tables/table6.xml" Id="Rd27ef405219c4739" /></Relationships>
</file>

<file path=xl/worksheets/_rels/sheet8.xml.rels>&#65279;<?xml version="1.0" encoding="utf-8"?><Relationships xmlns="http://schemas.openxmlformats.org/package/2006/relationships"><Relationship Type="http://schemas.openxmlformats.org/officeDocument/2006/relationships/table" Target="/xl/tables/table7.xml" Id="R0bfdd6213c724aa9" /></Relationships>
</file>

<file path=xl/worksheets/_rels/sheet9.xml.rels>&#65279;<?xml version="1.0" encoding="utf-8"?><Relationships xmlns="http://schemas.openxmlformats.org/package/2006/relationships"><Relationship Type="http://schemas.openxmlformats.org/officeDocument/2006/relationships/table" Target="/xl/tables/table8.xml" Id="Rcbace9b054c4424a" /></Relationships>
</file>

<file path=xl/worksheets/_rels/sheet10.xml.rels>&#65279;<?xml version="1.0" encoding="utf-8"?><Relationships xmlns="http://schemas.openxmlformats.org/package/2006/relationships"><Relationship Type="http://schemas.openxmlformats.org/officeDocument/2006/relationships/table" Target="/xl/tables/table9.xml" Id="Rf0293f2812cb4234" /></Relationships>
</file>

<file path=xl/worksheets/_rels/sheet11.xml.rels>&#65279;<?xml version="1.0" encoding="utf-8"?><Relationships xmlns="http://schemas.openxmlformats.org/package/2006/relationships"><Relationship Type="http://schemas.openxmlformats.org/officeDocument/2006/relationships/table" Target="/xl/tables/table10.xml" Id="R3d7551f5eb8343f2"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COUNTA('TODO'!A7:A47)</x:f>
        <x:v>41</x:v>
      </x:c>
      <x:c r="L6" s="43"/>
      <x:c r="M6" s="43"/>
      <x:c r="N6" s="44"/>
      <x:c r="O6" s="45" t="n">
        <x:f>COUNTIFS('TODO'!C7:C47,"Complete")</x:f>
        <x:v>17</x:v>
      </x:c>
      <x:c r="P6" s="46"/>
      <x:c r="Q6" s="46"/>
      <x:c r="R6" s="47"/>
      <x:c r="S6" s="35" t="n">
        <x:f>COUNTIFS('TODO'!C7:C47,"In Progress")</x:f>
        <x:v>3</x:v>
      </x:c>
      <x:c r="T6" s="36"/>
      <x:c r="U6" s="36"/>
      <x:c r="V6" s="37"/>
      <x:c r="W6" s="38" t="n">
        <x:f>COUNTIFS('TODO'!C7:C47,"At Risk")</x:f>
        <x:v>1</x:v>
      </x:c>
      <x:c r="X6" s="39"/>
      <x:c r="Y6" s="39"/>
      <x:c r="Z6" s="40"/>
      <x:c r="AA6" s="38" t="n">
        <x:f>COUNTIFS('TODO'!D7:D47,"P0")</x:f>
        <x:v>26</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COUNTA('Źródła'!A7:A79)</x:f>
        <x:v>73</x:v>
      </x:c>
      <x:c r="C7" s="59" t="str">
        <x:v>Obejmuje próbki, przegląd treści/dokumentacji, wskazania i blokady.</x:v>
      </x:c>
    </x:row>
    <x:row r="8" ht="30" customHeight="1">
      <x:c r="A8" s="59" t="str">
        <x:v>Zadania w rejestrze</x:v>
      </x:c>
      <x:c r="B8" s="59" t="n">
        <x:f>'Project Plan'!K6</x:f>
        <x:v>41</x:v>
      </x:c>
      <x:c r="C8" s="59" t="str">
        <x:v>Pełna lista, także zakończone i dalsze etapy.</x:v>
      </x:c>
    </x:row>
    <x:row r="9" ht="30" customHeight="1">
      <x:c r="A9" s="59" t="str">
        <x:v>Zakończone zadania</x:v>
      </x:c>
      <x:c r="B9" s="59" t="n">
        <x:f>'Project Plan'!O6</x:f>
        <x:v>17</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46282</x:v>
      </x:c>
      <x:c r="C12" s="59" t="str">
        <x:v>Data przeglądu źródeł; nie oznacza aktualnego stanu każdego dokumentu.</x:v>
      </x:c>
    </x:row>
    <x:row r="13" ht="38" customHeight="1">
      <x:c r="A13" s="59" t="str">
        <x:v>Potrzebne informacje</x:v>
      </x:c>
      <x:c r="B13" s="59" t="n">
        <x:v>16</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eefc85e6438f42bb"/>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dziesięć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46282</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80"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zatwierdzoną specyfikację oraz spójne przypisanie pól między schematem, przekrojami i zestawieniem szaf. Szczegóły w prywatnym uzupełnieniu przeglądu z 17.09.2026; nie przesyłać ponownie całego pakietu.</x:v>
      </x:c>
      <x:c r="H19" s="59" t="str">
        <x:v>Zachować niepewność, historię i ograniczony zakres wykorzystania.</x:v>
      </x:c>
      <x:c r="I19" s="59" t="str">
        <x:v>Użytkownik; autor opracowania lub projektant</x:v>
      </x:c>
      <x:c r="J19" s="60" t="n">
        <x:v>46282</x:v>
      </x:c>
      <x:c r="K19" s="59" t="str">
        <x:v>Rozmowa i przegląd materiałów otrzymanych 2026-09-16; docs/private_sources.md</x:v>
      </x:c>
      <x:c r="L19" s="59" t="str">
        <x:v>Nie otrzymano</x:v>
      </x:c>
    </x:row>
    <x:row r="20" ht="52" customHeight="1">
      <x:c r="A20" s="59" t="str">
        <x:v>NEED-014</x:v>
      </x:c>
      <x:c r="B20" s="59" t="str">
        <x:v>P1</x:v>
      </x:c>
      <x:c r="C20" s="59" t="str">
        <x:v>Zakres i odbiór wymiany transformatora w Radkowicach</x:v>
      </x:c>
      <x:c r="D20" s="59" t="str">
        <x:v>Do sprawdzenia</x:v>
      </x:c>
      <x:c r="E20" s="59" t="str">
        <x:v>Identyfikator jednostki i zadania, zakres odbioru oraz potwierdzona data załączenia. Wyjaśnienie lat 2023 i 2025 w publikacjach PSE.</x:v>
      </x:c>
      <x:c r="F20" s="59" t="str">
        <x:v>Rozdzielenie zakończenia robót, formalnego zamknięcia i eksploatacji; nadal bez automatycznej rezerwy MW.</x:v>
      </x:c>
      <x:c r="G20" s="59" t="str">
        <x:v>Jeżeli dostępne, dostarczyć potwierdzenie operatora lub protokół odbioru z oznaczeniem jednostki; nie ponawiać prośby o analizę wpływu.</x:v>
      </x:c>
      <x:c r="H20" s="59" t="str">
        <x:v>Zachować obie deklaracje, nie wybierać daty ani dodatkowej mocy.</x:v>
      </x:c>
      <x:c r="I20" s="59" t="str">
        <x:v>Użytkownik; PSE</x:v>
      </x:c>
      <x:c r="J20" s="60" t="n">
        <x:v>46282</x:v>
      </x:c>
      <x:c r="K20" s="59" t="str">
        <x:v>PSE_IMPACT_REPORT_2023; PSE_INVESTMENTS_RADK; docs/16_radkowice_public_followup.md</x:v>
      </x:c>
      <x:c r="L20" s="59" t="str">
        <x:v>Nie otrzymano</x:v>
      </x:c>
    </x:row>
    <x:row r="21" ht="52" customHeight="1">
      <x:c r="A21" s="59" t="str">
        <x:v>NEED-015</x:v>
      </x:c>
      <x:c r="B21" s="59" t="str">
        <x:v>P1</x:v>
      </x:c>
      <x:c r="C21" s="59" t="str">
        <x:v>Prawa i aktualność warstw GRID OZE</x:v>
      </x:c>
      <x:c r="D21" s="59" t="str">
        <x:v>Do sprawdzenia</x:v>
      </x:c>
      <x:c r="E21" s="59" t="str">
        <x:v>Licencja komercyjnego użycia i redystrybucji, paczki GPKG/SHP, zakres gmin, daty wejść, aktualizacja kryteriów i warunki API.</x:v>
      </x:c>
      <x:c r="F21" s="59" t="str">
        <x:v>Kontrolowana integracja źródła z aplikacją i raportami.</x:v>
      </x:c>
      <x:c r="G21" s="59" t="str">
        <x:v>Pozyskać opublikowane warunki lub odpowiedź właściciela. Nie wysłano wiadomości w imieniu użytkownika.</x:v>
      </x:c>
      <x:c r="H21" s="59" t="str">
        <x:v>Zachować źródło do badań i odnośników; nie włączać masowej redystrybucji ani stałego pobierania.</x:v>
      </x:c>
      <x:c r="I21" s="59" t="str">
        <x:v>UNEP/GRID-Warszawa; użytkownik może pomóc w kontakcie</x:v>
      </x:c>
      <x:c r="J21" s="60" t="n">
        <x:v>46282</x:v>
      </x:c>
      <x:c r="K21" s="59" t="str">
        <x:v>docs/19_oze_sources_review.md</x:v>
      </x:c>
      <x:c r="L21" s="59" t="str">
        <x:v>Nie otrzymano</x:v>
      </x:c>
    </x:row>
    <x:row r="22" ht="38" customHeight="1">
      <x:c r="A22" s="59" t="str">
        <x:v>NEED-016</x:v>
      </x:c>
      <x:c r="B22" s="59" t="str">
        <x:v>P1</x:v>
      </x:c>
      <x:c r="C22" s="59" t="str">
        <x:v>Prawa, aktualność i semantyka API EMP</x:v>
      </x:c>
      <x:c r="D22" s="59" t="str">
        <x:v>Do sprawdzenia</x:v>
      </x:c>
      <x:c r="E22" s="59" t="str">
        <x:v>Licencja bazy, warunki API i limity, cykl aktualizacji, jednostki wartości, definicje statusów i relacji rodzic-dziecko.</x:v>
      </x:c>
      <x:c r="F22" s="59" t="str">
        <x:v>Kontrolowana integracja źródła z aplikacją i raportami.</x:v>
      </x:c>
      <x:c r="G22" s="59" t="str">
        <x:v>Pozyskać opublikowane warunki lub odpowiedź właściciela. Nie wysłano wiadomości w imieniu użytkownika.</x:v>
      </x:c>
      <x:c r="H22" s="59" t="str">
        <x:v>Zachować źródło do badań i odnośników; nie włączać masowej redystrybucji ani stałego pobierania.</x:v>
      </x:c>
      <x:c r="I22" s="59" t="str">
        <x:v>Zespół EMP / KNE PW; użytkownik może pomóc w kontakcie</x:v>
      </x:c>
      <x:c r="J22" s="60" t="n">
        <x:v>46282</x:v>
      </x:c>
      <x:c r="K22" s="59" t="str">
        <x:v>docs/19_oze_sources_review.md</x:v>
      </x:c>
      <x:c r="L22" s="59" t="str">
        <x:v>Nie otrzymano</x:v>
      </x:c>
    </x:row>
  </x:sheetData>
  <x:pageMargins left="0.7" right="0.7" top="0.75" bottom="0.75" header="0.3" footer="0.3"/>
  <x:tableParts count="1">
    <x:tablePart xmlns:r="http://schemas.openxmlformats.org/officeDocument/2006/relationships" r:id="Rfb69371706934294"/>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52"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Rozpocząć od zachowanej próbki OSM Radkowic: normalizacja geometrii, ID, CRS, dat i atrybucji; relacje elektryczne pozostają odrębne. Patrz docs/08_roadmap.md.</x:v>
      </x:c>
      <x:c r="J26" s="59" t="str">
        <x:v>GetFeature/pakiety sprawdzone, poprawne CRS i geometrie; prawa i daty zachowane.</x:v>
      </x:c>
      <x:c r="K26" s="59" t="str">
        <x:v>Brak dodatkowej uwagi</x:v>
      </x:c>
      <x:c r="L26" s="60"/>
      <x:c r="M26" s="60"/>
      <x:c r="N26" s="59" t="str">
        <x:v>docs/01_data_research.md</x:v>
      </x:c>
    </x:row>
    <x:row r="27" ht="52"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Powiązać znane projekty z kartą stacji na podstawie dowodów; pokazać niepełne pokrycie operacyjnych, planowanych i oczekujących, bez zamiany braków na zero.</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52"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Po walidacji geometrii dodać mapę dowodów do istniejącej aplikacji: źródła i status relacji, bez awansu przecięć do połączeń.</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52"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Rozwijać scenariusze udokumentowanych inwestycji i terminów; nie przypisywać automatycznego przyrostu MW. Trasy wymagają osobnej warstwy ograniczeń.</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schematów i etapów, rozstrzygnąć rewizje oraz przypisania pól (NEED-013). Nie przenosić relacji projektowych do bieżącego modelu bez dowodu wykonania.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94"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Weryfikować pierwotne publikacje i legendy, w tym kolejkę linków z rejestru inwestycji; rozstrzygnąć powiązania, rozbieżności eksportów i prawa wykorzystania. Historyczne rekordy nie stanowią aktualnej bazy infrastruktury.</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
scripts/compare_private_gis_tables.py
tests/test_gis_tables.py
connectors/gis/compound_groups.py
scripts/review_private_gis_groups.py
tests/test_compound_groups.py</x:v>
      </x:c>
    </x:row>
    <x:row r="43" ht="66" customHeight="1">
      <x:c r="A43" s="59" t="str">
        <x:v>KSE-037</x:v>
      </x:c>
      <x:c r="B43" s="59" t="str">
        <x:v>Rozbieżności dat inwestycji PSE w ocenie pilota</x:v>
      </x:c>
      <x:c r="C43" s="59" t="str">
        <x:v>Complete</x:v>
      </x:c>
      <x:c r="D43" s="59" t="str">
        <x:v>P0</x:v>
      </x:c>
      <x:c r="E43" s="59" t="str">
        <x:v>Data quality</x:v>
      </x:c>
      <x:c r="F43" s="59" t="str">
        <x:v>Codex</x:v>
      </x:c>
      <x:c r="G43" s="59" t="str">
        <x:v>KSE-034</x:v>
      </x:c>
      <x:c r="H43" s="59" t="str">
        <x:v>Brak</x:v>
      </x:c>
      <x:c r="I43" s="59" t="str">
        <x:v>Wyjaśnić zakres i odbiór zadania — NEED-014; rozszerzać ewidencję inwestycji.</x:v>
      </x:c>
      <x:c r="J43" s="59" t="str">
        <x:v>Oba publiczne snapshoty zachowane, ekstrakcja z testami, jawna rozbieżność w API i ocenie, bez automatycznego wybrania daty i mocy.</x:v>
      </x:c>
      <x:c r="K43" s="59" t="str">
        <x:v>Tożsamość zakresu i data fizycznego załączenia nadal nieustalone.</x:v>
      </x:c>
      <x:c r="L43" s="60"/>
      <x:c r="M43" s="60" t="n">
        <x:v>46282</x:v>
      </x:c>
      <x:c r="N43" s="59" t="str">
        <x:v>docs/16_radkowice_public_followup.md
connectors/pse/investment_dates.py
scripts/build_radkowice_investment_review.py
tests/test_pse_investment_dates.py
tests/test_local_app.py</x:v>
      </x:c>
    </x:row>
    <x:row r="44" ht="52" customHeight="1">
      <x:c r="A44" s="59" t="str">
        <x:v>KSE-038</x:v>
      </x:c>
      <x:c r="B44" s="59" t="str">
        <x:v>Historyczny rejestr wpisów o inwestycjach z GIS</x:v>
      </x:c>
      <x:c r="C44" s="59" t="str">
        <x:v>Complete</x:v>
      </x:c>
      <x:c r="D44" s="59" t="str">
        <x:v>P1</x:v>
      </x:c>
      <x:c r="E44" s="59" t="str">
        <x:v>Data quality</x:v>
      </x:c>
      <x:c r="F44" s="59" t="str">
        <x:v>Codex</x:v>
      </x:c>
      <x:c r="G44" s="59" t="str">
        <x:v>KSE-035</x:v>
      </x:c>
      <x:c r="H44" s="59" t="str">
        <x:v>Brak</x:v>
      </x:c>
      <x:c r="I44" s="59" t="str">
        <x:v>Weryfikować publikacje pierwotne z prywatnej kolejki; powiązania i bieżący status wymagają osobnych dowodów.</x:v>
      </x:c>
      <x:c r="J44" s="59" t="str">
        <x:v>Wersjonowany prywatny wynik, stabilne identyfikatory wpisów, oryginalne atrybuty i hashe; brak awansu planowanej daty do stanu istniejącego.</x:v>
      </x:c>
      <x:c r="K44" s="59" t="str">
        <x:v>Rekordy nie są unikalnymi inwestycjami. Linki z kompilacji nie zostały zbiorczo zweryfikowane; nieznane prawa i aktualność pozostają otwarte.</x:v>
      </x:c>
      <x:c r="L44" s="60"/>
      <x:c r="M44" s="60" t="n">
        <x:v>46282</x:v>
      </x:c>
      <x:c r="N44" s="59" t="str">
        <x:v>docs/private_sources.md
connectors/gis/historical_investments.py
scripts/normalize_private_gis_investments.py
tests/test_historical_gis_investments.py</x:v>
      </x:c>
    </x:row>
    <x:row r="45" ht="66" customHeight="1">
      <x:c r="A45" s="59" t="str">
        <x:v>KSE-039</x:v>
      </x:c>
      <x:c r="B45" s="59" t="str">
        <x:v>Projekt PRSP po konsultacjach: dowody inwestycji w pilocie</x:v>
      </x:c>
      <x:c r="C45" s="59" t="str">
        <x:v>Complete</x:v>
      </x:c>
      <x:c r="D45" s="59" t="str">
        <x:v>P1</x:v>
      </x:c>
      <x:c r="E45" s="59" t="str">
        <x:v>Data quality</x:v>
      </x:c>
      <x:c r="F45" s="59" t="str">
        <x:v>Codex</x:v>
      </x:c>
      <x:c r="G45" s="59" t="str">
        <x:v>KSE-034</x:v>
      </x:c>
      <x:c r="H45" s="59" t="str">
        <x:v>Brak</x:v>
      </x:c>
      <x:c r="I45" s="59" t="str">
        <x:v>Zweryfikować późniejsze wersje i rzeczywiste wykonanie; rozwijać powiązania bez automatycznego łączenia zakresów.</x:v>
      </x:c>
      <x:c r="J45" s="59" t="str">
        <x:v>Oryginalny PDF i archiwum, dwa sprawdzone wiersze z parserem i testami, jawne daty oraz ograniczenia w aplikacji i eksporcie.</x:v>
      </x:c>
      <x:c r="K45" s="59" t="str">
        <x:v>Projekt planu nie potwierdza uzgodnienia, załączenia ani dodatkowych dostępnych MW.</x:v>
      </x:c>
      <x:c r="L45" s="60"/>
      <x:c r="M45" s="60" t="n">
        <x:v>46282</x:v>
      </x:c>
      <x:c r="N45" s="59" t="str">
        <x:v>docs/16_radkowice_public_followup.md
connectors/pse/development_plan.py
scripts/build_radkowice_development_plan.py
tests/test_pse_development_plan.py
tests/test_local_app.py</x:v>
      </x:c>
    </x:row>
    <x:row r="46" ht="66" customHeight="1">
      <x:c r="A46" s="59" t="str">
        <x:v>KSE-040</x:v>
      </x:c>
      <x:c r="B46" s="59" t="str">
        <x:v>Audyt przydatności GIS i rzeczywistej próbki OSM Radkowic</x:v>
      </x:c>
      <x:c r="C46" s="59" t="str">
        <x:v>Complete</x:v>
      </x:c>
      <x:c r="D46" s="59" t="str">
        <x:v>P1</x:v>
      </x:c>
      <x:c r="E46" s="59" t="str">
        <x:v>Data quality</x:v>
      </x:c>
      <x:c r="F46" s="59" t="str">
        <x:v>Codex</x:v>
      </x:c>
      <x:c r="G46" s="59" t="str">
        <x:v>Brak</x:v>
      </x:c>
      <x:c r="H46" s="59" t="str">
        <x:v>Brak</x:v>
      </x:c>
      <x:c r="I46" s="59" t="str">
        <x:v>Pozyskać regionalną geometrię OSM i zweryfikować kandydatów połączeń z dokumentami operatorów.</x:v>
      </x:c>
      <x:c r="J46" s="59" t="str">
        <x:v>Prywatna kompilacja odseparowana, publiczna próbka OSM z hashami i wersjami, selekcja przestrzenna przetestowana, brak awansu geometrii do potwierdzonej topologii.</x:v>
      </x:c>
      <x:c r="K46" s="59" t="str">
        <x:v>OSM nie potwierdza kompletności, własności urządzeń, układu pracy ani wolnej mocy.</x:v>
      </x:c>
      <x:c r="L46" s="60"/>
      <x:c r="M46" s="60" t="n">
        <x:v>46282</x:v>
      </x:c>
      <x:c r="N46" s="59" t="str">
        <x:v>docs/18_gis_osm_integration.md
connectors/gis/discovery.py
connectors/gis/osm_station.py
tests/test_gis_discovery.py
tests/test_osm_station.py
data/catalog/osm_radkowice_archive_2026-09-17.json</x:v>
      </x:c>
    </x:row>
    <x:row r="47" ht="38" customHeight="1">
      <x:c r="A47" s="59" t="str">
        <x:v>KSE-041</x:v>
      </x:c>
      <x:c r="B47" s="59" t="str">
        <x:v>Weryfikacja źródeł GRID OZE i Energetycznej Mapy Polski</x:v>
      </x:c>
      <x:c r="C47" s="59" t="str">
        <x:v>Complete</x:v>
      </x:c>
      <x:c r="D47" s="59" t="str">
        <x:v>P1</x:v>
      </x:c>
      <x:c r="E47" s="59" t="str">
        <x:v>Research</x:v>
      </x:c>
      <x:c r="F47" s="59" t="str">
        <x:v>Codex</x:v>
      </x:c>
      <x:c r="G47" s="59" t="str">
        <x:v>Brak</x:v>
      </x:c>
      <x:c r="H47" s="59" t="str">
        <x:v>Brak</x:v>
      </x:c>
      <x:c r="I47" s="59" t="str">
        <x:v>Wyjaśnić NEED-015/016; przetestować krajowe usługi GUGiK dla obszaru pilota przed integracją.</x:v>
      </x:c>
      <x:c r="J47" s="59" t="str">
        <x:v>Źródła opisane wraz z datami, interfejsami, próbkami, ograniczeniami i nierozstrzygniętymi prawami; archiwum z hashami.</x:v>
      </x:c>
      <x:c r="K47" s="59" t="str">
        <x:v>Dostęp techniczny nie oznacza prawa redystrybucji; brak danych o rezerwie przyłączeniowej.</x:v>
      </x:c>
      <x:c r="L47" s="60"/>
      <x:c r="M47" s="60" t="n">
        <x:v>46282</x:v>
      </x:c>
      <x:c r="N47" s="59" t="str">
        <x:v>docs/19_oze_sources_review.md
data/catalog/oze_archive_2026-09-17.json</x:v>
      </x:c>
    </x:row>
  </x:sheetData>
  <x:conditionalFormatting sqref="C7:C47">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7">
      <x:formula1>"Not Started,In Progress,At Risk,Complete"</x:formula1>
    </x:dataValidation>
  </x:dataValidations>
  <x:pageMargins left="0.7" right="0.7" top="0.75" bottom="0.75" header="0.3" footer="0.3"/>
  <x:tableParts count="1">
    <x:tablePart xmlns:r="http://schemas.openxmlformats.org/officeDocument/2006/relationships" r:id="Rda4ea9c63b734662"/>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4971d0026e874ca3"/>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GRID_OZE_REPORT</x:v>
      </x:c>
      <x:c r="B63" s="59" t="str">
        <x:v>Mamy przestrzeń dla OZE — raport metodyczny</x:v>
      </x:c>
      <x:c r="C63" s="59" t="str">
        <x:v>NOT_AN_OPERATOR</x:v>
      </x:c>
      <x:c r="D63" s="59" t="str">
        <x:v>spatial_methodology</x:v>
      </x:c>
      <x:c r="E63" s="59" t="str">
        <x:v>CONTENT_REVIEWED</x:v>
      </x:c>
      <x:c r="F63" s="60" t="n">
        <x:v>46282</x:v>
      </x:c>
      <x:c r="G63" s="59" t="str">
        <x:v>NO — dokument</x:v>
      </x:c>
      <x:c r="H63" s="59" t="str">
        <x:v>NO — dokument</x:v>
      </x:c>
      <x:c r="I63" s="59" t="str">
        <x:v>UNKNOWN</x:v>
      </x:c>
      <x:c r="J63" s="59" t="str">
        <x:v>P1</x:v>
      </x:c>
    </x:row>
    <x:row r="64" ht="38" customHeight="1">
      <x:c r="A64" s="59" t="str">
        <x:v>GRID_OZE_PORTAL</x:v>
      </x:c>
      <x:c r="B64" s="59" t="str">
        <x:v>Geoportal OZE GRID — ArcGIS WebMap i FeatureServer</x:v>
      </x:c>
      <x:c r="C64" s="59" t="str">
        <x:v>NOT_AN_OPERATOR</x:v>
      </x:c>
      <x:c r="D64" s="59" t="str">
        <x:v>spatial_screening</x:v>
      </x:c>
      <x:c r="E64" s="59" t="str">
        <x:v>SAMPLE_VERIFIED</x:v>
      </x:c>
      <x:c r="F64" s="60" t="n">
        <x:v>46282</x:v>
      </x:c>
      <x:c r="G64" s="59" t="str">
        <x:v>YES — odczyt metadanych i query bez konta</x:v>
      </x:c>
      <x:c r="H64" s="59" t="str">
        <x:v>YES — ArcGIS REST FeatureServer</x:v>
      </x:c>
      <x:c r="I64" s="59" t="str">
        <x:v>UNKNOWN</x:v>
      </x:c>
      <x:c r="J64" s="59" t="str">
        <x:v>P1</x:v>
      </x:c>
    </x:row>
    <x:row r="65" ht="38" customHeight="1">
      <x:c r="A65" s="59" t="str">
        <x:v>EMP_PW</x:v>
      </x:c>
      <x:c r="B65" s="59" t="str">
        <x:v>Energetyczna Mapa Polski — katalog źródeł wytwórczych</x:v>
      </x:c>
      <x:c r="C65" s="59" t="str">
        <x:v>NOT_AN_OPERATOR</x:v>
      </x:c>
      <x:c r="D65" s="59" t="str">
        <x:v>generation_asset_discovery</x:v>
      </x:c>
      <x:c r="E65" s="59" t="str">
        <x:v>SAMPLE_VERIFIED</x:v>
      </x:c>
      <x:c r="F65" s="60" t="n">
        <x:v>46282</x:v>
      </x:c>
      <x:c r="G65" s="59" t="str">
        <x:v>YES — GET /api/v1/units odczytane bez konta</x:v>
      </x:c>
      <x:c r="H65" s="59" t="str">
        <x:v>UNKNOWN — współrzędne w JSON; WMS/WFS nie potwierdzono</x:v>
      </x:c>
      <x:c r="I65" s="59" t="str">
        <x:v>UNKNOWN</x:v>
      </x:c>
      <x:c r="J65" s="59" t="str">
        <x:v>P1</x:v>
      </x:c>
    </x:row>
    <x:row r="66" ht="38" customHeight="1">
      <x:c r="A66" s="59" t="str">
        <x:v>GUGIK_OZE_DETAIL_2026</x:v>
      </x:c>
      <x:c r="B66" s="59" t="str">
        <x:v>Geoportal krajowy — szczegółowe usługi potencjału OZE</x:v>
      </x:c>
      <x:c r="C66" s="59" t="str">
        <x:v>NOT_AN_OPERATOR</x:v>
      </x:c>
      <x:c r="D66" s="59" t="str">
        <x:v>spatial_potential</x:v>
      </x:c>
      <x:c r="E66" s="59" t="str">
        <x:v>CONTENT_REVIEWED</x:v>
      </x:c>
      <x:c r="F66" s="60" t="n">
        <x:v>46282</x:v>
      </x:c>
      <x:c r="G66" s="59" t="str">
        <x:v>UNKNOWN</x:v>
      </x:c>
      <x:c r="H66" s="59" t="str">
        <x:v>YES — WMS ogłoszone; endpointów nie przetestowano</x:v>
      </x:c>
      <x:c r="I66" s="59" t="str">
        <x:v>UNKNOWN</x:v>
      </x:c>
      <x:c r="J66" s="59" t="str">
        <x:v>P1</x:v>
      </x:c>
    </x:row>
    <x:row r="67" ht="30" customHeight="1">
      <x:c r="A67" s="59" t="str">
        <x:v>PSE_INVESTMENTS_RADK</x:v>
      </x:c>
      <x:c r="B67" s="59" t="str">
        <x:v>Portal inwestycji PSE — sekcja Radkowice</x:v>
      </x:c>
      <x:c r="C67" s="59" t="str">
        <x:v>PSE</x:v>
      </x:c>
      <x:c r="D67" s="59" t="str">
        <x:v>grid_investments</x:v>
      </x:c>
      <x:c r="E67" s="59" t="str">
        <x:v>CONTENT_REVIEWED</x:v>
      </x:c>
      <x:c r="F67" s="60" t="n">
        <x:v>46282</x:v>
      </x:c>
      <x:c r="G67" s="59" t="str">
        <x:v>UNKNOWN</x:v>
      </x:c>
      <x:c r="H67" s="59" t="str">
        <x:v>UNKNOWN</x:v>
      </x:c>
      <x:c r="I67" s="59" t="str">
        <x:v>UNKNOWN</x:v>
      </x:c>
      <x:c r="J67" s="59" t="str">
        <x:v>P0</x:v>
      </x:c>
    </x:row>
    <x:row r="68" ht="38" customHeight="1">
      <x:c r="A68" s="59" t="str">
        <x:v>CHECINY_ENERGY_PLAN</x:v>
      </x:c>
      <x:c r="B68" s="59" t="str">
        <x:v>BIP Chęcin — założenia energetyczne 2025–2027 z perspektywą 2040</x:v>
      </x:c>
      <x:c r="C68" s="59" t="str">
        <x:v>PSE / PGE — informacje przypisane w dokumencie gminy</x:v>
      </x:c>
      <x:c r="D68" s="59" t="str">
        <x:v>local_grid_and_investments</x:v>
      </x:c>
      <x:c r="E68" s="59" t="str">
        <x:v>CONTENT_REVIEWED</x:v>
      </x:c>
      <x:c r="F68" s="60" t="n">
        <x:v>46276</x:v>
      </x:c>
      <x:c r="G68" s="59" t="str">
        <x:v>UNKNOWN</x:v>
      </x:c>
      <x:c r="H68" s="59" t="str">
        <x:v>UNKNOWN</x:v>
      </x:c>
      <x:c r="I68" s="59" t="str">
        <x:v>UNKNOWN</x:v>
      </x:c>
      <x:c r="J68" s="59" t="str">
        <x:v>P0</x:v>
      </x:c>
    </x:row>
    <x:row r="69" ht="30" customHeight="1">
      <x:c r="A69" s="59" t="str">
        <x:v>PSE_TARIFF_2026</x:v>
      </x:c>
      <x:c r="B69" s="59" t="str">
        <x:v>Taryfa PSE 2026 — odbiorcy i miejsca dostarczania</x:v>
      </x:c>
      <x:c r="C69" s="59" t="str">
        <x:v>PSE</x:v>
      </x:c>
      <x:c r="D69" s="59" t="str">
        <x:v>operator_delivery_points</x:v>
      </x:c>
      <x:c r="E69" s="59" t="str">
        <x:v>CONTENT_REVIEWED</x:v>
      </x:c>
      <x:c r="F69" s="60" t="n">
        <x:v>46276</x:v>
      </x:c>
      <x:c r="G69" s="59" t="str">
        <x:v>UNKNOWN</x:v>
      </x:c>
      <x:c r="H69" s="59" t="str">
        <x:v>UNKNOWN</x:v>
      </x:c>
      <x:c r="I69" s="59" t="str">
        <x:v>UNKNOWN</x:v>
      </x:c>
      <x:c r="J69" s="59" t="str">
        <x:v>P0</x:v>
      </x:c>
    </x:row>
    <x:row r="70" ht="30" customHeight="1">
      <x:c r="A70" s="59" t="str">
        <x:v>PGE_RADK_CAPACITY_ATTEMPT</x:v>
      </x:c>
      <x:c r="B70" s="59" t="str">
        <x:v>Próba dostępu do pliku mocy PGE I kw.2026</x:v>
      </x:c>
      <x:c r="C70" s="59" t="str">
        <x:v>PGE</x:v>
      </x:c>
      <x:c r="D70" s="59" t="str">
        <x:v>reported_connection_capacity</x:v>
      </x:c>
      <x:c r="E70" s="59" t="str">
        <x:v>BLOCKED</x:v>
      </x:c>
      <x:c r="F70" s="60" t="n">
        <x:v>46276</x:v>
      </x:c>
      <x:c r="G70" s="59" t="str">
        <x:v>UNKNOWN</x:v>
      </x:c>
      <x:c r="H70" s="59" t="str">
        <x:v>UNKNOWN</x:v>
      </x:c>
      <x:c r="I70" s="59" t="str">
        <x:v>UNKNOWN</x:v>
      </x:c>
      <x:c r="J70" s="59" t="str">
        <x:v>P0</x:v>
      </x:c>
    </x:row>
    <x:row r="71" ht="38" customHeight="1">
      <x:c r="A71" s="59" t="str">
        <x:v>SUW_RADK_WOLICA_3_2024</x:v>
      </x:c>
      <x:c r="B71" s="59" t="str">
        <x:v>Decyzja 3/2024 — przebudowa odcinka Radkowice–Wolica</x:v>
      </x:c>
      <x:c r="C71" s="59" t="str">
        <x:v>PGE Dystrybucja — wnioskodawca</x:v>
      </x:c>
      <x:c r="D71" s="59" t="str">
        <x:v>grid_investment_administrative_decision</x:v>
      </x:c>
      <x:c r="E71" s="59" t="str">
        <x:v>CONTENT_REVIEWED</x:v>
      </x:c>
      <x:c r="F71" s="60" t="n">
        <x:v>46276</x:v>
      </x:c>
      <x:c r="G71" s="59" t="str">
        <x:v>UNKNOWN</x:v>
      </x:c>
      <x:c r="H71" s="59" t="str">
        <x:v>UNKNOWN</x:v>
      </x:c>
      <x:c r="I71" s="59" t="str">
        <x:v>UNKNOWN</x:v>
      </x:c>
      <x:c r="J71" s="59" t="str">
        <x:v>P0</x:v>
      </x:c>
    </x:row>
    <x:row r="72" ht="38" customHeight="1">
      <x:c r="A72" s="59" t="str">
        <x:v>PSE_RADK_BRIDGE_NOTICE_2025</x:v>
      </x:c>
      <x:c r="B72" s="59" t="str">
        <x:v>PSE — ogłoszenie 205815-2025, pole 220 kV i most Radkowice</x:v>
      </x:c>
      <x:c r="C72" s="59" t="str">
        <x:v>PSE S.A.</x:v>
      </x:c>
      <x:c r="D72" s="59" t="str">
        <x:v>grid_investments</x:v>
      </x:c>
      <x:c r="E72" s="59" t="str">
        <x:v>CONTENT_REVIEWED</x:v>
      </x:c>
      <x:c r="F72" s="60" t="n">
        <x:v>46280</x:v>
      </x:c>
      <x:c r="G72" s="59" t="str">
        <x:v>UNKNOWN</x:v>
      </x:c>
      <x:c r="H72" s="59" t="str">
        <x:v>UNKNOWN</x:v>
      </x:c>
      <x:c r="I72" s="59" t="str">
        <x:v>UNKNOWN</x:v>
      </x:c>
      <x:c r="J72" s="59" t="str">
        <x:v>P0</x:v>
      </x:c>
    </x:row>
    <x:row r="73" ht="38" customHeight="1">
      <x:c r="A73" s="59" t="str">
        <x:v>RDOS_RADK_PIASKI_NOTICE_2025</x:v>
      </x:c>
      <x:c r="B73" s="59" t="str">
        <x:v>RDOŚ Kielce — obwieszczenie dotyczące Radkowice–Kielce Piaski</x:v>
      </x:c>
      <x:c r="C73" s="59" t="str">
        <x:v>RDOŚ Kielce</x:v>
      </x:c>
      <x:c r="D73" s="59" t="str">
        <x:v>grid_investments</x:v>
      </x:c>
      <x:c r="E73" s="59" t="str">
        <x:v>CONTENT_REVIEWED</x:v>
      </x:c>
      <x:c r="F73" s="60" t="n">
        <x:v>46280</x:v>
      </x:c>
      <x:c r="G73" s="59" t="str">
        <x:v>UNKNOWN</x:v>
      </x:c>
      <x:c r="H73" s="59" t="str">
        <x:v>UNKNOWN</x:v>
      </x:c>
      <x:c r="I73" s="59" t="str">
        <x:v>REQUIRES_PERMISSION_REVIEW</x:v>
      </x:c>
      <x:c r="J73" s="59" t="str">
        <x:v>P0</x:v>
      </x:c>
    </x:row>
    <x:row r="74" ht="38" customHeight="1">
      <x:c r="A74" s="59" t="str">
        <x:v>RDOS_RADK_PIASKI_DECISION_2025</x:v>
      </x:c>
      <x:c r="B74" s="59" t="str">
        <x:v>RDOŚ Kielce — pełna decyzja dla przebudowy linii Radkowice–Kielce Piaski</x:v>
      </x:c>
      <x:c r="C74" s="59" t="str">
        <x:v>RDOŚ Kielce</x:v>
      </x:c>
      <x:c r="D74" s="59" t="str">
        <x:v>grid_investments</x:v>
      </x:c>
      <x:c r="E74" s="59" t="str">
        <x:v>CONTENT_REVIEWED</x:v>
      </x:c>
      <x:c r="F74" s="60" t="n">
        <x:v>46280</x:v>
      </x:c>
      <x:c r="G74" s="59" t="str">
        <x:v>UNKNOWN</x:v>
      </x:c>
      <x:c r="H74" s="59" t="str">
        <x:v>UNKNOWN</x:v>
      </x:c>
      <x:c r="I74" s="59" t="str">
        <x:v>REQUIRES_PERMISSION_REVIEW</x:v>
      </x:c>
      <x:c r="J74" s="59" t="str">
        <x:v>P0</x:v>
      </x:c>
    </x:row>
    <x:row r="75" ht="30" customHeight="1">
      <x:c r="A75" s="59" t="str">
        <x:v>PSE_IMPACT_REPORT_2023</x:v>
      </x:c>
      <x:c r="B75" s="59" t="str">
        <x:v>PSE — raport wpływu za 2023 rok, edycja 2024</x:v>
      </x:c>
      <x:c r="C75" s="59" t="str">
        <x:v>PSE</x:v>
      </x:c>
      <x:c r="D75" s="59" t="str">
        <x:v>grid_investments</x:v>
      </x:c>
      <x:c r="E75" s="59" t="str">
        <x:v>CONTENT_REVIEWED</x:v>
      </x:c>
      <x:c r="F75" s="60" t="n">
        <x:v>46282</x:v>
      </x:c>
      <x:c r="G75" s="59" t="str">
        <x:v>UNKNOWN</x:v>
      </x:c>
      <x:c r="H75" s="59" t="str">
        <x:v>UNKNOWN</x:v>
      </x:c>
      <x:c r="I75" s="59" t="str">
        <x:v>UNKNOWN</x:v>
      </x:c>
      <x:c r="J75" s="59" t="str">
        <x:v>P0</x:v>
      </x:c>
    </x:row>
    <x:row r="76" ht="38" customHeight="1">
      <x:c r="A76" s="59" t="str">
        <x:v>PSE_PRSP_2027_2036_POST_CONSULTATION</x:v>
      </x:c>
      <x:c r="B76" s="59" t="str">
        <x:v>Projekt PRSP 2027–2036 po konsultacjach — kwiecień 2026</x:v>
      </x:c>
      <x:c r="C76" s="59" t="str">
        <x:v>PSE</x:v>
      </x:c>
      <x:c r="D76" s="59" t="str">
        <x:v>grid_investments</x:v>
      </x:c>
      <x:c r="E76" s="59" t="str">
        <x:v>CONTENT_REVIEWED</x:v>
      </x:c>
      <x:c r="F76" s="60" t="n">
        <x:v>46282</x:v>
      </x:c>
      <x:c r="G76" s="59" t="str">
        <x:v>UNKNOWN</x:v>
      </x:c>
      <x:c r="H76" s="59" t="str">
        <x:v>UNKNOWN</x:v>
      </x:c>
      <x:c r="I76" s="59" t="str">
        <x:v>UNKNOWN</x:v>
      </x:c>
      <x:c r="J76" s="59" t="str">
        <x:v>P0</x:v>
      </x:c>
    </x:row>
    <x:row r="77" ht="52" customHeight="1">
      <x:c r="A77" s="59" t="str">
        <x:v>EBIN_ELECTRICITY</x:v>
      </x:c>
      <x:c r="B77" s="59" t="str">
        <x:v>ebin.josm.pl — mapa sieci i konfiguracja warstw</x:v>
      </x:c>
      <x:c r="C77" s="59" t="str">
        <x:v>Community map — not grid operator</x:v>
      </x:c>
      <x:c r="D77" s="59" t="str">
        <x:v>community_grid_geometry</x:v>
      </x:c>
      <x:c r="E77" s="59" t="str">
        <x:v>CONTENT_REVIEWED</x:v>
      </x:c>
      <x:c r="F77" s="60" t="n">
        <x:v>46282</x:v>
      </x:c>
      <x:c r="G77" s="59" t="str">
        <x:v>TileJSON/vector tiles; no bulk service permission established</x:v>
      </x:c>
      <x:c r="H77" s="59" t="str">
        <x:v>YES</x:v>
      </x:c>
      <x:c r="I77" s="59" t="str">
        <x:v>CONDITIONAL — ODbL attribution and applicable database obligations; service terms separate</x:v>
      </x:c>
      <x:c r="J77" s="59" t="str">
        <x:v>P0</x:v>
      </x:c>
    </x:row>
    <x:row r="78" ht="52" customHeight="1">
      <x:c r="A78" s="59" t="str">
        <x:v>OSM_RADK_STATION_OBJECT</x:v>
      </x:c>
      <x:c r="B78" s="59" t="str">
        <x:v>OSM — obiekt stacji Radkowice, way 199098055</x:v>
      </x:c>
      <x:c r="C78" s="59" t="str">
        <x:v>Community map — not grid operator</x:v>
      </x:c>
      <x:c r="D78" s="59" t="str">
        <x:v>community_grid_geometry</x:v>
      </x:c>
      <x:c r="E78" s="59" t="str">
        <x:v>SAMPLE_VERIFIED</x:v>
      </x:c>
      <x:c r="F78" s="60" t="n">
        <x:v>46282</x:v>
      </x:c>
      <x:c r="G78" s="59" t="str">
        <x:v>YES — OSM read API</x:v>
      </x:c>
      <x:c r="H78" s="59" t="str">
        <x:v>YES</x:v>
      </x:c>
      <x:c r="I78" s="59" t="str">
        <x:v>CONDITIONAL — ODbL attribution and applicable database obligations; service terms separate</x:v>
      </x:c>
      <x:c r="J78" s="59" t="str">
        <x:v>P0</x:v>
      </x:c>
    </x:row>
    <x:row r="79" ht="52" customHeight="1">
      <x:c r="A79" s="59" t="str">
        <x:v>OSM_RADK_STATION_AREA</x:v>
      </x:c>
      <x:c r="B79" s="59" t="str">
        <x:v>OSM — próbka obszaru stacji Radkowice</x:v>
      </x:c>
      <x:c r="C79" s="59" t="str">
        <x:v>Community map — not grid operator</x:v>
      </x:c>
      <x:c r="D79" s="59" t="str">
        <x:v>community_grid_geometry</x:v>
      </x:c>
      <x:c r="E79" s="59" t="str">
        <x:v>SAMPLE_VERIFIED</x:v>
      </x:c>
      <x:c r="F79" s="60" t="n">
        <x:v>46282</x:v>
      </x:c>
      <x:c r="G79" s="59" t="str">
        <x:v>YES — OSM read API</x:v>
      </x:c>
      <x:c r="H79" s="59" t="str">
        <x:v>YES</x:v>
      </x:c>
      <x:c r="I79" s="59" t="str">
        <x:v>CONDITIONAL — ODbL attribution and applicable database obligations; service terms separate</x:v>
      </x:c>
      <x:c r="J79" s="59" t="str">
        <x:v>P0</x:v>
      </x:c>
    </x:row>
  </x:sheetData>
  <x:pageMargins left="0.7" right="0.7" top="0.75" bottom="0.75" header="0.3" footer="0.3"/>
  <x:tableParts count="1">
    <x:tablePart xmlns:r="http://schemas.openxmlformats.org/officeDocument/2006/relationships" r:id="R5e68bac81a05459c"/>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GRID_OZE_REPORT</x:v>
      </x:c>
      <x:c r="B2425" s="59" t="str">
        <x:v>country</x:v>
      </x:c>
      <x:c r="C2425" s="59" t="str">
        <x:v>PL</x:v>
      </x:c>
    </x:row>
    <x:row r="2426" ht="30" customHeight="1">
      <x:c r="A2426" s="59" t="str">
        <x:v>GRID_OZE_REPORT</x:v>
      </x:c>
      <x:c r="B2426" s="59" t="str">
        <x:v>geographical_scope</x:v>
      </x:c>
      <x:c r="C2426" s="59" t="str">
        <x:v>Zakres publikacji danego operatora/instytucji; nie założono pełnego pokrycia kraju.</x:v>
      </x:c>
    </x:row>
    <x:row r="2427" ht="30" customHeight="1">
      <x:c r="A2427" s="59" t="str">
        <x:v>GRID_OZE_REPORT</x:v>
      </x:c>
      <x:c r="B2427" s="59" t="str">
        <x:v>grid_voltage</x:v>
      </x:c>
      <x:c r="C2427" s="59" t="str">
        <x:v>[ "UNKNOWN_OR_NOT_APPLICABLE" ]</x:v>
      </x:c>
    </x:row>
    <x:row r="2428" ht="30" customHeight="1">
      <x:c r="A2428" s="59" t="str">
        <x:v>GRID_OZE_REPORT</x:v>
      </x:c>
      <x:c r="B2428" s="59" t="str">
        <x:v>api_available</x:v>
      </x:c>
      <x:c r="C2428" s="59" t="str">
        <x:v>NO — dokument</x:v>
      </x:c>
    </x:row>
    <x:row r="2429" ht="30" customHeight="1">
      <x:c r="A2429" s="59" t="str">
        <x:v>GRID_OZE_REPORT</x:v>
      </x:c>
      <x:c r="B2429" s="59" t="str">
        <x:v>gis_available</x:v>
      </x:c>
      <x:c r="C2429" s="59" t="str">
        <x:v>NO — dokument</x:v>
      </x:c>
    </x:row>
    <x:row r="2430" ht="30" customHeight="1">
      <x:c r="A2430" s="59" t="str">
        <x:v>GRID_OZE_REPORT</x:v>
      </x:c>
      <x:c r="B2430" s="59" t="str">
        <x:v>update_frequency</x:v>
      </x:c>
      <x:c r="C2430" s="59" t="str">
        <x:v>UNKNOWN — nie ustalono gwarantowanego cyklu publikacji.</x:v>
      </x:c>
    </x:row>
    <x:row r="2431" ht="30" customHeight="1">
      <x:c r="A2431" s="59" t="str">
        <x:v>GRID_OZE_REPORT</x:v>
      </x:c>
      <x:c r="B2431" s="59" t="str">
        <x:v>historical_data</x:v>
      </x:c>
      <x:c r="C2431" s="59" t="str">
        <x:v>UNKNOWN — własne snapshoty od 10.09.2026, jeśli zapisano próbkę.</x:v>
      </x:c>
    </x:row>
    <x:row r="2432" ht="30" customHeight="1">
      <x:c r="A2432" s="59" t="str">
        <x:v>GRID_OZE_REPORT</x:v>
      </x:c>
      <x:c r="B2432" s="59" t="str">
        <x:v>authentication</x:v>
      </x:c>
      <x:c r="C2432" s="59" t="str">
        <x:v>Odczyt publicznej strony bez konta; nie dowodzi dostępu do wszystkich danych.</x:v>
      </x:c>
    </x:row>
    <x:row r="2433" ht="30" customHeight="1">
      <x:c r="A2433" s="59" t="str">
        <x:v>GRID_OZE_REPORT</x:v>
      </x:c>
      <x:c r="B2433" s="59" t="str">
        <x:v>license</x:v>
      </x:c>
      <x:c r="C2433" s="59" t="str">
        <x:v>UNKNOWN — nie potwierdzono licencji ponownego użycia</x:v>
      </x:c>
    </x:row>
    <x:row r="2434" ht="30" customHeight="1">
      <x:c r="A2434" s="59" t="str">
        <x:v>GRID_OZE_REPORT</x:v>
      </x:c>
      <x:c r="B2434" s="59" t="str">
        <x:v>license_url</x:v>
      </x:c>
      <x:c r="C2434" s="59" t="str">
        <x:v>UNKNOWN — nie ustalono</x:v>
      </x:c>
    </x:row>
    <x:row r="2435" ht="30" customHeight="1">
      <x:c r="A2435" s="59" t="str">
        <x:v>GRID_OZE_REPORT</x:v>
      </x:c>
      <x:c r="B2435" s="59" t="str">
        <x:v>commercial_use</x:v>
      </x:c>
      <x:c r="C2435" s="59" t="str">
        <x:v>UNKNOWN</x:v>
      </x:c>
    </x:row>
    <x:row r="2436" ht="30" customHeight="1">
      <x:c r="A2436" s="59" t="str">
        <x:v>GRID_OZE_REPORT</x:v>
      </x:c>
      <x:c r="B2436" s="59" t="str">
        <x:v>machine_readable</x:v>
      </x:c>
      <x:c r="C2436" s="59" t="str">
        <x:v>PARTIAL</x:v>
      </x:c>
    </x:row>
    <x:row r="2437" ht="30" customHeight="1">
      <x:c r="A2437" s="59" t="str">
        <x:v>GRID_OZE_REPORT</x:v>
      </x:c>
      <x:c r="B2437" s="59" t="str">
        <x:v>scraping_required</x:v>
      </x:c>
      <x:c r="C2437" s="59" t="str">
        <x:v>NO — preferować wskazane API lub plik; brak wdrożenia</x:v>
      </x:c>
    </x:row>
    <x:row r="2438" ht="30" customHeight="1">
      <x:c r="A2438" s="59" t="str">
        <x:v>GRID_OZE_REPORT</x:v>
      </x:c>
      <x:c r="B2438" s="59" t="str">
        <x:v>data_quality_score</x:v>
      </x:c>
      <x:c r="C2438" s="59" t="str">
        <x:v>UNKNOWN — nie ustalono</x:v>
      </x:c>
    </x:row>
    <x:row r="2439" ht="30" customHeight="1">
      <x:c r="A2439" s="59" t="str">
        <x:v>GRID_OZE_REPORT</x:v>
      </x:c>
      <x:c r="B2439" s="59" t="str">
        <x:v>quality_score_status</x:v>
      </x:c>
      <x:c r="C2439" s="59" t="str">
        <x:v>NOT_CALIBRATED — autorytet źródła nie jest procentem kompletności lub trafności.</x:v>
      </x:c>
    </x:row>
    <x:row r="2440" ht="30" customHeight="1">
      <x:c r="A2440" s="59" t="str">
        <x:v>GRID_OZE_REPORT</x:v>
      </x:c>
      <x:c r="B2440" s="59" t="str">
        <x:v>last_verified</x:v>
      </x:c>
      <x:c r="C2440" s="60" t="n">
        <x:v>46282</x:v>
      </x:c>
    </x:row>
    <x:row r="2441" ht="30" customHeight="1">
      <x:c r="A2441" s="59" t="str">
        <x:v>GRID_OZE_REPORT</x:v>
      </x:c>
      <x:c r="B2441" s="59" t="str">
        <x:v>last_successful_verification</x:v>
      </x:c>
      <x:c r="C2441" s="60" t="n">
        <x:v>46282</x:v>
      </x:c>
    </x:row>
    <x:row r="2442" ht="30" customHeight="1">
      <x:c r="A2442" s="59" t="str">
        <x:v>GRID_OZE_REPORT</x:v>
      </x:c>
      <x:c r="B2442" s="59" t="str">
        <x:v>source_date</x:v>
      </x:c>
      <x:c r="C2442" s="59" t="str">
        <x:v>UNKNOWN — nie ustalono</x:v>
      </x:c>
    </x:row>
    <x:row r="2443" ht="30" customHeight="1">
      <x:c r="A2443" s="59" t="str">
        <x:v>GRID_OZE_REPORT</x:v>
      </x:c>
      <x:c r="B2443" s="59" t="str">
        <x:v>publication_date</x:v>
      </x:c>
      <x:c r="C2443" s="59" t="str">
        <x:v>UNKNOWN — nie ustalono</x:v>
      </x:c>
    </x:row>
    <x:row r="2444" ht="30" customHeight="1">
      <x:c r="A2444" s="59" t="str">
        <x:v>GRID_OZE_REPORT</x:v>
      </x:c>
      <x:c r="B2444" s="59" t="str">
        <x:v>source_version</x:v>
      </x:c>
      <x:c r="C2444" s="59" t="str">
        <x:v>UNKNOWN — nie ustalono</x:v>
      </x:c>
    </x:row>
    <x:row r="2445" ht="30" customHeight="1">
      <x:c r="A2445" s="59" t="str">
        <x:v>GRID_OZE_REPORT</x:v>
      </x:c>
      <x:c r="B2445" s="59" t="str">
        <x:v>source_page</x:v>
      </x:c>
      <x:c r="C2445" s="59" t="str">
        <x:v>UNKNOWN — nie ustalono</x:v>
      </x:c>
    </x:row>
    <x:row r="2446" ht="30" customHeight="1">
      <x:c r="A2446" s="59" t="str">
        <x:v>GRID_OZE_REPORT</x:v>
      </x:c>
      <x:c r="B2446" s="59" t="str">
        <x:v>valid_from</x:v>
      </x:c>
      <x:c r="C2446" s="59" t="str">
        <x:v>UNKNOWN — nie ustalono</x:v>
      </x:c>
    </x:row>
    <x:row r="2447" ht="30" customHeight="1">
      <x:c r="A2447" s="59" t="str">
        <x:v>GRID_OZE_REPORT</x:v>
      </x:c>
      <x:c r="B2447" s="59" t="str">
        <x:v>valid_to</x:v>
      </x:c>
      <x:c r="C2447" s="59" t="str">
        <x:v>UNKNOWN — nie ustalono</x:v>
      </x:c>
    </x:row>
    <x:row r="2448" ht="30" customHeight="1">
      <x:c r="A2448" s="59" t="str">
        <x:v>GRID_OZE_REPORT</x:v>
      </x:c>
      <x:c r="B2448" s="59" t="str">
        <x:v>current_future_scope</x:v>
      </x:c>
      <x:c r="C2448" s="59" t="str">
        <x:v>SOURCE_DEPENDENT</x:v>
      </x:c>
    </x:row>
    <x:row r="2449" ht="30" customHeight="1">
      <x:c r="A2449" s="59" t="str">
        <x:v>GRID_OZE_REPORT</x:v>
      </x:c>
      <x:c r="B2449" s="59" t="str">
        <x:v>value_classification_default</x:v>
      </x:c>
      <x:c r="C2449" s="59" t="str">
        <x:v>REPORTED</x:v>
      </x:c>
    </x:row>
    <x:row r="2450" ht="38" customHeight="1">
      <x:c r="A2450" s="59" t="str">
        <x:v>GRID_OZE_REPORT</x:v>
      </x:c>
      <x:c r="B2450" s="59" t="str">
        <x:v>automation_notes</x:v>
      </x:c>
      <x:c r="C2450" s="59" t="str">
        <x:v>Jednorazowy przegląd; brak zgody na stały scraper wynikającej z samego dostępu. Sprawdzić warunki, robots.txt i limity przed wdrożeniem.</x:v>
      </x:c>
    </x:row>
    <x:row r="2451" ht="30" customHeight="1">
      <x:c r="A2451" s="59" t="str">
        <x:v>GRID_OZE_REPORT</x:v>
      </x:c>
      <x:c r="B2451" s="59" t="str">
        <x:v>probe_ids</x:v>
      </x:c>
      <x:c r="C2451" s="59" t="str">
        <x:v>[ "GRID_OZE_REPORT" ]</x:v>
      </x:c>
    </x:row>
    <x:row r="2452" ht="30" customHeight="1">
      <x:c r="A2452" s="59" t="str">
        <x:v>GRID_OZE_REPORT</x:v>
      </x:c>
      <x:c r="B2452" s="59" t="str">
        <x:v>related_urls</x:v>
      </x:c>
      <x:c r="C2452" s="59" t="str">
        <x:v>[]</x:v>
      </x:c>
    </x:row>
    <x:row r="2453" ht="30" customHeight="1">
      <x:c r="A2453" s="59" t="str">
        <x:v>GRID_OZE_REPORT</x:v>
      </x:c>
      <x:c r="B2453" s="59" t="str">
        <x:v>source_id</x:v>
      </x:c>
      <x:c r="C2453" s="59" t="str">
        <x:v>GRID_OZE_REPORT</x:v>
      </x:c>
    </x:row>
    <x:row r="2454" ht="30" customHeight="1">
      <x:c r="A2454" s="59" t="str">
        <x:v>GRID_OZE_REPORT</x:v>
      </x:c>
      <x:c r="B2454" s="59" t="str">
        <x:v>operator</x:v>
      </x:c>
      <x:c r="C2454" s="59" t="str">
        <x:v>NOT_AN_OPERATOR</x:v>
      </x:c>
    </x:row>
    <x:row r="2455" ht="30" customHeight="1">
      <x:c r="A2455" s="59" t="str">
        <x:v>GRID_OZE_REPORT</x:v>
      </x:c>
      <x:c r="B2455" s="59" t="str">
        <x:v>source_name</x:v>
      </x:c>
      <x:c r="C2455" s="59" t="str">
        <x:v>Mamy przestrzeń dla OZE — raport metodyczny</x:v>
      </x:c>
    </x:row>
    <x:row r="2456" ht="30" customHeight="1">
      <x:c r="A2456" s="59" t="str">
        <x:v>GRID_OZE_REPORT</x:v>
      </x:c>
      <x:c r="B2456" s="59" t="str">
        <x:v>url</x:v>
      </x:c>
      <x:c r="C2456" s="59" t="str">
        <x:v>https://gridw.home.pl/pub/Raport_potencjal_OZE.pdf</x:v>
      </x:c>
    </x:row>
    <x:row r="2457" ht="30" customHeight="1">
      <x:c r="A2457" s="59" t="str">
        <x:v>GRID_OZE_REPORT</x:v>
      </x:c>
      <x:c r="B2457" s="59" t="str">
        <x:v>data_owner</x:v>
      </x:c>
      <x:c r="C2457" s="59" t="str">
        <x:v>UNEP/GRID-Warszawa i konsorcjum projektu</x:v>
      </x:c>
    </x:row>
    <x:row r="2458" ht="30" customHeight="1">
      <x:c r="A2458" s="59" t="str">
        <x:v>GRID_OZE_REPORT</x:v>
      </x:c>
      <x:c r="B2458" s="59" t="str">
        <x:v>data_category</x:v>
      </x:c>
      <x:c r="C2458" s="59" t="str">
        <x:v>spatial_methodology</x:v>
      </x:c>
    </x:row>
    <x:row r="2459" ht="30" customHeight="1">
      <x:c r="A2459" s="59" t="str">
        <x:v>GRID_OZE_REPORT</x:v>
      </x:c>
      <x:c r="B2459" s="59" t="str">
        <x:v>data_format</x:v>
      </x:c>
      <x:c r="C2459" s="59" t="str">
        <x:v>[ "PDF" ]</x:v>
      </x:c>
    </x:row>
    <x:row r="2460" ht="30" customHeight="1">
      <x:c r="A2460" s="59" t="str">
        <x:v>GRID_OZE_REPORT</x:v>
      </x:c>
      <x:c r="B2460" s="59" t="str">
        <x:v>verification_status</x:v>
      </x:c>
      <x:c r="C2460" s="59" t="str">
        <x:v>CONTENT_REVIEWED</x:v>
      </x:c>
    </x:row>
    <x:row r="2461" ht="30" customHeight="1">
      <x:c r="A2461" s="59" t="str">
        <x:v>GRID_OZE_REPORT</x:v>
      </x:c>
      <x:c r="B2461" s="59" t="str">
        <x:v>reliability</x:v>
      </x:c>
      <x:c r="C2461" s="59" t="str">
        <x:v>C</x:v>
      </x:c>
    </x:row>
    <x:row r="2462" ht="30" customHeight="1">
      <x:c r="A2462" s="59" t="str">
        <x:v>GRID_OZE_REPORT</x:v>
      </x:c>
      <x:c r="B2462" s="59" t="str">
        <x:v>key_fields</x:v>
      </x:c>
      <x:c r="C2462" s="59" t="str">
        <x:v>[ "kryteria przestrzenne", "bufory", "powierzchnia ha", "statystyki 18 gmin" ]</x:v>
      </x:c>
    </x:row>
    <x:row r="2463" ht="30" customHeight="1">
      <x:c r="A2463" s="59" t="str">
        <x:v>GRID_OZE_REPORT</x:v>
      </x:c>
      <x:c r="B2463" s="59" t="str">
        <x:v>potential_application</x:v>
      </x:c>
      <x:c r="C2463" s="59" t="str">
        <x:v>Inspiracja dla odrębnej oceny przestrzennej PV i wiatru</x:v>
      </x:c>
    </x:row>
    <x:row r="2464" ht="38" customHeight="1">
      <x:c r="A2464" s="59" t="str">
        <x:v>GRID_OZE_REPORT</x:v>
      </x:c>
      <x:c r="B2464" s="59" t="str">
        <x:v>known_limitations</x:v>
      </x:c>
      <x:c r="C2464" s="59" t="str">
        <x:v>[ "Opracowanie 2025, parametry prawne wymagają osobnej aktualizacji", "Nie określa rezerwy sieci ani zasad lokalizacji BESS", "Raport opisuje przekazanie GPKG/SHP; nie zweryfikowano publicznej paczki" ]</x:v>
      </x:c>
    </x:row>
    <x:row r="2465" ht="30" customHeight="1">
      <x:c r="A2465" s="59" t="str">
        <x:v>GRID_OZE_REPORT</x:v>
      </x:c>
      <x:c r="B2465" s="59" t="str">
        <x:v>priority</x:v>
      </x:c>
      <x:c r="C2465" s="59" t="str">
        <x:v>P1</x:v>
      </x:c>
    </x:row>
    <x:row r="2466" ht="66" customHeight="1">
      <x:c r="A2466" s="59" t="str">
        <x:v>GRID_OZE_REPORT</x:v>
      </x:c>
      <x:c r="B2466" s="59" t="str">
        <x:v>evidence</x:v>
      </x:c>
      <x:c r="C2466" s="59" t="str">
        <x:v>[ { "source_id": "GRID_OZE_REPORT", "url": "https://gridw.home.pl/pub/Raport_potencjal_OZE.pdf", "retrieval_date": "2026-09-17T12:15:07.071618+00:00", "local_path": "data/raw/research/2026-09-17/oze/report.pdf", "sha256": "2de4ffff77337a1be325637c6500955e2f03b5d5964d513ea18da5254ad51e24", "bytes": 1080371, "content_type": [ "application/pdf" ], "http_status": 200, "error": null, "manifest": "data/catalog/probe_results_oze_2026-09-17.json" } ]</x:v>
      </x:c>
    </x:row>
    <x:row r="2467" ht="30" customHeight="1">
      <x:c r="A2467" s="59" t="str">
        <x:v>GRID_OZE_REPORT</x:v>
      </x:c>
      <x:c r="B2467" s="59" t="str">
        <x:v>retrieval_date</x:v>
      </x:c>
      <x:c r="C2467" s="59" t="str">
        <x:v>[ "2026-09-17T12:15:07.071618+00:00" ]</x:v>
      </x:c>
    </x:row>
    <x:row r="2468" ht="30" customHeight="1">
      <x:c r="A2468" s="59" t="str">
        <x:v>GRID_OZE_PORTAL</x:v>
      </x:c>
      <x:c r="B2468" s="59" t="str">
        <x:v>country</x:v>
      </x:c>
      <x:c r="C2468" s="59" t="str">
        <x:v>PL</x:v>
      </x:c>
    </x:row>
    <x:row r="2469" ht="30" customHeight="1">
      <x:c r="A2469" s="59" t="str">
        <x:v>GRID_OZE_PORTAL</x:v>
      </x:c>
      <x:c r="B2469" s="59" t="str">
        <x:v>geographical_scope</x:v>
      </x:c>
      <x:c r="C2469" s="59" t="str">
        <x:v>Zakres publikacji danego operatora/instytucji; nie założono pełnego pokrycia kraju.</x:v>
      </x:c>
    </x:row>
    <x:row r="2470" ht="30" customHeight="1">
      <x:c r="A2470" s="59" t="str">
        <x:v>GRID_OZE_PORTAL</x:v>
      </x:c>
      <x:c r="B2470" s="59" t="str">
        <x:v>grid_voltage</x:v>
      </x:c>
      <x:c r="C2470" s="59" t="str">
        <x:v>[ "UNKNOWN_OR_NOT_APPLICABLE" ]</x:v>
      </x:c>
    </x:row>
    <x:row r="2471" ht="30" customHeight="1">
      <x:c r="A2471" s="59" t="str">
        <x:v>GRID_OZE_PORTAL</x:v>
      </x:c>
      <x:c r="B2471" s="59" t="str">
        <x:v>api_available</x:v>
      </x:c>
      <x:c r="C2471" s="59" t="str">
        <x:v>YES — odczyt metadanych i query bez konta</x:v>
      </x:c>
    </x:row>
    <x:row r="2472" ht="30" customHeight="1">
      <x:c r="A2472" s="59" t="str">
        <x:v>GRID_OZE_PORTAL</x:v>
      </x:c>
      <x:c r="B2472" s="59" t="str">
        <x:v>gis_available</x:v>
      </x:c>
      <x:c r="C2472" s="59" t="str">
        <x:v>YES — ArcGIS REST FeatureServer</x:v>
      </x:c>
    </x:row>
    <x:row r="2473" ht="30" customHeight="1">
      <x:c r="A2473" s="59" t="str">
        <x:v>GRID_OZE_PORTAL</x:v>
      </x:c>
      <x:c r="B2473" s="59" t="str">
        <x:v>update_frequency</x:v>
      </x:c>
      <x:c r="C2473" s="59" t="str">
        <x:v>UNKNOWN — nie ustalono gwarantowanego cyklu publikacji.</x:v>
      </x:c>
    </x:row>
    <x:row r="2474" ht="30" customHeight="1">
      <x:c r="A2474" s="59" t="str">
        <x:v>GRID_OZE_PORTAL</x:v>
      </x:c>
      <x:c r="B2474" s="59" t="str">
        <x:v>historical_data</x:v>
      </x:c>
      <x:c r="C2474" s="59" t="str">
        <x:v>UNKNOWN — własne snapshoty od 10.09.2026, jeśli zapisano próbkę.</x:v>
      </x:c>
    </x:row>
    <x:row r="2475" ht="30" customHeight="1">
      <x:c r="A2475" s="59" t="str">
        <x:v>GRID_OZE_PORTAL</x:v>
      </x:c>
      <x:c r="B2475" s="59" t="str">
        <x:v>authentication</x:v>
      </x:c>
      <x:c r="C2475" s="59" t="str">
        <x:v>Odczyt publicznej strony bez konta; nie dowodzi dostępu do wszystkich danych.</x:v>
      </x:c>
    </x:row>
    <x:row r="2476" ht="30" customHeight="1">
      <x:c r="A2476" s="59" t="str">
        <x:v>GRID_OZE_PORTAL</x:v>
      </x:c>
      <x:c r="B2476" s="59" t="str">
        <x:v>license</x:v>
      </x:c>
      <x:c r="C2476" s="59" t="str">
        <x:v>UNKNOWN — nie potwierdzono licencji ponownego użycia</x:v>
      </x:c>
    </x:row>
    <x:row r="2477" ht="30" customHeight="1">
      <x:c r="A2477" s="59" t="str">
        <x:v>GRID_OZE_PORTAL</x:v>
      </x:c>
      <x:c r="B2477" s="59" t="str">
        <x:v>license_url</x:v>
      </x:c>
      <x:c r="C2477" s="59" t="str">
        <x:v>UNKNOWN — nie ustalono</x:v>
      </x:c>
    </x:row>
    <x:row r="2478" ht="30" customHeight="1">
      <x:c r="A2478" s="59" t="str">
        <x:v>GRID_OZE_PORTAL</x:v>
      </x:c>
      <x:c r="B2478" s="59" t="str">
        <x:v>commercial_use</x:v>
      </x:c>
      <x:c r="C2478" s="59" t="str">
        <x:v>UNKNOWN</x:v>
      </x:c>
    </x:row>
    <x:row r="2479" ht="30" customHeight="1">
      <x:c r="A2479" s="59" t="str">
        <x:v>GRID_OZE_PORTAL</x:v>
      </x:c>
      <x:c r="B2479" s="59" t="str">
        <x:v>machine_readable</x:v>
      </x:c>
      <x:c r="C2479" s="59" t="str">
        <x:v>YES</x:v>
      </x:c>
    </x:row>
    <x:row r="2480" ht="30" customHeight="1">
      <x:c r="A2480" s="59" t="str">
        <x:v>GRID_OZE_PORTAL</x:v>
      </x:c>
      <x:c r="B2480" s="59" t="str">
        <x:v>scraping_required</x:v>
      </x:c>
      <x:c r="C2480" s="59" t="str">
        <x:v>NO — preferować wskazane API lub plik; brak wdrożenia</x:v>
      </x:c>
    </x:row>
    <x:row r="2481" ht="30" customHeight="1">
      <x:c r="A2481" s="59" t="str">
        <x:v>GRID_OZE_PORTAL</x:v>
      </x:c>
      <x:c r="B2481" s="59" t="str">
        <x:v>data_quality_score</x:v>
      </x:c>
      <x:c r="C2481" s="59" t="str">
        <x:v>UNKNOWN — nie ustalono</x:v>
      </x:c>
    </x:row>
    <x:row r="2482" ht="30" customHeight="1">
      <x:c r="A2482" s="59" t="str">
        <x:v>GRID_OZE_PORTAL</x:v>
      </x:c>
      <x:c r="B2482" s="59" t="str">
        <x:v>quality_score_status</x:v>
      </x:c>
      <x:c r="C2482" s="59" t="str">
        <x:v>NOT_CALIBRATED — autorytet źródła nie jest procentem kompletności lub trafności.</x:v>
      </x:c>
    </x:row>
    <x:row r="2483" ht="30" customHeight="1">
      <x:c r="A2483" s="59" t="str">
        <x:v>GRID_OZE_PORTAL</x:v>
      </x:c>
      <x:c r="B2483" s="59" t="str">
        <x:v>last_verified</x:v>
      </x:c>
      <x:c r="C2483" s="60" t="n">
        <x:v>46282</x:v>
      </x:c>
    </x:row>
    <x:row r="2484" ht="30" customHeight="1">
      <x:c r="A2484" s="59" t="str">
        <x:v>GRID_OZE_PORTAL</x:v>
      </x:c>
      <x:c r="B2484" s="59" t="str">
        <x:v>last_successful_verification</x:v>
      </x:c>
      <x:c r="C2484" s="60" t="n">
        <x:v>46282</x:v>
      </x:c>
    </x:row>
    <x:row r="2485" ht="30" customHeight="1">
      <x:c r="A2485" s="59" t="str">
        <x:v>GRID_OZE_PORTAL</x:v>
      </x:c>
      <x:c r="B2485" s="59" t="str">
        <x:v>source_date</x:v>
      </x:c>
      <x:c r="C2485" s="59" t="str">
        <x:v>UNKNOWN — nie ustalono</x:v>
      </x:c>
    </x:row>
    <x:row r="2486" ht="30" customHeight="1">
      <x:c r="A2486" s="59" t="str">
        <x:v>GRID_OZE_PORTAL</x:v>
      </x:c>
      <x:c r="B2486" s="59" t="str">
        <x:v>publication_date</x:v>
      </x:c>
      <x:c r="C2486" s="59" t="str">
        <x:v>UNKNOWN — nie ustalono</x:v>
      </x:c>
    </x:row>
    <x:row r="2487" ht="30" customHeight="1">
      <x:c r="A2487" s="59" t="str">
        <x:v>GRID_OZE_PORTAL</x:v>
      </x:c>
      <x:c r="B2487" s="59" t="str">
        <x:v>source_version</x:v>
      </x:c>
      <x:c r="C2487" s="59" t="str">
        <x:v>UNKNOWN — nie ustalono</x:v>
      </x:c>
    </x:row>
    <x:row r="2488" ht="30" customHeight="1">
      <x:c r="A2488" s="59" t="str">
        <x:v>GRID_OZE_PORTAL</x:v>
      </x:c>
      <x:c r="B2488" s="59" t="str">
        <x:v>source_page</x:v>
      </x:c>
      <x:c r="C2488" s="59" t="str">
        <x:v>UNKNOWN — nie ustalono</x:v>
      </x:c>
    </x:row>
    <x:row r="2489" ht="30" customHeight="1">
      <x:c r="A2489" s="59" t="str">
        <x:v>GRID_OZE_PORTAL</x:v>
      </x:c>
      <x:c r="B2489" s="59" t="str">
        <x:v>valid_from</x:v>
      </x:c>
      <x:c r="C2489" s="59" t="str">
        <x:v>UNKNOWN — nie ustalono</x:v>
      </x:c>
    </x:row>
    <x:row r="2490" ht="30" customHeight="1">
      <x:c r="A2490" s="59" t="str">
        <x:v>GRID_OZE_PORTAL</x:v>
      </x:c>
      <x:c r="B2490" s="59" t="str">
        <x:v>valid_to</x:v>
      </x:c>
      <x:c r="C2490" s="59" t="str">
        <x:v>UNKNOWN — nie ustalono</x:v>
      </x:c>
    </x:row>
    <x:row r="2491" ht="30" customHeight="1">
      <x:c r="A2491" s="59" t="str">
        <x:v>GRID_OZE_PORTAL</x:v>
      </x:c>
      <x:c r="B2491" s="59" t="str">
        <x:v>current_future_scope</x:v>
      </x:c>
      <x:c r="C2491" s="59" t="str">
        <x:v>SOURCE_DEPENDENT</x:v>
      </x:c>
    </x:row>
    <x:row r="2492" ht="30" customHeight="1">
      <x:c r="A2492" s="59" t="str">
        <x:v>GRID_OZE_PORTAL</x:v>
      </x:c>
      <x:c r="B2492" s="59" t="str">
        <x:v>value_classification_default</x:v>
      </x:c>
      <x:c r="C2492" s="59" t="str">
        <x:v>REPORTED</x:v>
      </x:c>
    </x:row>
    <x:row r="2493" ht="38" customHeight="1">
      <x:c r="A2493" s="59" t="str">
        <x:v>GRID_OZE_PORTAL</x:v>
      </x:c>
      <x:c r="B2493" s="59" t="str">
        <x:v>automation_notes</x:v>
      </x:c>
      <x:c r="C2493" s="59" t="str">
        <x:v>Jednorazowy przegląd; brak zgody na stały scraper wynikającej z samego dostępu. Sprawdzić warunki, robots.txt i limity przed wdrożeniem.</x:v>
      </x:c>
    </x:row>
    <x:row r="2494" ht="30" customHeight="1">
      <x:c r="A2494" s="59" t="str">
        <x:v>GRID_OZE_PORTAL</x:v>
      </x:c>
      <x:c r="B2494" s="59" t="str">
        <x:v>probe_ids</x:v>
      </x:c>
      <x:c r="C2494" s="59" t="str">
        <x:v>[ "GRID_OZE_PORTAL" ]</x:v>
      </x:c>
    </x:row>
    <x:row r="2495" ht="30" customHeight="1">
      <x:c r="A2495" s="59" t="str">
        <x:v>GRID_OZE_PORTAL</x:v>
      </x:c>
      <x:c r="B2495" s="59" t="str">
        <x:v>related_urls</x:v>
      </x:c>
      <x:c r="C2495" s="59" t="str">
        <x:v>[]</x:v>
      </x:c>
    </x:row>
    <x:row r="2496" ht="30" customHeight="1">
      <x:c r="A2496" s="59" t="str">
        <x:v>GRID_OZE_PORTAL</x:v>
      </x:c>
      <x:c r="B2496" s="59" t="str">
        <x:v>source_id</x:v>
      </x:c>
      <x:c r="C2496" s="59" t="str">
        <x:v>GRID_OZE_PORTAL</x:v>
      </x:c>
    </x:row>
    <x:row r="2497" ht="30" customHeight="1">
      <x:c r="A2497" s="59" t="str">
        <x:v>GRID_OZE_PORTAL</x:v>
      </x:c>
      <x:c r="B2497" s="59" t="str">
        <x:v>operator</x:v>
      </x:c>
      <x:c r="C2497" s="59" t="str">
        <x:v>NOT_AN_OPERATOR</x:v>
      </x:c>
    </x:row>
    <x:row r="2498" ht="30" customHeight="1">
      <x:c r="A2498" s="59" t="str">
        <x:v>GRID_OZE_PORTAL</x:v>
      </x:c>
      <x:c r="B2498" s="59" t="str">
        <x:v>source_name</x:v>
      </x:c>
      <x:c r="C2498" s="59" t="str">
        <x:v>Geoportal OZE GRID — ArcGIS WebMap i FeatureServer</x:v>
      </x:c>
    </x:row>
    <x:row r="2499" ht="30" customHeight="1">
      <x:c r="A2499" s="59" t="str">
        <x:v>GRID_OZE_PORTAL</x:v>
      </x:c>
      <x:c r="B2499" s="59" t="str">
        <x:v>url</x:v>
      </x:c>
      <x:c r="C2499" s="59" t="str">
        <x:v>https://geoportal-oze.gridw.pl/</x:v>
      </x:c>
    </x:row>
    <x:row r="2500" ht="30" customHeight="1">
      <x:c r="A2500" s="59" t="str">
        <x:v>GRID_OZE_PORTAL</x:v>
      </x:c>
      <x:c r="B2500" s="59" t="str">
        <x:v>data_owner</x:v>
      </x:c>
      <x:c r="C2500" s="59" t="str">
        <x:v>UNEP/GRID-Warszawa; konto publikujące w ArcGIS</x:v>
      </x:c>
    </x:row>
    <x:row r="2501" ht="30" customHeight="1">
      <x:c r="A2501" s="59" t="str">
        <x:v>GRID_OZE_PORTAL</x:v>
      </x:c>
      <x:c r="B2501" s="59" t="str">
        <x:v>data_category</x:v>
      </x:c>
      <x:c r="C2501" s="59" t="str">
        <x:v>spatial_screening</x:v>
      </x:c>
    </x:row>
    <x:row r="2502" ht="30" customHeight="1">
      <x:c r="A2502" s="59" t="str">
        <x:v>GRID_OZE_PORTAL</x:v>
      </x:c>
      <x:c r="B2502" s="59" t="str">
        <x:v>data_format</x:v>
      </x:c>
      <x:c r="C2502" s="59" t="str">
        <x:v>[ "HTML", "ArcGIS REST JSON", "GeoJSON advertised", "PBF advertised" ]</x:v>
      </x:c>
    </x:row>
    <x:row r="2503" ht="30" customHeight="1">
      <x:c r="A2503" s="59" t="str">
        <x:v>GRID_OZE_PORTAL</x:v>
      </x:c>
      <x:c r="B2503" s="59" t="str">
        <x:v>verification_status</x:v>
      </x:c>
      <x:c r="C2503" s="59" t="str">
        <x:v>SAMPLE_VERIFIED</x:v>
      </x:c>
    </x:row>
    <x:row r="2504" ht="30" customHeight="1">
      <x:c r="A2504" s="59" t="str">
        <x:v>GRID_OZE_PORTAL</x:v>
      </x:c>
      <x:c r="B2504" s="59" t="str">
        <x:v>reliability</x:v>
      </x:c>
      <x:c r="C2504" s="59" t="str">
        <x:v>C</x:v>
      </x:c>
    </x:row>
    <x:row r="2505" ht="30" customHeight="1">
      <x:c r="A2505" s="59" t="str">
        <x:v>GRID_OZE_PORTAL</x:v>
      </x:c>
      <x:c r="B2505" s="59" t="str">
        <x:v>key_fields</x:v>
      </x:c>
      <x:c r="C2505" s="59" t="str">
        <x:v>[ "TERYT", "nazwa gminy", "pow_ha", "geometria EPSG:3857" ]</x:v>
      </x:c>
    </x:row>
    <x:row r="2506" ht="30" customHeight="1">
      <x:c r="A2506" s="59" t="str">
        <x:v>GRID_OZE_PORTAL</x:v>
      </x:c>
      <x:c r="B2506" s="59" t="str">
        <x:v>potential_application</x:v>
      </x:c>
      <x:c r="C2506" s="59" t="str">
        <x:v>Warstwy potencjału i ograniczeń przestrzennych, po ustaleniu praw</x:v>
      </x:c>
    </x:row>
    <x:row r="2507" ht="52" customHeight="1">
      <x:c r="A2507" s="59" t="str">
        <x:v>GRID_OZE_PORTAL</x:v>
      </x:c>
      <x:c r="B2507" s="59" t="str">
        <x:v>known_limitations</x:v>
      </x:c>
      <x:c r="C2507" s="59" t="str">
        <x:v>[ "18 gmin pilotażowych bez Chęcin; inne warstwy mają własny zakres", "GPZ bufory 30/40 km nie są topologią ani rezerwą", "Puste licenseInfo/copyrightText nie stanowią otwartej licencji", "Próbka PV bez geometrii; GeoJSON/PBF deklarowane w metadanych, nie testowane", "maxRecordCount 2000 dotyczy odpowiedzi, nie limitu zapytań na czas" ]</x:v>
      </x:c>
    </x:row>
    <x:row r="2508" ht="30" customHeight="1">
      <x:c r="A2508" s="59" t="str">
        <x:v>GRID_OZE_PORTAL</x:v>
      </x:c>
      <x:c r="B2508" s="59" t="str">
        <x:v>priority</x:v>
      </x:c>
      <x:c r="C2508" s="59" t="str">
        <x:v>P1</x:v>
      </x:c>
    </x:row>
    <x:row r="2509" ht="94" customHeight="1">
      <x:c r="A2509" s="59" t="str">
        <x:v>GRID_OZE_PORTAL</x:v>
      </x:c>
      <x:c r="B2509" s="59" t="str">
        <x:v>evidence (1/7)</x:v>
      </x:c>
      <x:c r="C2509" s="59" t="str">
        <x:v>[ { "source_id": "GRID_OZE_PORTAL", "url": "https://geoportal-oze.gridw.pl/", "retrieval_date": "2026-09-17T12:15:06.325545+00:00", "local_path": "data/raw/research/2026-09-17/oze/grid.html", "sha256": "33e8934d346cd2500d8eeef88ac6ee08d05e616c17592c34c9e438caf6b16f46", "bytes": 462, "content_type": [ "text/html" ], "http_status": 200, "error": null, "manifest": "data/catalog/probe_results_oze_2026-09-17.json" }, { "source_id": "GRID_OZE_PORTAL", "url": "https://www.arcgis.com/sharing/rest/content/items/f6e44953d693416e83473bcbb59aae2d/data?f=json", "retrieval_date": "2026-09-17T12:15:36.988162+00:00", "local_path":</x:v>
      </x:c>
    </x:row>
    <x:row r="2510" ht="94" customHeight="1">
      <x:c r="A2510" s="59" t="str">
        <x:v>GRID_OZE_PORTAL</x:v>
      </x:c>
      <x:c r="B2510" s="59" t="str">
        <x:v>evidence (2/7)</x:v>
      </x:c>
      <x:c r="C2510" s="59" t="str">
        <x:v>"data/raw/research/2026-09-17/oze/grid_app.json", "sha256": "ce970afb9797c8d35f9b07fc639a9bab7b22d91ec3376bed58606145cb5324af", "bytes": 11607, "content_type": [ "application/json" ], "http_status": 200, "error": null, "manifest": "data/catalog/probe_results_oze_2026-09-17.json" }, { "source_id": "GRID_OZE_PORTAL", "url": "https://www.arcgis.com/sharing/rest/content/items/c3be596d51d846d2a7b90ca007a4879c/data?f=json", "retrieval_date": "2026-09-17T12:16:06.603601+00:00", "local_path": "data/raw/research/2026-09-17/oze/grid_webmap.json", "sha256": "2eda34afca184c4a2c5301f81e3cbe6cb49a9b25bd3ca491c5a545e51c8c11f2", "bytes": 61519,</x:v>
      </x:c>
    </x:row>
    <x:row r="2511" ht="94" customHeight="1">
      <x:c r="A2511" s="59" t="str">
        <x:v>GRID_OZE_PORTAL</x:v>
      </x:c>
      <x:c r="B2511" s="59" t="str">
        <x:v>evidence (3/7)</x:v>
      </x:c>
      <x:c r="C2511" s="59" t="str">
        <x:v>"content_type": [ "application/json" ], "http_status": 200, "error": null, "manifest": "data/catalog/probe_results_oze_2026-09-17.json" }, { "source_id": "GRID_OZE_PORTAL", "url": "https://www.arcgis.com/sharing/rest/content/items/c3be596d51d846d2a7b90ca007a4879c?f=json", "retrieval_date": "2026-09-17T12:16:06.759916+00:00", "local_path": "data/raw/research/2026-09-17/oze/grid_metadata.json", "sha256": "733893b8826736122dca963c850136e6a5007cb70c09a3795c7ca5e5ef413866", "bytes": 1114, "content_type": [ "application/json" ], "http_status": 200, "error": null, "manifest": "data/catalog/probe_results_oze_2026-09-17.json" }, { "source_id":</x:v>
      </x:c>
    </x:row>
    <x:row r="2512" ht="94" customHeight="1">
      <x:c r="A2512" s="59" t="str">
        <x:v>GRID_OZE_PORTAL</x:v>
      </x:c>
      <x:c r="B2512" s="59" t="str">
        <x:v>evidence (4/7)</x:v>
      </x:c>
      <x:c r="C2512" s="59" t="str">
        <x:v>"GRID_OZE_PORTAL", "url": "https://services8.arcgis.com/TG6EwIH3KnV3ncxM/arcgis/rest/services/analiza_pv_1ha/FeatureServer/0?f=pjson", "retrieval_date": "2026-09-17T12:17:00.525784+00:00", "local_path": "data/raw/research/2026-09-17/oze/pv_layer.json", "sha256": "a46fcf764e27be9374b2549a0825a872ac47aacc69278f2711b7c35368dba971", "bytes": 11320, "content_type": [ "application/json" ], "http_status": 200, "error": null, "manifest": "data/catalog/probe_results_oze_2026-09-17.json" }, { "source_id": "GRID_OZE_PORTAL", "url": "https://www.arcgis.com/sharing/rest/content/items/fcc3595614204c06a250012850451f92?f=json", "retrieval_date":</x:v>
      </x:c>
    </x:row>
    <x:row r="2513" ht="94" customHeight="1">
      <x:c r="A2513" s="59" t="str">
        <x:v>GRID_OZE_PORTAL</x:v>
      </x:c>
      <x:c r="B2513" s="59" t="str">
        <x:v>evidence (5/7)</x:v>
      </x:c>
      <x:c r="C2513" s="59" t="str">
        <x:v>"2026-09-17T12:17:00.697275+00:00", "local_path": "data/raw/research/2026-09-17/oze/pv_metadata.json", "sha256": "252e2980fb341ee7b7f807f4fe101ce0afd8297d43a2e6033c23f034f1b50d22", "bytes": 1210, "content_type": [ "application/json" ], "http_status": 200, "error": null, "manifest": "data/catalog/probe_results_oze_2026-09-17.json" }, { "source_id": "GRID_OZE_PORTAL", "url": "https://services8.arcgis.com/TG6EwIH3KnV3ncxM/arcgis/rest/services/gminy_pilota%C5%BCowe/FeatureServer/0/query?where=1%3D1&amp;outFields=JPT_NAZWA_,JPT_KOD_JE&amp;returnGeometry=false&amp;f=json", "retrieval_date": "2026-09-17T12:17:00.997329+00:00", "local_path":</x:v>
      </x:c>
    </x:row>
    <x:row r="2514" ht="94" customHeight="1">
      <x:c r="A2514" s="59" t="str">
        <x:v>GRID_OZE_PORTAL</x:v>
      </x:c>
      <x:c r="B2514" s="59" t="str">
        <x:v>evidence (6/7)</x:v>
      </x:c>
      <x:c r="C2514" s="59" t="str">
        <x:v>"data/raw/research/2026-09-17/oze/gminy_sample.json", "sha256": "49f2d1e394392c17a8ad5e7a2c6b91c95322b0726cc1e5557d8432e73b6cf3c6", "bytes": 1699, "content_type": [ "application/json" ], "http_status": 200, "error": null, "manifest": "data/catalog/probe_results_oze_2026-09-17.json" }, { "source_id": "GRID_OZE_PORTAL", "url": "https://services8.arcgis.com/TG6EwIH3KnV3ncxM/arcgis/rest/services/analiza_pv_1ha/FeatureServer/0/query?where=1%3D1&amp;outFields=*&amp;resultRecordCount=1&amp;returnGeometry=false&amp;f=json", "retrieval_date": "2026-09-17T12:17:01.995814+00:00", "local_path": "data/raw/research/2026-09-17/oze/pv_sample.json", "sha256":</x:v>
      </x:c>
    </x:row>
    <x:row r="2515" ht="38" customHeight="1">
      <x:c r="A2515" s="59" t="str">
        <x:v>GRID_OZE_PORTAL</x:v>
      </x:c>
      <x:c r="B2515" s="59" t="str">
        <x:v>evidence (7/7)</x:v>
      </x:c>
      <x:c r="C2515" s="59" t="str">
        <x:v>"70ee98818c0b6969fe6a862ff4d4439b54fefa390f6a63a0c8abf7d8650d2841", "bytes": 1141, "content_type": [ "application/json" ], "http_status": 200, "error": null, "manifest": "data/catalog/probe_results_oze_2026-09-17.json" } ]</x:v>
      </x:c>
    </x:row>
    <x:row r="2516" ht="52" customHeight="1">
      <x:c r="A2516" s="59" t="str">
        <x:v>GRID_OZE_PORTAL</x:v>
      </x:c>
      <x:c r="B2516" s="59" t="str">
        <x:v>retrieval_date</x:v>
      </x:c>
      <x:c r="C2516" s="59" t="str">
        <x:v>[ "2026-09-17T12:15:06.325545+00:00", "2026-09-17T12:15:36.988162+00:00", "2026-09-17T12:16:06.603601+00:00", "2026-09-17T12:16:06.759916+00:00", "2026-09-17T12:17:00.525784+00:00", "2026-09-17T12:17:00.697275+00:00", "2026-09-17T12:17:00.997329+00:00", "2026-09-17T12:17:01.995814+00:00" ]</x:v>
      </x:c>
    </x:row>
    <x:row r="2517" ht="30" customHeight="1">
      <x:c r="A2517" s="59" t="str">
        <x:v>EMP_PW</x:v>
      </x:c>
      <x:c r="B2517" s="59" t="str">
        <x:v>country</x:v>
      </x:c>
      <x:c r="C2517" s="59" t="str">
        <x:v>PL</x:v>
      </x:c>
    </x:row>
    <x:row r="2518" ht="30" customHeight="1">
      <x:c r="A2518" s="59" t="str">
        <x:v>EMP_PW</x:v>
      </x:c>
      <x:c r="B2518" s="59" t="str">
        <x:v>geographical_scope</x:v>
      </x:c>
      <x:c r="C2518" s="59" t="str">
        <x:v>Zakres publikacji danego operatora/instytucji; nie założono pełnego pokrycia kraju.</x:v>
      </x:c>
    </x:row>
    <x:row r="2519" ht="30" customHeight="1">
      <x:c r="A2519" s="59" t="str">
        <x:v>EMP_PW</x:v>
      </x:c>
      <x:c r="B2519" s="59" t="str">
        <x:v>grid_voltage</x:v>
      </x:c>
      <x:c r="C2519" s="59" t="str">
        <x:v>[ "UNKNOWN_OR_NOT_APPLICABLE" ]</x:v>
      </x:c>
    </x:row>
    <x:row r="2520" ht="30" customHeight="1">
      <x:c r="A2520" s="59" t="str">
        <x:v>EMP_PW</x:v>
      </x:c>
      <x:c r="B2520" s="59" t="str">
        <x:v>api_available</x:v>
      </x:c>
      <x:c r="C2520" s="59" t="str">
        <x:v>YES — GET /api/v1/units odczytane bez konta</x:v>
      </x:c>
    </x:row>
    <x:row r="2521" ht="30" customHeight="1">
      <x:c r="A2521" s="59" t="str">
        <x:v>EMP_PW</x:v>
      </x:c>
      <x:c r="B2521" s="59" t="str">
        <x:v>gis_available</x:v>
      </x:c>
      <x:c r="C2521" s="59" t="str">
        <x:v>UNKNOWN — współrzędne w JSON; WMS/WFS nie potwierdzono</x:v>
      </x:c>
    </x:row>
    <x:row r="2522" ht="30" customHeight="1">
      <x:c r="A2522" s="59" t="str">
        <x:v>EMP_PW</x:v>
      </x:c>
      <x:c r="B2522" s="59" t="str">
        <x:v>update_frequency</x:v>
      </x:c>
      <x:c r="C2522" s="59" t="str">
        <x:v>UNKNOWN — nie ustalono gwarantowanego cyklu publikacji.</x:v>
      </x:c>
    </x:row>
    <x:row r="2523" ht="30" customHeight="1">
      <x:c r="A2523" s="59" t="str">
        <x:v>EMP_PW</x:v>
      </x:c>
      <x:c r="B2523" s="59" t="str">
        <x:v>historical_data</x:v>
      </x:c>
      <x:c r="C2523" s="59" t="str">
        <x:v>UNKNOWN — własne snapshoty od 10.09.2026, jeśli zapisano próbkę.</x:v>
      </x:c>
    </x:row>
    <x:row r="2524" ht="30" customHeight="1">
      <x:c r="A2524" s="59" t="str">
        <x:v>EMP_PW</x:v>
      </x:c>
      <x:c r="B2524" s="59" t="str">
        <x:v>authentication</x:v>
      </x:c>
      <x:c r="C2524" s="59" t="str">
        <x:v>Odczyt publicznej strony bez konta; nie dowodzi dostępu do wszystkich danych.</x:v>
      </x:c>
    </x:row>
    <x:row r="2525" ht="30" customHeight="1">
      <x:c r="A2525" s="59" t="str">
        <x:v>EMP_PW</x:v>
      </x:c>
      <x:c r="B2525" s="59" t="str">
        <x:v>license</x:v>
      </x:c>
      <x:c r="C2525" s="59" t="str">
        <x:v>UNKNOWN — nie potwierdzono licencji ponownego użycia</x:v>
      </x:c>
    </x:row>
    <x:row r="2526" ht="30" customHeight="1">
      <x:c r="A2526" s="59" t="str">
        <x:v>EMP_PW</x:v>
      </x:c>
      <x:c r="B2526" s="59" t="str">
        <x:v>license_url</x:v>
      </x:c>
      <x:c r="C2526" s="59" t="str">
        <x:v>UNKNOWN — nie ustalono</x:v>
      </x:c>
    </x:row>
    <x:row r="2527" ht="30" customHeight="1">
      <x:c r="A2527" s="59" t="str">
        <x:v>EMP_PW</x:v>
      </x:c>
      <x:c r="B2527" s="59" t="str">
        <x:v>commercial_use</x:v>
      </x:c>
      <x:c r="C2527" s="59" t="str">
        <x:v>UNKNOWN</x:v>
      </x:c>
    </x:row>
    <x:row r="2528" ht="30" customHeight="1">
      <x:c r="A2528" s="59" t="str">
        <x:v>EMP_PW</x:v>
      </x:c>
      <x:c r="B2528" s="59" t="str">
        <x:v>machine_readable</x:v>
      </x:c>
      <x:c r="C2528" s="59" t="str">
        <x:v>YES</x:v>
      </x:c>
    </x:row>
    <x:row r="2529" ht="30" customHeight="1">
      <x:c r="A2529" s="59" t="str">
        <x:v>EMP_PW</x:v>
      </x:c>
      <x:c r="B2529" s="59" t="str">
        <x:v>scraping_required</x:v>
      </x:c>
      <x:c r="C2529" s="59" t="str">
        <x:v>NO — preferować wskazane API lub plik; brak wdrożenia</x:v>
      </x:c>
    </x:row>
    <x:row r="2530" ht="30" customHeight="1">
      <x:c r="A2530" s="59" t="str">
        <x:v>EMP_PW</x:v>
      </x:c>
      <x:c r="B2530" s="59" t="str">
        <x:v>data_quality_score</x:v>
      </x:c>
      <x:c r="C2530" s="59" t="str">
        <x:v>UNKNOWN — nie ustalono</x:v>
      </x:c>
    </x:row>
    <x:row r="2531" ht="30" customHeight="1">
      <x:c r="A2531" s="59" t="str">
        <x:v>EMP_PW</x:v>
      </x:c>
      <x:c r="B2531" s="59" t="str">
        <x:v>quality_score_status</x:v>
      </x:c>
      <x:c r="C2531" s="59" t="str">
        <x:v>NOT_CALIBRATED — autorytet źródła nie jest procentem kompletności lub trafności.</x:v>
      </x:c>
    </x:row>
    <x:row r="2532" ht="30" customHeight="1">
      <x:c r="A2532" s="59" t="str">
        <x:v>EMP_PW</x:v>
      </x:c>
      <x:c r="B2532" s="59" t="str">
        <x:v>last_verified</x:v>
      </x:c>
      <x:c r="C2532" s="60" t="n">
        <x:v>46282</x:v>
      </x:c>
    </x:row>
    <x:row r="2533" ht="30" customHeight="1">
      <x:c r="A2533" s="59" t="str">
        <x:v>EMP_PW</x:v>
      </x:c>
      <x:c r="B2533" s="59" t="str">
        <x:v>last_successful_verification</x:v>
      </x:c>
      <x:c r="C2533" s="60" t="n">
        <x:v>46282</x:v>
      </x:c>
    </x:row>
    <x:row r="2534" ht="30" customHeight="1">
      <x:c r="A2534" s="59" t="str">
        <x:v>EMP_PW</x:v>
      </x:c>
      <x:c r="B2534" s="59" t="str">
        <x:v>source_date</x:v>
      </x:c>
      <x:c r="C2534" s="59" t="str">
        <x:v>UNKNOWN — nie ustalono</x:v>
      </x:c>
    </x:row>
    <x:row r="2535" ht="30" customHeight="1">
      <x:c r="A2535" s="59" t="str">
        <x:v>EMP_PW</x:v>
      </x:c>
      <x:c r="B2535" s="59" t="str">
        <x:v>publication_date</x:v>
      </x:c>
      <x:c r="C2535" s="59" t="str">
        <x:v>UNKNOWN — nie ustalono</x:v>
      </x:c>
    </x:row>
    <x:row r="2536" ht="30" customHeight="1">
      <x:c r="A2536" s="59" t="str">
        <x:v>EMP_PW</x:v>
      </x:c>
      <x:c r="B2536" s="59" t="str">
        <x:v>source_version</x:v>
      </x:c>
      <x:c r="C2536" s="59" t="str">
        <x:v>UNKNOWN — nie ustalono</x:v>
      </x:c>
    </x:row>
    <x:row r="2537" ht="30" customHeight="1">
      <x:c r="A2537" s="59" t="str">
        <x:v>EMP_PW</x:v>
      </x:c>
      <x:c r="B2537" s="59" t="str">
        <x:v>source_page</x:v>
      </x:c>
      <x:c r="C2537" s="59" t="str">
        <x:v>UNKNOWN — nie ustalono</x:v>
      </x:c>
    </x:row>
    <x:row r="2538" ht="30" customHeight="1">
      <x:c r="A2538" s="59" t="str">
        <x:v>EMP_PW</x:v>
      </x:c>
      <x:c r="B2538" s="59" t="str">
        <x:v>valid_from</x:v>
      </x:c>
      <x:c r="C2538" s="59" t="str">
        <x:v>UNKNOWN — nie ustalono</x:v>
      </x:c>
    </x:row>
    <x:row r="2539" ht="30" customHeight="1">
      <x:c r="A2539" s="59" t="str">
        <x:v>EMP_PW</x:v>
      </x:c>
      <x:c r="B2539" s="59" t="str">
        <x:v>valid_to</x:v>
      </x:c>
      <x:c r="C2539" s="59" t="str">
        <x:v>UNKNOWN — nie ustalono</x:v>
      </x:c>
    </x:row>
    <x:row r="2540" ht="30" customHeight="1">
      <x:c r="A2540" s="59" t="str">
        <x:v>EMP_PW</x:v>
      </x:c>
      <x:c r="B2540" s="59" t="str">
        <x:v>current_future_scope</x:v>
      </x:c>
      <x:c r="C2540" s="59" t="str">
        <x:v>SOURCE_DEPENDENT</x:v>
      </x:c>
    </x:row>
    <x:row r="2541" ht="30" customHeight="1">
      <x:c r="A2541" s="59" t="str">
        <x:v>EMP_PW</x:v>
      </x:c>
      <x:c r="B2541" s="59" t="str">
        <x:v>value_classification_default</x:v>
      </x:c>
      <x:c r="C2541" s="59" t="str">
        <x:v>REPORTED</x:v>
      </x:c>
    </x:row>
    <x:row r="2542" ht="38" customHeight="1">
      <x:c r="A2542" s="59" t="str">
        <x:v>EMP_PW</x:v>
      </x:c>
      <x:c r="B2542" s="59" t="str">
        <x:v>automation_notes</x:v>
      </x:c>
      <x:c r="C2542" s="59" t="str">
        <x:v>Jednorazowy przegląd; brak zgody na stały scraper wynikającej z samego dostępu. Sprawdzić warunki, robots.txt i limity przed wdrożeniem.</x:v>
      </x:c>
    </x:row>
    <x:row r="2543" ht="30" customHeight="1">
      <x:c r="A2543" s="59" t="str">
        <x:v>EMP_PW</x:v>
      </x:c>
      <x:c r="B2543" s="59" t="str">
        <x:v>probe_ids</x:v>
      </x:c>
      <x:c r="C2543" s="59" t="str">
        <x:v>[ "EMP_PW" ]</x:v>
      </x:c>
    </x:row>
    <x:row r="2544" ht="30" customHeight="1">
      <x:c r="A2544" s="59" t="str">
        <x:v>EMP_PW</x:v>
      </x:c>
      <x:c r="B2544" s="59" t="str">
        <x:v>related_urls</x:v>
      </x:c>
      <x:c r="C2544" s="59" t="str">
        <x:v>[]</x:v>
      </x:c>
    </x:row>
    <x:row r="2545" ht="30" customHeight="1">
      <x:c r="A2545" s="59" t="str">
        <x:v>EMP_PW</x:v>
      </x:c>
      <x:c r="B2545" s="59" t="str">
        <x:v>source_id</x:v>
      </x:c>
      <x:c r="C2545" s="59" t="str">
        <x:v>EMP_PW</x:v>
      </x:c>
    </x:row>
    <x:row r="2546" ht="30" customHeight="1">
      <x:c r="A2546" s="59" t="str">
        <x:v>EMP_PW</x:v>
      </x:c>
      <x:c r="B2546" s="59" t="str">
        <x:v>operator</x:v>
      </x:c>
      <x:c r="C2546" s="59" t="str">
        <x:v>NOT_AN_OPERATOR</x:v>
      </x:c>
    </x:row>
    <x:row r="2547" ht="30" customHeight="1">
      <x:c r="A2547" s="59" t="str">
        <x:v>EMP_PW</x:v>
      </x:c>
      <x:c r="B2547" s="59" t="str">
        <x:v>source_name</x:v>
      </x:c>
      <x:c r="C2547" s="59" t="str">
        <x:v>Energetyczna Mapa Polski — katalog źródeł wytwórczych</x:v>
      </x:c>
    </x:row>
    <x:row r="2548" ht="30" customHeight="1">
      <x:c r="A2548" s="59" t="str">
        <x:v>EMP_PW</x:v>
      </x:c>
      <x:c r="B2548" s="59" t="str">
        <x:v>url</x:v>
      </x:c>
      <x:c r="C2548" s="59" t="str">
        <x:v>https://emp.pw.edu.pl/mapa</x:v>
      </x:c>
    </x:row>
    <x:row r="2549" ht="30" customHeight="1">
      <x:c r="A2549" s="59" t="str">
        <x:v>EMP_PW</x:v>
      </x:c>
      <x:c r="B2549" s="59" t="str">
        <x:v>data_owner</x:v>
      </x:c>
      <x:c r="C2549" s="59" t="str">
        <x:v>Koło Naukowe Energetyków Politechniki Warszawskiej</x:v>
      </x:c>
    </x:row>
    <x:row r="2550" ht="30" customHeight="1">
      <x:c r="A2550" s="59" t="str">
        <x:v>EMP_PW</x:v>
      </x:c>
      <x:c r="B2550" s="59" t="str">
        <x:v>data_category</x:v>
      </x:c>
      <x:c r="C2550" s="59" t="str">
        <x:v>generation_asset_discovery</x:v>
      </x:c>
    </x:row>
    <x:row r="2551" ht="30" customHeight="1">
      <x:c r="A2551" s="59" t="str">
        <x:v>EMP_PW</x:v>
      </x:c>
      <x:c r="B2551" s="59" t="str">
        <x:v>data_format</x:v>
      </x:c>
      <x:c r="C2551" s="59" t="str">
        <x:v>[ "HTML", "JavaScript", "JSON" ]</x:v>
      </x:c>
    </x:row>
    <x:row r="2552" ht="30" customHeight="1">
      <x:c r="A2552" s="59" t="str">
        <x:v>EMP_PW</x:v>
      </x:c>
      <x:c r="B2552" s="59" t="str">
        <x:v>verification_status</x:v>
      </x:c>
      <x:c r="C2552" s="59" t="str">
        <x:v>SAMPLE_VERIFIED</x:v>
      </x:c>
    </x:row>
    <x:row r="2553" ht="30" customHeight="1">
      <x:c r="A2553" s="59" t="str">
        <x:v>EMP_PW</x:v>
      </x:c>
      <x:c r="B2553" s="59" t="str">
        <x:v>reliability</x:v>
      </x:c>
      <x:c r="C2553" s="59" t="str">
        <x:v>G</x:v>
      </x:c>
    </x:row>
    <x:row r="2554" ht="38" customHeight="1">
      <x:c r="A2554" s="59" t="str">
        <x:v>EMP_PW</x:v>
      </x:c>
      <x:c r="B2554" s="59" t="str">
        <x:v>key_fields</x:v>
      </x:c>
      <x:c r="C2554" s="59" t="str">
        <x:v>[ "id", "slug", "name", "unit_type", "latitude", "longitude", "power_installed", "owner", "bibliography", "parent_unit_slug", "status" ]</x:v>
      </x:c>
    </x:row>
    <x:row r="2555" ht="30" customHeight="1">
      <x:c r="A2555" s="59" t="str">
        <x:v>EMP_PW</x:v>
      </x:c>
      <x:c r="B2555" s="59" t="str">
        <x:v>potential_application</x:v>
      </x:c>
      <x:c r="C2555" s="59" t="str">
        <x:v>Poszukiwanie projektów i źródeł pierwotnych, kontrola nazw i lokalizacji</x:v>
      </x:c>
    </x:row>
    <x:row r="2556" ht="66" customHeight="1">
      <x:c r="A2556" s="59" t="str">
        <x:v>EMP_PW</x:v>
      </x:c>
      <x:c r="B2556" s="59" t="str">
        <x:v>known_limitations</x:v>
      </x:c>
      <x:c r="C2556" s="59" t="str">
        <x:v>[ "173 rekordy w pobranej odpowiedzi nie dowodzą kompletności kraju", "Brak jawnych dat aktualizacji rekordów, GPZ i PCC w sprawdzonym schemacie", "Kody statusu 0/1 nie zostały zmapowane na cykl projektu", "Możliwe relacje rodzic-dziecko; nie sumować mocy bez deduplikacji", "Nie potwierdzono licencji, stabilności API ani limitów; brak wdrożonego cyklicznego pobierania" ]</x:v>
      </x:c>
    </x:row>
    <x:row r="2557" ht="30" customHeight="1">
      <x:c r="A2557" s="59" t="str">
        <x:v>EMP_PW</x:v>
      </x:c>
      <x:c r="B2557" s="59" t="str">
        <x:v>priority</x:v>
      </x:c>
      <x:c r="C2557" s="59" t="str">
        <x:v>P1</x:v>
      </x:c>
    </x:row>
    <x:row r="2558" ht="94" customHeight="1">
      <x:c r="A2558" s="59" t="str">
        <x:v>EMP_PW</x:v>
      </x:c>
      <x:c r="B2558" s="59" t="str">
        <x:v>evidence (1/2)</x:v>
      </x:c>
      <x:c r="C2558" s="59" t="str">
        <x:v>[ { "source_id": "EMP_PW", "url": "https://emp.pw.edu.pl/mapa", "retrieval_date": "2026-09-17T12:15:06.530559+00:00", "local_path": "data/raw/research/2026-09-17/oze/emp.html", "sha256": "4913d80510b257a2f612bfed5e5489d3b27c56a9480305729ca07201431c4bbc", "bytes": 44724, "content_type": [ "text/html" ], "http_status": 200, "error": null, "manifest": "data/catalog/probe_results_oze_2026-09-17.json" }, { "source_id": "EMP_PW", "url": "https://emp.pw.edu.pl/js/site/index.js", "retrieval_date": "2026-09-17T12:15:37.334888+00:00", "local_path": "data/raw/research/2026-09-17/oze/emp.js", "sha256":</x:v>
      </x:c>
    </x:row>
    <x:row r="2559" ht="94" customHeight="1">
      <x:c r="A2559" s="59" t="str">
        <x:v>EMP_PW</x:v>
      </x:c>
      <x:c r="B2559" s="59" t="str">
        <x:v>evidence (2/2)</x:v>
      </x:c>
      <x:c r="C2559" s="59" t="str">
        <x:v>"034db5501e4b88f371119df78f205501369129adfd75a33cf08fd5e272bba490", "bytes": 2405511, "content_type": [ "text/javascript" ], "http_status": 200, "error": null, "manifest": "data/catalog/probe_results_oze_2026-09-17.json" }, { "source_id": "EMP_PW", "url": "https://emp.pw.edu.pl/api/v1/units", "retrieval_date": "2026-09-17T12:16:18.665795+00:00", "local_path": "data/raw/research/2026-09-17/oze/emp_units.json", "sha256": "8e2e194efeebe4ce344471b4e6e5937122ef7fe082bec2268d1814bc43b50ea7", "bytes": 219905, "content_type": [ "application/json" ], "http_status": 200, "error": null, "manifest": "data/catalog/probe_results_oze_2026-09-17.json" } ]</x:v>
      </x:c>
    </x:row>
    <x:row r="2560" ht="30" customHeight="1">
      <x:c r="A2560" s="59" t="str">
        <x:v>EMP_PW</x:v>
      </x:c>
      <x:c r="B2560" s="59" t="str">
        <x:v>retrieval_date</x:v>
      </x:c>
      <x:c r="C2560" s="59" t="str">
        <x:v>[ "2026-09-17T12:15:06.530559+00:00", "2026-09-17T12:15:37.334888+00:00", "2026-09-17T12:16:18.665795+00:00" ]</x:v>
      </x:c>
    </x:row>
    <x:row r="2561" ht="30" customHeight="1">
      <x:c r="A2561" s="59" t="str">
        <x:v>GUGIK_OZE_DETAIL_2026</x:v>
      </x:c>
      <x:c r="B2561" s="59" t="str">
        <x:v>country</x:v>
      </x:c>
      <x:c r="C2561" s="59" t="str">
        <x:v>PL</x:v>
      </x:c>
    </x:row>
    <x:row r="2562" ht="30" customHeight="1">
      <x:c r="A2562" s="59" t="str">
        <x:v>GUGIK_OZE_DETAIL_2026</x:v>
      </x:c>
      <x:c r="B2562" s="59" t="str">
        <x:v>geographical_scope</x:v>
      </x:c>
      <x:c r="C2562" s="59" t="str">
        <x:v>Zakres publikacji danego operatora/instytucji; nie założono pełnego pokrycia kraju.</x:v>
      </x:c>
    </x:row>
    <x:row r="2563" ht="30" customHeight="1">
      <x:c r="A2563" s="59" t="str">
        <x:v>GUGIK_OZE_DETAIL_2026</x:v>
      </x:c>
      <x:c r="B2563" s="59" t="str">
        <x:v>grid_voltage</x:v>
      </x:c>
      <x:c r="C2563" s="59" t="str">
        <x:v>[ "UNKNOWN_OR_NOT_APPLICABLE" ]</x:v>
      </x:c>
    </x:row>
    <x:row r="2564" ht="30" customHeight="1">
      <x:c r="A2564" s="59" t="str">
        <x:v>GUGIK_OZE_DETAIL_2026</x:v>
      </x:c>
      <x:c r="B2564" s="59" t="str">
        <x:v>api_available</x:v>
      </x:c>
      <x:c r="C2564" s="59" t="str">
        <x:v>UNKNOWN</x:v>
      </x:c>
    </x:row>
    <x:row r="2565" ht="30" customHeight="1">
      <x:c r="A2565" s="59" t="str">
        <x:v>GUGIK_OZE_DETAIL_2026</x:v>
      </x:c>
      <x:c r="B2565" s="59" t="str">
        <x:v>gis_available</x:v>
      </x:c>
      <x:c r="C2565" s="59" t="str">
        <x:v>YES — WMS ogłoszone; endpointów nie przetestowano</x:v>
      </x:c>
    </x:row>
    <x:row r="2566" ht="30" customHeight="1">
      <x:c r="A2566" s="59" t="str">
        <x:v>GUGIK_OZE_DETAIL_2026</x:v>
      </x:c>
      <x:c r="B2566" s="59" t="str">
        <x:v>update_frequency</x:v>
      </x:c>
      <x:c r="C2566" s="59" t="str">
        <x:v>UNKNOWN — nie ustalono gwarantowanego cyklu publikacji.</x:v>
      </x:c>
    </x:row>
    <x:row r="2567" ht="30" customHeight="1">
      <x:c r="A2567" s="59" t="str">
        <x:v>GUGIK_OZE_DETAIL_2026</x:v>
      </x:c>
      <x:c r="B2567" s="59" t="str">
        <x:v>historical_data</x:v>
      </x:c>
      <x:c r="C2567" s="59" t="str">
        <x:v>UNKNOWN — własne snapshoty od 10.09.2026, jeśli zapisano próbkę.</x:v>
      </x:c>
    </x:row>
    <x:row r="2568" ht="30" customHeight="1">
      <x:c r="A2568" s="59" t="str">
        <x:v>GUGIK_OZE_DETAIL_2026</x:v>
      </x:c>
      <x:c r="B2568" s="59" t="str">
        <x:v>authentication</x:v>
      </x:c>
      <x:c r="C2568" s="59" t="str">
        <x:v>Odczyt publicznej strony bez konta; nie dowodzi dostępu do wszystkich danych.</x:v>
      </x:c>
    </x:row>
    <x:row r="2569" ht="30" customHeight="1">
      <x:c r="A2569" s="59" t="str">
        <x:v>GUGIK_OZE_DETAIL_2026</x:v>
      </x:c>
      <x:c r="B2569" s="59" t="str">
        <x:v>license</x:v>
      </x:c>
      <x:c r="C2569" s="59" t="str">
        <x:v>UNKNOWN — nie potwierdzono licencji ponownego użycia</x:v>
      </x:c>
    </x:row>
    <x:row r="2570" ht="30" customHeight="1">
      <x:c r="A2570" s="59" t="str">
        <x:v>GUGIK_OZE_DETAIL_2026</x:v>
      </x:c>
      <x:c r="B2570" s="59" t="str">
        <x:v>license_url</x:v>
      </x:c>
      <x:c r="C2570" s="59" t="str">
        <x:v>UNKNOWN — nie ustalono</x:v>
      </x:c>
    </x:row>
    <x:row r="2571" ht="30" customHeight="1">
      <x:c r="A2571" s="59" t="str">
        <x:v>GUGIK_OZE_DETAIL_2026</x:v>
      </x:c>
      <x:c r="B2571" s="59" t="str">
        <x:v>commercial_use</x:v>
      </x:c>
      <x:c r="C2571" s="59" t="str">
        <x:v>UNKNOWN</x:v>
      </x:c>
    </x:row>
    <x:row r="2572" ht="30" customHeight="1">
      <x:c r="A2572" s="59" t="str">
        <x:v>GUGIK_OZE_DETAIL_2026</x:v>
      </x:c>
      <x:c r="B2572" s="59" t="str">
        <x:v>machine_readable</x:v>
      </x:c>
      <x:c r="C2572" s="59" t="str">
        <x:v>PARTIAL</x:v>
      </x:c>
    </x:row>
    <x:row r="2573" ht="30" customHeight="1">
      <x:c r="A2573" s="59" t="str">
        <x:v>GUGIK_OZE_DETAIL_2026</x:v>
      </x:c>
      <x:c r="B2573" s="59" t="str">
        <x:v>scraping_required</x:v>
      </x:c>
      <x:c r="C2573" s="59" t="str">
        <x:v>NO — preferować wskazane API lub plik; brak wdrożenia</x:v>
      </x:c>
    </x:row>
    <x:row r="2574" ht="30" customHeight="1">
      <x:c r="A2574" s="59" t="str">
        <x:v>GUGIK_OZE_DETAIL_2026</x:v>
      </x:c>
      <x:c r="B2574" s="59" t="str">
        <x:v>data_quality_score</x:v>
      </x:c>
      <x:c r="C2574" s="59" t="str">
        <x:v>UNKNOWN — nie ustalono</x:v>
      </x:c>
    </x:row>
    <x:row r="2575" ht="30" customHeight="1">
      <x:c r="A2575" s="59" t="str">
        <x:v>GUGIK_OZE_DETAIL_2026</x:v>
      </x:c>
      <x:c r="B2575" s="59" t="str">
        <x:v>quality_score_status</x:v>
      </x:c>
      <x:c r="C2575" s="59" t="str">
        <x:v>NOT_CALIBRATED — autorytet źródła nie jest procentem kompletności lub trafności.</x:v>
      </x:c>
    </x:row>
    <x:row r="2576" ht="30" customHeight="1">
      <x:c r="A2576" s="59" t="str">
        <x:v>GUGIK_OZE_DETAIL_2026</x:v>
      </x:c>
      <x:c r="B2576" s="59" t="str">
        <x:v>last_verified</x:v>
      </x:c>
      <x:c r="C2576" s="60" t="n">
        <x:v>46282</x:v>
      </x:c>
    </x:row>
    <x:row r="2577" ht="30" customHeight="1">
      <x:c r="A2577" s="59" t="str">
        <x:v>GUGIK_OZE_DETAIL_2026</x:v>
      </x:c>
      <x:c r="B2577" s="59" t="str">
        <x:v>last_successful_verification</x:v>
      </x:c>
      <x:c r="C2577" s="60" t="n">
        <x:v>46282</x:v>
      </x:c>
    </x:row>
    <x:row r="2578" ht="30" customHeight="1">
      <x:c r="A2578" s="59" t="str">
        <x:v>GUGIK_OZE_DETAIL_2026</x:v>
      </x:c>
      <x:c r="B2578" s="59" t="str">
        <x:v>source_date</x:v>
      </x:c>
      <x:c r="C2578" s="59" t="str">
        <x:v>UNKNOWN — nie ustalono</x:v>
      </x:c>
    </x:row>
    <x:row r="2579" ht="30" customHeight="1">
      <x:c r="A2579" s="59" t="str">
        <x:v>GUGIK_OZE_DETAIL_2026</x:v>
      </x:c>
      <x:c r="B2579" s="59" t="str">
        <x:v>publication_date</x:v>
      </x:c>
      <x:c r="C2579" s="59" t="str">
        <x:v>UNKNOWN — nie ustalono</x:v>
      </x:c>
    </x:row>
    <x:row r="2580" ht="30" customHeight="1">
      <x:c r="A2580" s="59" t="str">
        <x:v>GUGIK_OZE_DETAIL_2026</x:v>
      </x:c>
      <x:c r="B2580" s="59" t="str">
        <x:v>source_version</x:v>
      </x:c>
      <x:c r="C2580" s="59" t="str">
        <x:v>UNKNOWN — nie ustalono</x:v>
      </x:c>
    </x:row>
    <x:row r="2581" ht="30" customHeight="1">
      <x:c r="A2581" s="59" t="str">
        <x:v>GUGIK_OZE_DETAIL_2026</x:v>
      </x:c>
      <x:c r="B2581" s="59" t="str">
        <x:v>source_page</x:v>
      </x:c>
      <x:c r="C2581" s="59" t="str">
        <x:v>UNKNOWN — nie ustalono</x:v>
      </x:c>
    </x:row>
    <x:row r="2582" ht="30" customHeight="1">
      <x:c r="A2582" s="59" t="str">
        <x:v>GUGIK_OZE_DETAIL_2026</x:v>
      </x:c>
      <x:c r="B2582" s="59" t="str">
        <x:v>valid_from</x:v>
      </x:c>
      <x:c r="C2582" s="59" t="str">
        <x:v>UNKNOWN — nie ustalono</x:v>
      </x:c>
    </x:row>
    <x:row r="2583" ht="30" customHeight="1">
      <x:c r="A2583" s="59" t="str">
        <x:v>GUGIK_OZE_DETAIL_2026</x:v>
      </x:c>
      <x:c r="B2583" s="59" t="str">
        <x:v>valid_to</x:v>
      </x:c>
      <x:c r="C2583" s="59" t="str">
        <x:v>UNKNOWN — nie ustalono</x:v>
      </x:c>
    </x:row>
    <x:row r="2584" ht="30" customHeight="1">
      <x:c r="A2584" s="59" t="str">
        <x:v>GUGIK_OZE_DETAIL_2026</x:v>
      </x:c>
      <x:c r="B2584" s="59" t="str">
        <x:v>current_future_scope</x:v>
      </x:c>
      <x:c r="C2584" s="59" t="str">
        <x:v>SOURCE_DEPENDENT</x:v>
      </x:c>
    </x:row>
    <x:row r="2585" ht="30" customHeight="1">
      <x:c r="A2585" s="59" t="str">
        <x:v>GUGIK_OZE_DETAIL_2026</x:v>
      </x:c>
      <x:c r="B2585" s="59" t="str">
        <x:v>value_classification_default</x:v>
      </x:c>
      <x:c r="C2585" s="59" t="str">
        <x:v>REPORTED</x:v>
      </x:c>
    </x:row>
    <x:row r="2586" ht="38" customHeight="1">
      <x:c r="A2586" s="59" t="str">
        <x:v>GUGIK_OZE_DETAIL_2026</x:v>
      </x:c>
      <x:c r="B2586" s="59" t="str">
        <x:v>automation_notes</x:v>
      </x:c>
      <x:c r="C2586" s="59" t="str">
        <x:v>Jednorazowy przegląd; brak zgody na stały scraper wynikającej z samego dostępu. Sprawdzić warunki, robots.txt i limity przed wdrożeniem.</x:v>
      </x:c>
    </x:row>
    <x:row r="2587" ht="30" customHeight="1">
      <x:c r="A2587" s="59" t="str">
        <x:v>GUGIK_OZE_DETAIL_2026</x:v>
      </x:c>
      <x:c r="B2587" s="59" t="str">
        <x:v>probe_ids</x:v>
      </x:c>
      <x:c r="C2587" s="59" t="str">
        <x:v>[]</x:v>
      </x:c>
    </x:row>
    <x:row r="2588" ht="30" customHeight="1">
      <x:c r="A2588" s="59" t="str">
        <x:v>GUGIK_OZE_DETAIL_2026</x:v>
      </x:c>
      <x:c r="B2588" s="59" t="str">
        <x:v>related_urls</x:v>
      </x:c>
      <x:c r="C2588" s="59" t="str">
        <x:v>[]</x:v>
      </x:c>
    </x:row>
    <x:row r="2589" ht="30" customHeight="1">
      <x:c r="A2589" s="59" t="str">
        <x:v>GUGIK_OZE_DETAIL_2026</x:v>
      </x:c>
      <x:c r="B2589" s="59" t="str">
        <x:v>source_id</x:v>
      </x:c>
      <x:c r="C2589" s="59" t="str">
        <x:v>GUGIK_OZE_DETAIL_2026</x:v>
      </x:c>
    </x:row>
    <x:row r="2590" ht="30" customHeight="1">
      <x:c r="A2590" s="59" t="str">
        <x:v>GUGIK_OZE_DETAIL_2026</x:v>
      </x:c>
      <x:c r="B2590" s="59" t="str">
        <x:v>operator</x:v>
      </x:c>
      <x:c r="C2590" s="59" t="str">
        <x:v>NOT_AN_OPERATOR</x:v>
      </x:c>
    </x:row>
    <x:row r="2591" ht="30" customHeight="1">
      <x:c r="A2591" s="59" t="str">
        <x:v>GUGIK_OZE_DETAIL_2026</x:v>
      </x:c>
      <x:c r="B2591" s="59" t="str">
        <x:v>source_name</x:v>
      </x:c>
      <x:c r="C2591" s="59" t="str">
        <x:v>Geoportal krajowy — szczegółowe usługi potencjału OZE</x:v>
      </x:c>
    </x:row>
    <x:row r="2592" ht="30" customHeight="1">
      <x:c r="A2592" s="59" t="str">
        <x:v>GUGIK_OZE_DETAIL_2026</x:v>
      </x:c>
      <x:c r="B2592" s="59" t="str">
        <x:v>url</x:v>
      </x:c>
      <x:c r="C2592" s="59" t="str">
        <x:v>https://www.geoportal.gov.pl/aktualnosci/nowe-uslugi-potencjalu-oze-dane-szczegolowe/</x:v>
      </x:c>
    </x:row>
    <x:row r="2593" ht="30" customHeight="1">
      <x:c r="A2593" s="59" t="str">
        <x:v>GUGIK_OZE_DETAIL_2026</x:v>
      </x:c>
      <x:c r="B2593" s="59" t="str">
        <x:v>data_owner</x:v>
      </x:c>
      <x:c r="C2593" s="59" t="str">
        <x:v>GUGiK / MKiŚ</x:v>
      </x:c>
    </x:row>
    <x:row r="2594" ht="30" customHeight="1">
      <x:c r="A2594" s="59" t="str">
        <x:v>GUGIK_OZE_DETAIL_2026</x:v>
      </x:c>
      <x:c r="B2594" s="59" t="str">
        <x:v>data_category</x:v>
      </x:c>
      <x:c r="C2594" s="59" t="str">
        <x:v>spatial_potential</x:v>
      </x:c>
    </x:row>
    <x:row r="2595" ht="30" customHeight="1">
      <x:c r="A2595" s="59" t="str">
        <x:v>GUGIK_OZE_DETAIL_2026</x:v>
      </x:c>
      <x:c r="B2595" s="59" t="str">
        <x:v>data_format</x:v>
      </x:c>
      <x:c r="C2595" s="59" t="str">
        <x:v>[ "HTML", "WMS announced" ]</x:v>
      </x:c>
    </x:row>
    <x:row r="2596" ht="30" customHeight="1">
      <x:c r="A2596" s="59" t="str">
        <x:v>GUGIK_OZE_DETAIL_2026</x:v>
      </x:c>
      <x:c r="B2596" s="59" t="str">
        <x:v>verification_status</x:v>
      </x:c>
      <x:c r="C2596" s="59" t="str">
        <x:v>CONTENT_REVIEWED</x:v>
      </x:c>
    </x:row>
    <x:row r="2597" ht="30" customHeight="1">
      <x:c r="A2597" s="59" t="str">
        <x:v>GUGIK_OZE_DETAIL_2026</x:v>
      </x:c>
      <x:c r="B2597" s="59" t="str">
        <x:v>reliability</x:v>
      </x:c>
      <x:c r="C2597" s="59" t="str">
        <x:v>C</x:v>
      </x:c>
    </x:row>
    <x:row r="2598" ht="30" customHeight="1">
      <x:c r="A2598" s="59" t="str">
        <x:v>GUGIK_OZE_DETAIL_2026</x:v>
      </x:c>
      <x:c r="B2598" s="59" t="str">
        <x:v>key_fields</x:v>
      </x:c>
      <x:c r="C2598" s="59" t="str">
        <x:v>[ "potencjał technologii OZE", "potencjał magazynowania energii" ]</x:v>
      </x:c>
    </x:row>
    <x:row r="2599" ht="30" customHeight="1">
      <x:c r="A2599" s="59" t="str">
        <x:v>GUGIK_OZE_DETAIL_2026</x:v>
      </x:c>
      <x:c r="B2599" s="59" t="str">
        <x:v>potential_application</x:v>
      </x:c>
      <x:c r="C2599" s="59" t="str">
        <x:v>Kolejka do weryfikacji krajowej alternatywy przestrzennej</x:v>
      </x:c>
    </x:row>
    <x:row r="2600" ht="38" customHeight="1">
      <x:c r="A2600" s="59" t="str">
        <x:v>GUGIK_OZE_DETAIL_2026</x:v>
      </x:c>
      <x:c r="B2600" s="59" t="str">
        <x:v>known_limitations</x:v>
      </x:c>
      <x:c r="C2600" s="59" t="str">
        <x:v>[ "Komunikat 15.06.2026; nie przetestowano usług ani licencji warstw", "Potencjał magazynowania nie jest dostępną mocą przyłączeniową" ]</x:v>
      </x:c>
    </x:row>
    <x:row r="2601" ht="30" customHeight="1">
      <x:c r="A2601" s="59" t="str">
        <x:v>GUGIK_OZE_DETAIL_2026</x:v>
      </x:c>
      <x:c r="B2601" s="59" t="str">
        <x:v>priority</x:v>
      </x:c>
      <x:c r="C2601" s="59" t="str">
        <x:v>P1</x:v>
      </x:c>
    </x:row>
    <x:row r="2602" ht="30" customHeight="1">
      <x:c r="A2602" s="59" t="str">
        <x:v>GUGIK_OZE_DETAIL_2026</x:v>
      </x:c>
      <x:c r="B2602" s="59" t="str">
        <x:v>evidence</x:v>
      </x:c>
      <x:c r="C2602" s="59" t="str">
        <x:v>[]</x:v>
      </x:c>
    </x:row>
    <x:row r="2603" ht="30" customHeight="1">
      <x:c r="A2603" s="59" t="str">
        <x:v>GUGIK_OZE_DETAIL_2026</x:v>
      </x:c>
      <x:c r="B2603" s="59" t="str">
        <x:v>retrieval_date</x:v>
      </x:c>
      <x:c r="C2603" s="59" t="str">
        <x:v>[]</x:v>
      </x:c>
    </x:row>
    <x:row r="2604" ht="30" customHeight="1">
      <x:c r="A2604" s="59" t="str">
        <x:v>PSE_INVESTMENTS_RADK</x:v>
      </x:c>
      <x:c r="B2604" s="59" t="str">
        <x:v>country</x:v>
      </x:c>
      <x:c r="C2604" s="59" t="str">
        <x:v>PL</x:v>
      </x:c>
    </x:row>
    <x:row r="2605" ht="30" customHeight="1">
      <x:c r="A2605" s="59" t="str">
        <x:v>PSE_INVESTMENTS_RADK</x:v>
      </x:c>
      <x:c r="B2605" s="59" t="str">
        <x:v>geographical_scope</x:v>
      </x:c>
      <x:c r="C2605" s="59" t="str">
        <x:v>Polska; do pilota odczytano sekcję Radkowice</x:v>
      </x:c>
    </x:row>
    <x:row r="2606" ht="30" customHeight="1">
      <x:c r="A2606" s="59" t="str">
        <x:v>PSE_INVESTMENTS_RADK</x:v>
      </x:c>
      <x:c r="B2606" s="59" t="str">
        <x:v>grid_voltage</x:v>
      </x:c>
      <x:c r="C2606" s="59" t="str">
        <x:v>[ "220 kV", "110 kV" ]</x:v>
      </x:c>
    </x:row>
    <x:row r="2607" ht="30" customHeight="1">
      <x:c r="A2607" s="59" t="str">
        <x:v>PSE_INVESTMENTS_RADK</x:v>
      </x:c>
      <x:c r="B2607" s="59" t="str">
        <x:v>api_available</x:v>
      </x:c>
      <x:c r="C2607" s="59" t="str">
        <x:v>UNKNOWN</x:v>
      </x:c>
    </x:row>
    <x:row r="2608" ht="30" customHeight="1">
      <x:c r="A2608" s="59" t="str">
        <x:v>PSE_INVESTMENTS_RADK</x:v>
      </x:c>
      <x:c r="B2608" s="59" t="str">
        <x:v>gis_available</x:v>
      </x:c>
      <x:c r="C2608" s="59" t="str">
        <x:v>UNKNOWN</x:v>
      </x:c>
    </x:row>
    <x:row r="2609" ht="30" customHeight="1">
      <x:c r="A2609" s="59" t="str">
        <x:v>PSE_INVESTMENTS_RADK</x:v>
      </x:c>
      <x:c r="B2609" s="59" t="str">
        <x:v>update_frequency</x:v>
      </x:c>
      <x:c r="C2609" s="59" t="str">
        <x:v>UNKNOWN — nie ustalono gwarantowanego cyklu publikacji.</x:v>
      </x:c>
    </x:row>
    <x:row r="2610" ht="30" customHeight="1">
      <x:c r="A2610" s="59" t="str">
        <x:v>PSE_INVESTMENTS_RADK</x:v>
      </x:c>
      <x:c r="B2610" s="59" t="str">
        <x:v>historical_data</x:v>
      </x:c>
      <x:c r="C2610" s="59" t="str">
        <x:v>UNKNOWN — własne snapshoty od 10.09.2026, jeśli zapisano próbkę.</x:v>
      </x:c>
    </x:row>
    <x:row r="2611" ht="30" customHeight="1">
      <x:c r="A2611" s="59" t="str">
        <x:v>PSE_INVESTMENTS_RADK</x:v>
      </x:c>
      <x:c r="B2611" s="59" t="str">
        <x:v>authentication</x:v>
      </x:c>
      <x:c r="C2611" s="59" t="str">
        <x:v>Odczyt publicznej strony bez konta; nie dowodzi dostępu do wszystkich danych.</x:v>
      </x:c>
    </x:row>
    <x:row r="2612" ht="30" customHeight="1">
      <x:c r="A2612" s="59" t="str">
        <x:v>PSE_INVESTMENTS_RADK</x:v>
      </x:c>
      <x:c r="B2612" s="59" t="str">
        <x:v>license</x:v>
      </x:c>
      <x:c r="C2612" s="59" t="str">
        <x:v>UNKNOWN — nie potwierdzono otwartej licencji wybranego zbioru.</x:v>
      </x:c>
    </x:row>
    <x:row r="2613" ht="30" customHeight="1">
      <x:c r="A2613" s="59" t="str">
        <x:v>PSE_INVESTMENTS_RADK</x:v>
      </x:c>
      <x:c r="B2613" s="59" t="str">
        <x:v>license_url</x:v>
      </x:c>
      <x:c r="C2613" s="59" t="str">
        <x:v>UNKNOWN — nie ustalono</x:v>
      </x:c>
    </x:row>
    <x:row r="2614" ht="30" customHeight="1">
      <x:c r="A2614" s="59" t="str">
        <x:v>PSE_INVESTMENTS_RADK</x:v>
      </x:c>
      <x:c r="B2614" s="59" t="str">
        <x:v>commercial_use</x:v>
      </x:c>
      <x:c r="C2614" s="59" t="str">
        <x:v>UNKNOWN</x:v>
      </x:c>
    </x:row>
    <x:row r="2615" ht="30" customHeight="1">
      <x:c r="A2615" s="59" t="str">
        <x:v>PSE_INVESTMENTS_RADK</x:v>
      </x:c>
      <x:c r="B2615" s="59" t="str">
        <x:v>machine_readable</x:v>
      </x:c>
      <x:c r="C2615" s="59" t="str">
        <x:v>PARTIAL — HTML wymaga rozpoznania sekcji</x:v>
      </x:c>
    </x:row>
    <x:row r="2616" ht="30" customHeight="1">
      <x:c r="A2616" s="59" t="str">
        <x:v>PSE_INVESTMENTS_RADK</x:v>
      </x:c>
      <x:c r="B2616" s="59" t="str">
        <x:v>scraping_required</x:v>
      </x:c>
      <x:c r="C2616" s="59" t="str">
        <x:v>YES — dla tego widoku HTML; brak wdrożonego cyklicznego scrapera</x:v>
      </x:c>
    </x:row>
    <x:row r="2617" ht="30" customHeight="1">
      <x:c r="A2617" s="59" t="str">
        <x:v>PSE_INVESTMENTS_RADK</x:v>
      </x:c>
      <x:c r="B2617" s="59" t="str">
        <x:v>data_quality_score</x:v>
      </x:c>
      <x:c r="C2617" s="59" t="str">
        <x:v>UNKNOWN — nie ustalono</x:v>
      </x:c>
    </x:row>
    <x:row r="2618" ht="30" customHeight="1">
      <x:c r="A2618" s="59" t="str">
        <x:v>PSE_INVESTMENTS_RADK</x:v>
      </x:c>
      <x:c r="B2618" s="59" t="str">
        <x:v>quality_score_status</x:v>
      </x:c>
      <x:c r="C2618" s="59" t="str">
        <x:v>NOT_CALIBRATED — autorytet źródła nie jest procentem kompletności lub trafności.</x:v>
      </x:c>
    </x:row>
    <x:row r="2619" ht="30" customHeight="1">
      <x:c r="A2619" s="59" t="str">
        <x:v>PSE_INVESTMENTS_RADK</x:v>
      </x:c>
      <x:c r="B2619" s="59" t="str">
        <x:v>last_verified</x:v>
      </x:c>
      <x:c r="C2619" s="60" t="n">
        <x:v>46282</x:v>
      </x:c>
    </x:row>
    <x:row r="2620" ht="30" customHeight="1">
      <x:c r="A2620" s="59" t="str">
        <x:v>PSE_INVESTMENTS_RADK</x:v>
      </x:c>
      <x:c r="B2620" s="59" t="str">
        <x:v>last_successful_verification</x:v>
      </x:c>
      <x:c r="C2620" s="60" t="n">
        <x:v>46282</x:v>
      </x:c>
    </x:row>
    <x:row r="2621" ht="30" customHeight="1">
      <x:c r="A2621" s="59" t="str">
        <x:v>PSE_INVESTMENTS_RADK</x:v>
      </x:c>
      <x:c r="B2621" s="59" t="str">
        <x:v>source_date</x:v>
      </x:c>
      <x:c r="C2621" s="59" t="str">
        <x:v>UNKNOWN — nie ustalono</x:v>
      </x:c>
    </x:row>
    <x:row r="2622" ht="30" customHeight="1">
      <x:c r="A2622" s="59" t="str">
        <x:v>PSE_INVESTMENTS_RADK</x:v>
      </x:c>
      <x:c r="B2622" s="59" t="str">
        <x:v>publication_date</x:v>
      </x:c>
      <x:c r="C2622" s="59" t="str">
        <x:v>UNKNOWN — nie ustalono</x:v>
      </x:c>
    </x:row>
    <x:row r="2623" ht="30" customHeight="1">
      <x:c r="A2623" s="59" t="str">
        <x:v>PSE_INVESTMENTS_RADK</x:v>
      </x:c>
      <x:c r="B2623" s="59" t="str">
        <x:v>source_version</x:v>
      </x:c>
      <x:c r="C2623" s="59" t="str">
        <x:v>UNKNOWN — nie ustalono</x:v>
      </x:c>
    </x:row>
    <x:row r="2624" ht="30" customHeight="1">
      <x:c r="A2624" s="59" t="str">
        <x:v>PSE_INVESTMENTS_RADK</x:v>
      </x:c>
      <x:c r="B2624" s="59" t="str">
        <x:v>source_page</x:v>
      </x:c>
      <x:c r="C2624" s="59" t="str">
        <x:v>UNKNOWN — nie ustalono</x:v>
      </x:c>
    </x:row>
    <x:row r="2625" ht="30" customHeight="1">
      <x:c r="A2625" s="59" t="str">
        <x:v>PSE_INVESTMENTS_RADK</x:v>
      </x:c>
      <x:c r="B2625" s="59" t="str">
        <x:v>valid_from</x:v>
      </x:c>
      <x:c r="C2625" s="59" t="str">
        <x:v>UNKNOWN — nie ustalono</x:v>
      </x:c>
    </x:row>
    <x:row r="2626" ht="30" customHeight="1">
      <x:c r="A2626" s="59" t="str">
        <x:v>PSE_INVESTMENTS_RADK</x:v>
      </x:c>
      <x:c r="B2626" s="59" t="str">
        <x:v>valid_to</x:v>
      </x:c>
      <x:c r="C2626" s="59" t="str">
        <x:v>UNKNOWN — nie ustalono</x:v>
      </x:c>
    </x:row>
    <x:row r="2627" ht="30" customHeight="1">
      <x:c r="A2627" s="59" t="str">
        <x:v>PSE_INVESTMENTS_RADK</x:v>
      </x:c>
      <x:c r="B2627" s="59" t="str">
        <x:v>current_future_scope</x:v>
      </x:c>
      <x:c r="C2627" s="59" t="str">
        <x:v>SOURCE_DEPENDENT</x:v>
      </x:c>
    </x:row>
    <x:row r="2628" ht="30" customHeight="1">
      <x:c r="A2628" s="59" t="str">
        <x:v>PSE_INVESTMENTS_RADK</x:v>
      </x:c>
      <x:c r="B2628" s="59" t="str">
        <x:v>value_classification_default</x:v>
      </x:c>
      <x:c r="C2628" s="59" t="str">
        <x:v>REPORTED</x:v>
      </x:c>
    </x:row>
    <x:row r="2629" ht="38" customHeight="1">
      <x:c r="A2629" s="59" t="str">
        <x:v>PSE_INVESTMENTS_RADK</x:v>
      </x:c>
      <x:c r="B2629" s="59" t="str">
        <x:v>automation_notes</x:v>
      </x:c>
      <x:c r="C2629" s="59" t="str">
        <x:v>Jednorazowy przegląd; brak zgody na stały scraper wynikającej z samego dostępu. Sprawdzić warunki, robots.txt i limity przed wdrożeniem.</x:v>
      </x:c>
    </x:row>
    <x:row r="2630" ht="30" customHeight="1">
      <x:c r="A2630" s="59" t="str">
        <x:v>PSE_INVESTMENTS_RADK</x:v>
      </x:c>
      <x:c r="B2630" s="59" t="str">
        <x:v>probe_ids</x:v>
      </x:c>
      <x:c r="C2630" s="59" t="str">
        <x:v>[ "PSE_INVESTMENTS_RADK" ]</x:v>
      </x:c>
    </x:row>
    <x:row r="2631" ht="30" customHeight="1">
      <x:c r="A2631" s="59" t="str">
        <x:v>PSE_INVESTMENTS_RADK</x:v>
      </x:c>
      <x:c r="B2631" s="59" t="str">
        <x:v>related_urls</x:v>
      </x:c>
      <x:c r="C2631" s="59" t="str">
        <x:v>[]</x:v>
      </x:c>
    </x:row>
    <x:row r="2632" ht="30" customHeight="1">
      <x:c r="A2632" s="59" t="str">
        <x:v>PSE_INVESTMENTS_RADK</x:v>
      </x:c>
      <x:c r="B2632" s="59" t="str">
        <x:v>source_id</x:v>
      </x:c>
      <x:c r="C2632" s="59" t="str">
        <x:v>PSE_INVESTMENTS_RADK</x:v>
      </x:c>
    </x:row>
    <x:row r="2633" ht="30" customHeight="1">
      <x:c r="A2633" s="59" t="str">
        <x:v>PSE_INVESTMENTS_RADK</x:v>
      </x:c>
      <x:c r="B2633" s="59" t="str">
        <x:v>operator</x:v>
      </x:c>
      <x:c r="C2633" s="59" t="str">
        <x:v>PSE</x:v>
      </x:c>
    </x:row>
    <x:row r="2634" ht="30" customHeight="1">
      <x:c r="A2634" s="59" t="str">
        <x:v>PSE_INVESTMENTS_RADK</x:v>
      </x:c>
      <x:c r="B2634" s="59" t="str">
        <x:v>source_name</x:v>
      </x:c>
      <x:c r="C2634" s="59" t="str">
        <x:v>Portal inwestycji PSE — sekcja Radkowice</x:v>
      </x:c>
    </x:row>
    <x:row r="2635" ht="30" customHeight="1">
      <x:c r="A2635" s="59" t="str">
        <x:v>PSE_INVESTMENTS_RADK</x:v>
      </x:c>
      <x:c r="B2635" s="59" t="str">
        <x:v>url</x:v>
      </x:c>
      <x:c r="C2635" s="59" t="str">
        <x:v>https://inwestycje.pse.pl/mapa_inwestycji_pse/</x:v>
      </x:c>
    </x:row>
    <x:row r="2636" ht="30" customHeight="1">
      <x:c r="A2636" s="59" t="str">
        <x:v>PSE_INVESTMENTS_RADK</x:v>
      </x:c>
      <x:c r="B2636" s="59" t="str">
        <x:v>data_owner</x:v>
      </x:c>
      <x:c r="C2636" s="59" t="str">
        <x:v>PSE S.A.</x:v>
      </x:c>
    </x:row>
    <x:row r="2637" ht="30" customHeight="1">
      <x:c r="A2637" s="59" t="str">
        <x:v>PSE_INVESTMENTS_RADK</x:v>
      </x:c>
      <x:c r="B2637" s="59" t="str">
        <x:v>data_category</x:v>
      </x:c>
      <x:c r="C2637" s="59" t="str">
        <x:v>grid_investments</x:v>
      </x:c>
    </x:row>
    <x:row r="2638" ht="30" customHeight="1">
      <x:c r="A2638" s="59" t="str">
        <x:v>PSE_INVESTMENTS_RADK</x:v>
      </x:c>
      <x:c r="B2638" s="59" t="str">
        <x:v>data_format</x:v>
      </x:c>
      <x:c r="C2638" s="59" t="str">
        <x:v>[ "HTML" ]</x:v>
      </x:c>
    </x:row>
    <x:row r="2639" ht="30" customHeight="1">
      <x:c r="A2639" s="59" t="str">
        <x:v>PSE_INVESTMENTS_RADK</x:v>
      </x:c>
      <x:c r="B2639" s="59" t="str">
        <x:v>verification_status</x:v>
      </x:c>
      <x:c r="C2639" s="59" t="str">
        <x:v>CONTENT_REVIEWED</x:v>
      </x:c>
    </x:row>
    <x:row r="2640" ht="30" customHeight="1">
      <x:c r="A2640" s="59" t="str">
        <x:v>PSE_INVESTMENTS_RADK</x:v>
      </x:c>
      <x:c r="B2640" s="59" t="str">
        <x:v>reliability</x:v>
      </x:c>
      <x:c r="C2640" s="59" t="str">
        <x:v>B</x:v>
      </x:c>
    </x:row>
    <x:row r="2641" ht="30" customHeight="1">
      <x:c r="A2641" s="59" t="str">
        <x:v>PSE_INVESTMENTS_RADK</x:v>
      </x:c>
      <x:c r="B2641" s="59" t="str">
        <x:v>key_fields</x:v>
      </x:c>
      <x:c r="C2641" s="59" t="str">
        <x:v>[ "nazwa inwestycji", "etap", "status", "rok zakończenia" ]</x:v>
      </x:c>
    </x:row>
    <x:row r="2642" ht="30" customHeight="1">
      <x:c r="A2642" s="59" t="str">
        <x:v>PSE_INVESTMENTS_RADK</x:v>
      </x:c>
      <x:c r="B2642" s="59" t="str">
        <x:v>potential_application</x:v>
      </x:c>
      <x:c r="C2642" s="59" t="str">
        <x:v>Oddzielenie zakończonych i przyszłych prac w stacji pilota</x:v>
      </x:c>
    </x:row>
    <x:row r="2643" ht="52" customHeight="1">
      <x:c r="A2643" s="59" t="str">
        <x:v>PSE_INVESTMENTS_RADK</x:v>
      </x:c>
      <x:c r="B2643" s="59" t="str">
        <x:v>known_limitations</x:v>
      </x:c>
      <x:c r="C2643" s="59" t="str">
        <x:v>[ "Brak gwarantowanej częstotliwości aktualizacji i daty każdej zmiany", "Wspólna nazwa stacji nie identyfikuje automatycznie tego samego zadania lub transformatora", "Raport wpływu za 2023 rok i portal podają różne lata dla podobnie nazwanego zadania transformatora; zakres i data odbioru nierozstrzygnięte." ]</x:v>
      </x:c>
    </x:row>
    <x:row r="2644" ht="30" customHeight="1">
      <x:c r="A2644" s="59" t="str">
        <x:v>PSE_INVESTMENTS_RADK</x:v>
      </x:c>
      <x:c r="B2644" s="59" t="str">
        <x:v>priority</x:v>
      </x:c>
      <x:c r="C2644" s="59" t="str">
        <x:v>P0</x:v>
      </x:c>
    </x:row>
    <x:row r="2645" ht="94" customHeight="1">
      <x:c r="A2645" s="59" t="str">
        <x:v>PSE_INVESTMENTS_RADK</x:v>
      </x:c>
      <x:c r="B2645" s="59" t="str">
        <x:v>evidence (1/3)</x:v>
      </x:c>
      <x:c r="C2645"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"source_id": "PSE_INVESTMENTS_RADK", "url": "https://inwestycje.pse.pl/mapa_inwestycji_pse/", "retrieval_date": "2026-09-17T06:40:16.579444+00:00", "local_path":</x:v>
      </x:c>
    </x:row>
    <x:row r="2646" ht="94" customHeight="1">
      <x:c r="A2646" s="59" t="str">
        <x:v>PSE_INVESTMENTS_RADK</x:v>
      </x:c>
      <x:c r="B2646" s="59" t="str">
        <x:v>evidence (2/3)</x:v>
      </x:c>
      <x:c r="C2646" s="59" t="str">
        <x:v>"data/raw/research/2026-09-17/pse_investment_map_2026-09-17.html", "sha256": "f0375814ed8665ea7646ccea8087fa72d27c5a0f745fd804c33ce60a4131dc27", "bytes": 660780, "content_type": [ "text/html; charset=UTF-8" ], "http_status": 200, "error": null, "manifest": "data/catalog/probe_results_radkowice_investment_dates_2026-09-17.json" }, { "retrieval_date": "2026-09-11T10:42:22.0922672Z", "http_status": 200, "sha256": "2d03643156da9b3d1886353d58491131b3cefed680fa23f45afd2056ff3d8b73", "local_path": "data/raw/research/2026-09-11/pse_investments.html", "content_type": "text/html; charset=UTF-8", "url": "https://inwestycje.pse.pl/", "bytes": 696937,</x:v>
      </x:c>
    </x:row>
    <x:row r="2647" ht="30" customHeight="1">
      <x:c r="A2647" s="59" t="str">
        <x:v>PSE_INVESTMENTS_RADK</x:v>
      </x:c>
      <x:c r="B2647" s="59" t="str">
        <x:v>evidence (3/3)</x:v>
      </x:c>
      <x:c r="C2647" s="59" t="str">
        <x:v>"source_id": "PSE_INVESTMENTS_RADK", "manifest": "data/catalog/radkowice_snapshot_manifest.json" } ]</x:v>
      </x:c>
    </x:row>
    <x:row r="2648" ht="30" customHeight="1">
      <x:c r="A2648" s="59" t="str">
        <x:v>PSE_INVESTMENTS_RADK</x:v>
      </x:c>
      <x:c r="B2648" s="59" t="str">
        <x:v>retrieval_date</x:v>
      </x:c>
      <x:c r="C2648" s="59" t="str">
        <x:v>[ "2026-09-15T16:30:45.448433+00:00", "2026-09-17T06:40:16.579444+00:00", "2026-09-11T10:42:22.0922672Z" ]</x:v>
      </x:c>
    </x:row>
    <x:row r="2649" ht="30" customHeight="1">
      <x:c r="A2649" s="59" t="str">
        <x:v>CHECINY_ENERGY_PLAN</x:v>
      </x:c>
      <x:c r="B2649" s="59" t="str">
        <x:v>country</x:v>
      </x:c>
      <x:c r="C2649" s="59" t="str">
        <x:v>PL</x:v>
      </x:c>
    </x:row>
    <x:row r="2650" ht="30" customHeight="1">
      <x:c r="A2650" s="59" t="str">
        <x:v>CHECINY_ENERGY_PLAN</x:v>
      </x:c>
      <x:c r="B2650" s="59" t="str">
        <x:v>geographical_scope</x:v>
      </x:c>
      <x:c r="C2650" s="59" t="str">
        <x:v>Gmina Chęciny i opisane powiązania sieciowe</x:v>
      </x:c>
    </x:row>
    <x:row r="2651" ht="30" customHeight="1">
      <x:c r="A2651" s="59" t="str">
        <x:v>CHECINY_ENERGY_PLAN</x:v>
      </x:c>
      <x:c r="B2651" s="59" t="str">
        <x:v>grid_voltage</x:v>
      </x:c>
      <x:c r="C2651" s="59" t="str">
        <x:v>[ "220 kV", "110 kV", "SN" ]</x:v>
      </x:c>
    </x:row>
    <x:row r="2652" ht="30" customHeight="1">
      <x:c r="A2652" s="59" t="str">
        <x:v>CHECINY_ENERGY_PLAN</x:v>
      </x:c>
      <x:c r="B2652" s="59" t="str">
        <x:v>api_available</x:v>
      </x:c>
      <x:c r="C2652" s="59" t="str">
        <x:v>UNKNOWN</x:v>
      </x:c>
    </x:row>
    <x:row r="2653" ht="30" customHeight="1">
      <x:c r="A2653" s="59" t="str">
        <x:v>CHECINY_ENERGY_PLAN</x:v>
      </x:c>
      <x:c r="B2653" s="59" t="str">
        <x:v>gis_available</x:v>
      </x:c>
      <x:c r="C2653" s="59" t="str">
        <x:v>UNKNOWN</x:v>
      </x:c>
    </x:row>
    <x:row r="2654" ht="30" customHeight="1">
      <x:c r="A2654" s="59" t="str">
        <x:v>CHECINY_ENERGY_PLAN</x:v>
      </x:c>
      <x:c r="B2654" s="59" t="str">
        <x:v>update_frequency</x:v>
      </x:c>
      <x:c r="C2654" s="59" t="str">
        <x:v>UNKNOWN — nie ustalono gwarantowanego cyklu publikacji.</x:v>
      </x:c>
    </x:row>
    <x:row r="2655" ht="30" customHeight="1">
      <x:c r="A2655" s="59" t="str">
        <x:v>CHECINY_ENERGY_PLAN</x:v>
      </x:c>
      <x:c r="B2655" s="59" t="str">
        <x:v>historical_data</x:v>
      </x:c>
      <x:c r="C2655" s="59" t="str">
        <x:v>UNKNOWN — własne snapshoty od 10.09.2026, jeśli zapisano próbkę.</x:v>
      </x:c>
    </x:row>
    <x:row r="2656" ht="30" customHeight="1">
      <x:c r="A2656" s="59" t="str">
        <x:v>CHECINY_ENERGY_PLAN</x:v>
      </x:c>
      <x:c r="B2656" s="59" t="str">
        <x:v>authentication</x:v>
      </x:c>
      <x:c r="C2656" s="59" t="str">
        <x:v>Odczyt publicznej strony bez konta; nie dowodzi dostępu do wszystkich danych.</x:v>
      </x:c>
    </x:row>
    <x:row r="2657" ht="30" customHeight="1">
      <x:c r="A2657" s="59" t="str">
        <x:v>CHECINY_ENERGY_PLAN</x:v>
      </x:c>
      <x:c r="B2657" s="59" t="str">
        <x:v>license</x:v>
      </x:c>
      <x:c r="C2657" s="59" t="str">
        <x:v>UNKNOWN — nie potwierdzono otwartej licencji wybranego zbioru.</x:v>
      </x:c>
    </x:row>
    <x:row r="2658" ht="30" customHeight="1">
      <x:c r="A2658" s="59" t="str">
        <x:v>CHECINY_ENERGY_PLAN</x:v>
      </x:c>
      <x:c r="B2658" s="59" t="str">
        <x:v>license_url</x:v>
      </x:c>
      <x:c r="C2658" s="59" t="str">
        <x:v>UNKNOWN — nie ustalono</x:v>
      </x:c>
    </x:row>
    <x:row r="2659" ht="30" customHeight="1">
      <x:c r="A2659" s="59" t="str">
        <x:v>CHECINY_ENERGY_PLAN</x:v>
      </x:c>
      <x:c r="B2659" s="59" t="str">
        <x:v>commercial_use</x:v>
      </x:c>
      <x:c r="C2659" s="59" t="str">
        <x:v>UNKNOWN</x:v>
      </x:c>
    </x:row>
    <x:row r="2660" ht="30" customHeight="1">
      <x:c r="A2660" s="59" t="str">
        <x:v>CHECINY_ENERGY_PLAN</x:v>
      </x:c>
      <x:c r="B2660" s="59" t="str">
        <x:v>machine_readable</x:v>
      </x:c>
      <x:c r="C2660" s="59" t="str">
        <x:v>PARTIAL — tekst PDF i schematy</x:v>
      </x:c>
    </x:row>
    <x:row r="2661" ht="30" customHeight="1">
      <x:c r="A2661" s="59" t="str">
        <x:v>CHECINY_ENERGY_PLAN</x:v>
      </x:c>
      <x:c r="B2661" s="59" t="str">
        <x:v>scraping_required</x:v>
      </x:c>
      <x:c r="C2661" s="59" t="str">
        <x:v>NO — bezpośredni PDF; ekstrakcja i kontrola dokumentu</x:v>
      </x:c>
    </x:row>
    <x:row r="2662" ht="30" customHeight="1">
      <x:c r="A2662" s="59" t="str">
        <x:v>CHECINY_ENERGY_PLAN</x:v>
      </x:c>
      <x:c r="B2662" s="59" t="str">
        <x:v>data_quality_score</x:v>
      </x:c>
      <x:c r="C2662" s="59" t="str">
        <x:v>UNKNOWN — nie ustalono</x:v>
      </x:c>
    </x:row>
    <x:row r="2663" ht="30" customHeight="1">
      <x:c r="A2663" s="59" t="str">
        <x:v>CHECINY_ENERGY_PLAN</x:v>
      </x:c>
      <x:c r="B2663" s="59" t="str">
        <x:v>quality_score_status</x:v>
      </x:c>
      <x:c r="C2663" s="59" t="str">
        <x:v>NOT_CALIBRATED — autorytet źródła nie jest procentem kompletności lub trafności.</x:v>
      </x:c>
    </x:row>
    <x:row r="2664" ht="30" customHeight="1">
      <x:c r="A2664" s="59" t="str">
        <x:v>CHECINY_ENERGY_PLAN</x:v>
      </x:c>
      <x:c r="B2664" s="59" t="str">
        <x:v>last_verified</x:v>
      </x:c>
      <x:c r="C2664" s="60" t="n">
        <x:v>46276</x:v>
      </x:c>
    </x:row>
    <x:row r="2665" ht="30" customHeight="1">
      <x:c r="A2665" s="59" t="str">
        <x:v>CHECINY_ENERGY_PLAN</x:v>
      </x:c>
      <x:c r="B2665" s="59" t="str">
        <x:v>last_successful_verification</x:v>
      </x:c>
      <x:c r="C2665" s="60" t="n">
        <x:v>46276</x:v>
      </x:c>
    </x:row>
    <x:row r="2666" ht="30" customHeight="1">
      <x:c r="A2666" s="59" t="str">
        <x:v>CHECINY_ENERGY_PLAN</x:v>
      </x:c>
      <x:c r="B2666" s="59" t="str">
        <x:v>source_date</x:v>
      </x:c>
      <x:c r="C2666" s="59" t="str">
        <x:v>UNKNOWN — nie ustalono</x:v>
      </x:c>
    </x:row>
    <x:row r="2667" ht="30" customHeight="1">
      <x:c r="A2667" s="59" t="str">
        <x:v>CHECINY_ENERGY_PLAN</x:v>
      </x:c>
      <x:c r="B2667" s="59" t="str">
        <x:v>publication_date</x:v>
      </x:c>
      <x:c r="C2667" s="59" t="str">
        <x:v>UNKNOWN — nie ustalono</x:v>
      </x:c>
    </x:row>
    <x:row r="2668" ht="30" customHeight="1">
      <x:c r="A2668" s="59" t="str">
        <x:v>CHECINY_ENERGY_PLAN</x:v>
      </x:c>
      <x:c r="B2668" s="59" t="str">
        <x:v>source_version</x:v>
      </x:c>
      <x:c r="C2668" s="59" t="str">
        <x:v>UNKNOWN — nie ustalono</x:v>
      </x:c>
    </x:row>
    <x:row r="2669" ht="30" customHeight="1">
      <x:c r="A2669" s="59" t="str">
        <x:v>CHECINY_ENERGY_PLAN</x:v>
      </x:c>
      <x:c r="B2669" s="59" t="str">
        <x:v>source_page</x:v>
      </x:c>
      <x:c r="C2669" s="59" t="str">
        <x:v>21–25 (numeracja PDF od 1)</x:v>
      </x:c>
    </x:row>
    <x:row r="2670" ht="30" customHeight="1">
      <x:c r="A2670" s="59" t="str">
        <x:v>CHECINY_ENERGY_PLAN</x:v>
      </x:c>
      <x:c r="B2670" s="59" t="str">
        <x:v>valid_from</x:v>
      </x:c>
      <x:c r="C2670" s="59" t="str">
        <x:v>UNKNOWN — nie ustalono</x:v>
      </x:c>
    </x:row>
    <x:row r="2671" ht="30" customHeight="1">
      <x:c r="A2671" s="59" t="str">
        <x:v>CHECINY_ENERGY_PLAN</x:v>
      </x:c>
      <x:c r="B2671" s="59" t="str">
        <x:v>valid_to</x:v>
      </x:c>
      <x:c r="C2671" s="59" t="str">
        <x:v>UNKNOWN — nie ustalono</x:v>
      </x:c>
    </x:row>
    <x:row r="2672" ht="30" customHeight="1">
      <x:c r="A2672" s="59" t="str">
        <x:v>CHECINY_ENERGY_PLAN</x:v>
      </x:c>
      <x:c r="B2672" s="59" t="str">
        <x:v>current_future_scope</x:v>
      </x:c>
      <x:c r="C2672" s="59" t="str">
        <x:v>SOURCE_DEPENDENT</x:v>
      </x:c>
    </x:row>
    <x:row r="2673" ht="30" customHeight="1">
      <x:c r="A2673" s="59" t="str">
        <x:v>CHECINY_ENERGY_PLAN</x:v>
      </x:c>
      <x:c r="B2673" s="59" t="str">
        <x:v>value_classification_default</x:v>
      </x:c>
      <x:c r="C2673" s="59" t="str">
        <x:v>REPORTED</x:v>
      </x:c>
    </x:row>
    <x:row r="2674" ht="38" customHeight="1">
      <x:c r="A2674" s="59" t="str">
        <x:v>CHECINY_ENERGY_PLAN</x:v>
      </x:c>
      <x:c r="B2674" s="59" t="str">
        <x:v>automation_notes</x:v>
      </x:c>
      <x:c r="C2674" s="59" t="str">
        <x:v>Jednorazowy przegląd; brak zgody na stały scraper wynikającej z samego dostępu. Sprawdzić warunki, robots.txt i limity przed wdrożeniem.</x:v>
      </x:c>
    </x:row>
    <x:row r="2675" ht="30" customHeight="1">
      <x:c r="A2675" s="59" t="str">
        <x:v>CHECINY_ENERGY_PLAN</x:v>
      </x:c>
      <x:c r="B2675" s="59" t="str">
        <x:v>probe_ids</x:v>
      </x:c>
      <x:c r="C2675" s="59" t="str">
        <x:v>[ "CHECINY_ENERGY_PLAN" ]</x:v>
      </x:c>
    </x:row>
    <x:row r="2676" ht="30" customHeight="1">
      <x:c r="A2676" s="59" t="str">
        <x:v>CHECINY_ENERGY_PLAN</x:v>
      </x:c>
      <x:c r="B2676" s="59" t="str">
        <x:v>related_urls</x:v>
      </x:c>
      <x:c r="C2676" s="59" t="str">
        <x:v>[]</x:v>
      </x:c>
    </x:row>
    <x:row r="2677" ht="30" customHeight="1">
      <x:c r="A2677" s="59" t="str">
        <x:v>CHECINY_ENERGY_PLAN</x:v>
      </x:c>
      <x:c r="B2677" s="59" t="str">
        <x:v>source_id</x:v>
      </x:c>
      <x:c r="C2677" s="59" t="str">
        <x:v>CHECINY_ENERGY_PLAN</x:v>
      </x:c>
    </x:row>
    <x:row r="2678" ht="30" customHeight="1">
      <x:c r="A2678" s="59" t="str">
        <x:v>CHECINY_ENERGY_PLAN</x:v>
      </x:c>
      <x:c r="B2678" s="59" t="str">
        <x:v>operator</x:v>
      </x:c>
      <x:c r="C2678" s="59" t="str">
        <x:v>PSE / PGE — informacje przypisane w dokumencie gminy</x:v>
      </x:c>
    </x:row>
    <x:row r="2679" ht="30" customHeight="1">
      <x:c r="A2679" s="59" t="str">
        <x:v>CHECINY_ENERGY_PLAN</x:v>
      </x:c>
      <x:c r="B2679" s="59" t="str">
        <x:v>source_name</x:v>
      </x:c>
      <x:c r="C2679" s="59" t="str">
        <x:v>BIP Chęcin — założenia energetyczne 2025–2027 z perspektywą 2040</x:v>
      </x:c>
    </x:row>
    <x:row r="2680" ht="30" customHeight="1">
      <x:c r="A2680" s="59" t="str">
        <x:v>CHECINY_ENERGY_PLAN</x:v>
      </x:c>
      <x:c r="B2680" s="59" t="str">
        <x:v>url</x:v>
      </x:c>
      <x:c r="C2680" s="59" t="str">
        <x:v>https://checiny.biuletyn.net/fls/bip_pliki/2026_03/BIPF64CD10561EC15Z/PZCEEPG_2025-2027.pdf</x:v>
      </x:c>
    </x:row>
    <x:row r="2681" ht="30" customHeight="1">
      <x:c r="A2681" s="59" t="str">
        <x:v>CHECINY_ENERGY_PLAN</x:v>
      </x:c>
      <x:c r="B2681" s="59" t="str">
        <x:v>data_owner</x:v>
      </x:c>
      <x:c r="C2681" s="59" t="str">
        <x:v>Gmina Chęciny — publikujący dokument; pierwotne dane PSE/PGE</x:v>
      </x:c>
    </x:row>
    <x:row r="2682" ht="30" customHeight="1">
      <x:c r="A2682" s="59" t="str">
        <x:v>CHECINY_ENERGY_PLAN</x:v>
      </x:c>
      <x:c r="B2682" s="59" t="str">
        <x:v>data_category</x:v>
      </x:c>
      <x:c r="C2682" s="59" t="str">
        <x:v>local_grid_and_investments</x:v>
      </x:c>
    </x:row>
    <x:row r="2683" ht="30" customHeight="1">
      <x:c r="A2683" s="59" t="str">
        <x:v>CHECINY_ENERGY_PLAN</x:v>
      </x:c>
      <x:c r="B2683" s="59" t="str">
        <x:v>data_format</x:v>
      </x:c>
      <x:c r="C2683" s="59" t="str">
        <x:v>[ "PDF" ]</x:v>
      </x:c>
    </x:row>
    <x:row r="2684" ht="30" customHeight="1">
      <x:c r="A2684" s="59" t="str">
        <x:v>CHECINY_ENERGY_PLAN</x:v>
      </x:c>
      <x:c r="B2684" s="59" t="str">
        <x:v>verification_status</x:v>
      </x:c>
      <x:c r="C2684" s="59" t="str">
        <x:v>CONTENT_REVIEWED</x:v>
      </x:c>
    </x:row>
    <x:row r="2685" ht="30" customHeight="1">
      <x:c r="A2685" s="59" t="str">
        <x:v>CHECINY_ENERGY_PLAN</x:v>
      </x:c>
      <x:c r="B2685" s="59" t="str">
        <x:v>reliability</x:v>
      </x:c>
      <x:c r="C2685" s="59" t="str">
        <x:v>C</x:v>
      </x:c>
    </x:row>
    <x:row r="2686" ht="30" customHeight="1">
      <x:c r="A2686" s="59" t="str">
        <x:v>CHECINY_ENERGY_PLAN</x:v>
      </x:c>
      <x:c r="B2686" s="59" t="str">
        <x:v>key_fields</x:v>
      </x:c>
      <x:c r="C2686" s="59" t="str">
        <x:v>[ "stacje", "relacje linii", "napięcia", "planowane inwestycje", "operator danych" ]</x:v>
      </x:c>
    </x:row>
    <x:row r="2687" ht="30" customHeight="1">
      <x:c r="A2687" s="59" t="str">
        <x:v>CHECINY_ENERGY_PLAN</x:v>
      </x:c>
      <x:c r="B2687" s="59" t="str">
        <x:v>potential_application</x:v>
      </x:c>
      <x:c r="C2687" s="59" t="str">
        <x:v>Dowody topologii referencyjnej i plany dla Radkowic</x:v>
      </x:c>
    </x:row>
    <x:row r="2688" ht="38" customHeight="1">
      <x:c r="A2688" s="59" t="str">
        <x:v>CHECINY_ENERGY_PLAN</x:v>
      </x:c>
      <x:c r="B2688" s="59" t="str">
        <x:v>known_limitations</x:v>
      </x:c>
      <x:c r="C2688" s="59" t="str">
        <x:v>[ "Mieszane daty wejść i starsze opisy planistyczne", "Nie potwierdza aktualnych granic własności ani obsady transformatorów", "Folder 2026_03 w URL nie jest datą obserwacji wszystkich wartości" ]</x:v>
      </x:c>
    </x:row>
    <x:row r="2689" ht="30" customHeight="1">
      <x:c r="A2689" s="59" t="str">
        <x:v>CHECINY_ENERGY_PLAN</x:v>
      </x:c>
      <x:c r="B2689" s="59" t="str">
        <x:v>priority</x:v>
      </x:c>
      <x:c r="C2689" s="59" t="str">
        <x:v>P0</x:v>
      </x:c>
    </x:row>
    <x:row r="2690" ht="80" customHeight="1">
      <x:c r="A2690" s="59" t="str">
        <x:v>CHECINY_ENERGY_PLAN</x:v>
      </x:c>
      <x:c r="B2690" s="59" t="str">
        <x:v>evidence</x:v>
      </x:c>
      <x:c r="C269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691" ht="30" customHeight="1">
      <x:c r="A2691" s="59" t="str">
        <x:v>CHECINY_ENERGY_PLAN</x:v>
      </x:c>
      <x:c r="B2691" s="59" t="str">
        <x:v>retrieval_date</x:v>
      </x:c>
      <x:c r="C2691" s="59" t="str">
        <x:v>[ "2026-09-11T10:42:22.6213255Z" ]</x:v>
      </x:c>
    </x:row>
    <x:row r="2692" ht="30" customHeight="1">
      <x:c r="A2692" s="59" t="str">
        <x:v>PSE_TARIFF_2026</x:v>
      </x:c>
      <x:c r="B2692" s="59" t="str">
        <x:v>country</x:v>
      </x:c>
      <x:c r="C2692" s="59" t="str">
        <x:v>PL</x:v>
      </x:c>
    </x:row>
    <x:row r="2693" ht="30" customHeight="1">
      <x:c r="A2693" s="59" t="str">
        <x:v>PSE_TARIFF_2026</x:v>
      </x:c>
      <x:c r="B2693" s="59" t="str">
        <x:v>geographical_scope</x:v>
      </x:c>
      <x:c r="C2693" s="59" t="str">
        <x:v>Zakres publikacji danego operatora/instytucji; nie założono pełnego pokrycia kraju.</x:v>
      </x:c>
    </x:row>
    <x:row r="2694" ht="30" customHeight="1">
      <x:c r="A2694" s="59" t="str">
        <x:v>PSE_TARIFF_2026</x:v>
      </x:c>
      <x:c r="B2694" s="59" t="str">
        <x:v>grid_voltage</x:v>
      </x:c>
      <x:c r="C2694" s="59" t="str">
        <x:v>[ "UNKNOWN_OR_NOT_APPLICABLE" ]</x:v>
      </x:c>
    </x:row>
    <x:row r="2695" ht="30" customHeight="1">
      <x:c r="A2695" s="59" t="str">
        <x:v>PSE_TARIFF_2026</x:v>
      </x:c>
      <x:c r="B2695" s="59" t="str">
        <x:v>api_available</x:v>
      </x:c>
      <x:c r="C2695" s="59" t="str">
        <x:v>UNKNOWN</x:v>
      </x:c>
    </x:row>
    <x:row r="2696" ht="30" customHeight="1">
      <x:c r="A2696" s="59" t="str">
        <x:v>PSE_TARIFF_2026</x:v>
      </x:c>
      <x:c r="B2696" s="59" t="str">
        <x:v>gis_available</x:v>
      </x:c>
      <x:c r="C2696" s="59" t="str">
        <x:v>UNKNOWN</x:v>
      </x:c>
    </x:row>
    <x:row r="2697" ht="30" customHeight="1">
      <x:c r="A2697" s="59" t="str">
        <x:v>PSE_TARIFF_2026</x:v>
      </x:c>
      <x:c r="B2697" s="59" t="str">
        <x:v>update_frequency</x:v>
      </x:c>
      <x:c r="C2697" s="59" t="str">
        <x:v>UNKNOWN — nie ustalono gwarantowanego cyklu publikacji.</x:v>
      </x:c>
    </x:row>
    <x:row r="2698" ht="30" customHeight="1">
      <x:c r="A2698" s="59" t="str">
        <x:v>PSE_TARIFF_2026</x:v>
      </x:c>
      <x:c r="B2698" s="59" t="str">
        <x:v>historical_data</x:v>
      </x:c>
      <x:c r="C2698" s="59" t="str">
        <x:v>UNKNOWN — własne snapshoty od 10.09.2026, jeśli zapisano próbkę.</x:v>
      </x:c>
    </x:row>
    <x:row r="2699" ht="30" customHeight="1">
      <x:c r="A2699" s="59" t="str">
        <x:v>PSE_TARIFF_2026</x:v>
      </x:c>
      <x:c r="B2699" s="59" t="str">
        <x:v>authentication</x:v>
      </x:c>
      <x:c r="C2699" s="59" t="str">
        <x:v>Odczyt publicznej strony bez konta; nie dowodzi dostępu do wszystkich danych.</x:v>
      </x:c>
    </x:row>
    <x:row r="2700" ht="30" customHeight="1">
      <x:c r="A2700" s="59" t="str">
        <x:v>PSE_TARIFF_2026</x:v>
      </x:c>
      <x:c r="B2700" s="59" t="str">
        <x:v>license</x:v>
      </x:c>
      <x:c r="C2700" s="59" t="str">
        <x:v>UNKNOWN — nie potwierdzono otwartej licencji wybranego zbioru.</x:v>
      </x:c>
    </x:row>
    <x:row r="2701" ht="30" customHeight="1">
      <x:c r="A2701" s="59" t="str">
        <x:v>PSE_TARIFF_2026</x:v>
      </x:c>
      <x:c r="B2701" s="59" t="str">
        <x:v>license_url</x:v>
      </x:c>
      <x:c r="C2701" s="59" t="str">
        <x:v>UNKNOWN — nie ustalono</x:v>
      </x:c>
    </x:row>
    <x:row r="2702" ht="30" customHeight="1">
      <x:c r="A2702" s="59" t="str">
        <x:v>PSE_TARIFF_2026</x:v>
      </x:c>
      <x:c r="B2702" s="59" t="str">
        <x:v>commercial_use</x:v>
      </x:c>
      <x:c r="C2702" s="59" t="str">
        <x:v>UNKNOWN</x:v>
      </x:c>
    </x:row>
    <x:row r="2703" ht="30" customHeight="1">
      <x:c r="A2703" s="59" t="str">
        <x:v>PSE_TARIFF_2026</x:v>
      </x:c>
      <x:c r="B2703" s="59" t="str">
        <x:v>machine_readable</x:v>
      </x:c>
      <x:c r="C2703" s="59" t="str">
        <x:v>PARTIAL — tekst PDF</x:v>
      </x:c>
    </x:row>
    <x:row r="2704" ht="30" customHeight="1">
      <x:c r="A2704" s="59" t="str">
        <x:v>PSE_TARIFF_2026</x:v>
      </x:c>
      <x:c r="B2704" s="59" t="str">
        <x:v>scraping_required</x:v>
      </x:c>
      <x:c r="C2704" s="59" t="str">
        <x:v>NO — bezpośredni PDF</x:v>
      </x:c>
    </x:row>
    <x:row r="2705" ht="30" customHeight="1">
      <x:c r="A2705" s="59" t="str">
        <x:v>PSE_TARIFF_2026</x:v>
      </x:c>
      <x:c r="B2705" s="59" t="str">
        <x:v>data_quality_score</x:v>
      </x:c>
      <x:c r="C2705" s="59" t="str">
        <x:v>UNKNOWN — nie ustalono</x:v>
      </x:c>
    </x:row>
    <x:row r="2706" ht="30" customHeight="1">
      <x:c r="A2706" s="59" t="str">
        <x:v>PSE_TARIFF_2026</x:v>
      </x:c>
      <x:c r="B2706" s="59" t="str">
        <x:v>quality_score_status</x:v>
      </x:c>
      <x:c r="C2706" s="59" t="str">
        <x:v>NOT_CALIBRATED — autorytet źródła nie jest procentem kompletności lub trafności.</x:v>
      </x:c>
    </x:row>
    <x:row r="2707" ht="30" customHeight="1">
      <x:c r="A2707" s="59" t="str">
        <x:v>PSE_TARIFF_2026</x:v>
      </x:c>
      <x:c r="B2707" s="59" t="str">
        <x:v>last_verified</x:v>
      </x:c>
      <x:c r="C2707" s="60" t="n">
        <x:v>46276</x:v>
      </x:c>
    </x:row>
    <x:row r="2708" ht="30" customHeight="1">
      <x:c r="A2708" s="59" t="str">
        <x:v>PSE_TARIFF_2026</x:v>
      </x:c>
      <x:c r="B2708" s="59" t="str">
        <x:v>last_successful_verification</x:v>
      </x:c>
      <x:c r="C2708" s="60" t="n">
        <x:v>46276</x:v>
      </x:c>
    </x:row>
    <x:row r="2709" ht="30" customHeight="1">
      <x:c r="A2709" s="59" t="str">
        <x:v>PSE_TARIFF_2026</x:v>
      </x:c>
      <x:c r="B2709" s="59" t="str">
        <x:v>source_date</x:v>
      </x:c>
      <x:c r="C2709" s="60" t="n">
        <x:v>45994</x:v>
      </x:c>
    </x:row>
    <x:row r="2710" ht="30" customHeight="1">
      <x:c r="A2710" s="59" t="str">
        <x:v>PSE_TARIFF_2026</x:v>
      </x:c>
      <x:c r="B2710" s="59" t="str">
        <x:v>publication_date</x:v>
      </x:c>
      <x:c r="C2710" s="59" t="str">
        <x:v>UNKNOWN — nie ustalono</x:v>
      </x:c>
    </x:row>
    <x:row r="2711" ht="30" customHeight="1">
      <x:c r="A2711" s="59" t="str">
        <x:v>PSE_TARIFF_2026</x:v>
      </x:c>
      <x:c r="B2711" s="59" t="str">
        <x:v>source_version</x:v>
      </x:c>
      <x:c r="C2711" s="59" t="str">
        <x:v>Tekst uwzględniający decyzję z 16.01.2026; data tabel inna</x:v>
      </x:c>
    </x:row>
    <x:row r="2712" ht="30" customHeight="1">
      <x:c r="A2712" s="59" t="str">
        <x:v>PSE_TARIFF_2026</x:v>
      </x:c>
      <x:c r="B2712" s="59" t="str">
        <x:v>source_page</x:v>
      </x:c>
      <x:c r="C2712" s="59" t="str">
        <x:v>42, 43, 46 — tabele 6/7 i ich data stanu</x:v>
      </x:c>
    </x:row>
    <x:row r="2713" ht="30" customHeight="1">
      <x:c r="A2713" s="59" t="str">
        <x:v>PSE_TARIFF_2026</x:v>
      </x:c>
      <x:c r="B2713" s="59" t="str">
        <x:v>valid_from</x:v>
      </x:c>
      <x:c r="C2713" s="59" t="str">
        <x:v>UNKNOWN — nie ustalono</x:v>
      </x:c>
    </x:row>
    <x:row r="2714" ht="30" customHeight="1">
      <x:c r="A2714" s="59" t="str">
        <x:v>PSE_TARIFF_2026</x:v>
      </x:c>
      <x:c r="B2714" s="59" t="str">
        <x:v>valid_to</x:v>
      </x:c>
      <x:c r="C2714" s="59" t="str">
        <x:v>UNKNOWN — nie ustalono</x:v>
      </x:c>
    </x:row>
    <x:row r="2715" ht="30" customHeight="1">
      <x:c r="A2715" s="59" t="str">
        <x:v>PSE_TARIFF_2026</x:v>
      </x:c>
      <x:c r="B2715" s="59" t="str">
        <x:v>current_future_scope</x:v>
      </x:c>
      <x:c r="C2715" s="59" t="str">
        <x:v>SOURCE_DEPENDENT</x:v>
      </x:c>
    </x:row>
    <x:row r="2716" ht="30" customHeight="1">
      <x:c r="A2716" s="59" t="str">
        <x:v>PSE_TARIFF_2026</x:v>
      </x:c>
      <x:c r="B2716" s="59" t="str">
        <x:v>value_classification_default</x:v>
      </x:c>
      <x:c r="C2716" s="59" t="str">
        <x:v>REPORTED</x:v>
      </x:c>
    </x:row>
    <x:row r="2717" ht="38" customHeight="1">
      <x:c r="A2717" s="59" t="str">
        <x:v>PSE_TARIFF_2026</x:v>
      </x:c>
      <x:c r="B2717" s="59" t="str">
        <x:v>automation_notes</x:v>
      </x:c>
      <x:c r="C2717" s="59" t="str">
        <x:v>Jednorazowy przegląd; brak zgody na stały scraper wynikającej z samego dostępu. Sprawdzić warunki, robots.txt i limity przed wdrożeniem.</x:v>
      </x:c>
    </x:row>
    <x:row r="2718" ht="30" customHeight="1">
      <x:c r="A2718" s="59" t="str">
        <x:v>PSE_TARIFF_2026</x:v>
      </x:c>
      <x:c r="B2718" s="59" t="str">
        <x:v>probe_ids</x:v>
      </x:c>
      <x:c r="C2718" s="59" t="str">
        <x:v>[ "PSE_TARIFF_2026" ]</x:v>
      </x:c>
    </x:row>
    <x:row r="2719" ht="30" customHeight="1">
      <x:c r="A2719" s="59" t="str">
        <x:v>PSE_TARIFF_2026</x:v>
      </x:c>
      <x:c r="B2719" s="59" t="str">
        <x:v>related_urls</x:v>
      </x:c>
      <x:c r="C2719" s="59" t="str">
        <x:v>[]</x:v>
      </x:c>
    </x:row>
    <x:row r="2720" ht="30" customHeight="1">
      <x:c r="A2720" s="59" t="str">
        <x:v>PSE_TARIFF_2026</x:v>
      </x:c>
      <x:c r="B2720" s="59" t="str">
        <x:v>source_id</x:v>
      </x:c>
      <x:c r="C2720" s="59" t="str">
        <x:v>PSE_TARIFF_2026</x:v>
      </x:c>
    </x:row>
    <x:row r="2721" ht="30" customHeight="1">
      <x:c r="A2721" s="59" t="str">
        <x:v>PSE_TARIFF_2026</x:v>
      </x:c>
      <x:c r="B2721" s="59" t="str">
        <x:v>operator</x:v>
      </x:c>
      <x:c r="C2721" s="59" t="str">
        <x:v>PSE</x:v>
      </x:c>
    </x:row>
    <x:row r="2722" ht="30" customHeight="1">
      <x:c r="A2722" s="59" t="str">
        <x:v>PSE_TARIFF_2026</x:v>
      </x:c>
      <x:c r="B2722" s="59" t="str">
        <x:v>source_name</x:v>
      </x:c>
      <x:c r="C2722" s="59" t="str">
        <x:v>Taryfa PSE 2026 — odbiorcy i miejsca dostarczania</x:v>
      </x:c>
    </x:row>
    <x:row r="2723" ht="30" customHeight="1">
      <x:c r="A2723" s="59" t="str">
        <x:v>PSE_TARIFF_2026</x:v>
      </x:c>
      <x:c r="B2723" s="59" t="str">
        <x:v>url</x:v>
      </x:c>
      <x:c r="C2723" s="59" t="str">
        <x:v>https://www.pse.pl/documents/20182/7005343691/20260116_Tekst_Taryfy_na_2026_tekst_jednolity.pdf</x:v>
      </x:c>
    </x:row>
    <x:row r="2724" ht="30" customHeight="1">
      <x:c r="A2724" s="59" t="str">
        <x:v>PSE_TARIFF_2026</x:v>
      </x:c>
      <x:c r="B2724" s="59" t="str">
        <x:v>data_owner</x:v>
      </x:c>
      <x:c r="C2724" s="59" t="str">
        <x:v>PSE S.A.</x:v>
      </x:c>
    </x:row>
    <x:row r="2725" ht="30" customHeight="1">
      <x:c r="A2725" s="59" t="str">
        <x:v>PSE_TARIFF_2026</x:v>
      </x:c>
      <x:c r="B2725" s="59" t="str">
        <x:v>data_category</x:v>
      </x:c>
      <x:c r="C2725" s="59" t="str">
        <x:v>operator_delivery_points</x:v>
      </x:c>
    </x:row>
    <x:row r="2726" ht="30" customHeight="1">
      <x:c r="A2726" s="59" t="str">
        <x:v>PSE_TARIFF_2026</x:v>
      </x:c>
      <x:c r="B2726" s="59" t="str">
        <x:v>data_format</x:v>
      </x:c>
      <x:c r="C2726" s="59" t="str">
        <x:v>[ "PDF" ]</x:v>
      </x:c>
    </x:row>
    <x:row r="2727" ht="30" customHeight="1">
      <x:c r="A2727" s="59" t="str">
        <x:v>PSE_TARIFF_2026</x:v>
      </x:c>
      <x:c r="B2727" s="59" t="str">
        <x:v>verification_status</x:v>
      </x:c>
      <x:c r="C2727" s="59" t="str">
        <x:v>CONTENT_REVIEWED</x:v>
      </x:c>
    </x:row>
    <x:row r="2728" ht="30" customHeight="1">
      <x:c r="A2728" s="59" t="str">
        <x:v>PSE_TARIFF_2026</x:v>
      </x:c>
      <x:c r="B2728" s="59" t="str">
        <x:v>reliability</x:v>
      </x:c>
      <x:c r="C2728" s="59" t="str">
        <x:v>B</x:v>
      </x:c>
    </x:row>
    <x:row r="2729" ht="30" customHeight="1">
      <x:c r="A2729" s="59" t="str">
        <x:v>PSE_TARIFF_2026</x:v>
      </x:c>
      <x:c r="B2729" s="59" t="str">
        <x:v>key_fields</x:v>
      </x:c>
      <x:c r="C2729" s="59" t="str">
        <x:v>[ "symbol odbiorcy", "nazwa operatora", "nazwa węzła", "typ MD", "grupa MD" ]</x:v>
      </x:c>
    </x:row>
    <x:row r="2730" ht="30" customHeight="1">
      <x:c r="A2730" s="59" t="str">
        <x:v>PSE_TARIFF_2026</x:v>
      </x:c>
      <x:c r="B2730" s="59" t="str">
        <x:v>potential_application</x:v>
      </x:c>
      <x:c r="C2730" s="59" t="str">
        <x:v>Potwierdzenie relacji taryfowej PGE–Radkowice; nie własność urządzeń</x:v>
      </x:c>
    </x:row>
    <x:row r="2731" ht="38" customHeight="1">
      <x:c r="A2731" s="59" t="str">
        <x:v>PSE_TARIFF_2026</x:v>
      </x:c>
      <x:c r="B2731" s="59" t="str">
        <x:v>known_limitations</x:v>
      </x:c>
      <x:c r="C2731" s="59" t="str">
        <x:v>[ "Tabela może pozostawać niezmieniona mimo zmian umów; nie jest bieżącą telemetrią ani schematem własności", "source_date dotyczy tabel 6 i 7, nie wszystkich rozdziałów taryfy" ]</x:v>
      </x:c>
    </x:row>
    <x:row r="2732" ht="30" customHeight="1">
      <x:c r="A2732" s="59" t="str">
        <x:v>PSE_TARIFF_2026</x:v>
      </x:c>
      <x:c r="B2732" s="59" t="str">
        <x:v>priority</x:v>
      </x:c>
      <x:c r="C2732" s="59" t="str">
        <x:v>P0</x:v>
      </x:c>
    </x:row>
    <x:row r="2733" ht="80" customHeight="1">
      <x:c r="A2733" s="59" t="str">
        <x:v>PSE_TARIFF_2026</x:v>
      </x:c>
      <x:c r="B2733" s="59" t="str">
        <x:v>evidence</x:v>
      </x:c>
      <x:c r="C273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734" ht="30" customHeight="1">
      <x:c r="A2734" s="59" t="str">
        <x:v>PSE_TARIFF_2026</x:v>
      </x:c>
      <x:c r="B2734" s="59" t="str">
        <x:v>retrieval_date</x:v>
      </x:c>
      <x:c r="C2734" s="59" t="str">
        <x:v>[ "2026-09-11T10:50:16.7756540Z" ]</x:v>
      </x:c>
    </x:row>
    <x:row r="2735" ht="30" customHeight="1">
      <x:c r="A2735" s="59" t="str">
        <x:v>PGE_RADK_CAPACITY_ATTEMPT</x:v>
      </x:c>
      <x:c r="B2735" s="59" t="str">
        <x:v>country</x:v>
      </x:c>
      <x:c r="C2735" s="59" t="str">
        <x:v>PL</x:v>
      </x:c>
    </x:row>
    <x:row r="2736" ht="30" customHeight="1">
      <x:c r="A2736" s="59" t="str">
        <x:v>PGE_RADK_CAPACITY_ATTEMPT</x:v>
      </x:c>
      <x:c r="B2736" s="59" t="str">
        <x:v>geographical_scope</x:v>
      </x:c>
      <x:c r="C2736" s="59" t="str">
        <x:v>Zakres publikacji danego operatora/instytucji; nie założono pełnego pokrycia kraju.</x:v>
      </x:c>
    </x:row>
    <x:row r="2737" ht="30" customHeight="1">
      <x:c r="A2737" s="59" t="str">
        <x:v>PGE_RADK_CAPACITY_ATTEMPT</x:v>
      </x:c>
      <x:c r="B2737" s="59" t="str">
        <x:v>grid_voltage</x:v>
      </x:c>
      <x:c r="C2737" s="59" t="str">
        <x:v>[ "UNKNOWN_OR_NOT_APPLICABLE" ]</x:v>
      </x:c>
    </x:row>
    <x:row r="2738" ht="30" customHeight="1">
      <x:c r="A2738" s="59" t="str">
        <x:v>PGE_RADK_CAPACITY_ATTEMPT</x:v>
      </x:c>
      <x:c r="B2738" s="59" t="str">
        <x:v>api_available</x:v>
      </x:c>
      <x:c r="C2738" s="59" t="str">
        <x:v>UNKNOWN</x:v>
      </x:c>
    </x:row>
    <x:row r="2739" ht="30" customHeight="1">
      <x:c r="A2739" s="59" t="str">
        <x:v>PGE_RADK_CAPACITY_ATTEMPT</x:v>
      </x:c>
      <x:c r="B2739" s="59" t="str">
        <x:v>gis_available</x:v>
      </x:c>
      <x:c r="C2739" s="59" t="str">
        <x:v>UNKNOWN</x:v>
      </x:c>
    </x:row>
    <x:row r="2740" ht="30" customHeight="1">
      <x:c r="A2740" s="59" t="str">
        <x:v>PGE_RADK_CAPACITY_ATTEMPT</x:v>
      </x:c>
      <x:c r="B2740" s="59" t="str">
        <x:v>update_frequency</x:v>
      </x:c>
      <x:c r="C2740" s="59" t="str">
        <x:v>UNKNOWN — nie ustalono gwarantowanego cyklu publikacji.</x:v>
      </x:c>
    </x:row>
    <x:row r="2741" ht="30" customHeight="1">
      <x:c r="A2741" s="59" t="str">
        <x:v>PGE_RADK_CAPACITY_ATTEMPT</x:v>
      </x:c>
      <x:c r="B2741" s="59" t="str">
        <x:v>historical_data</x:v>
      </x:c>
      <x:c r="C2741" s="59" t="str">
        <x:v>UNKNOWN — własne snapshoty od 10.09.2026, jeśli zapisano próbkę.</x:v>
      </x:c>
    </x:row>
    <x:row r="2742" ht="30" customHeight="1">
      <x:c r="A2742" s="59" t="str">
        <x:v>PGE_RADK_CAPACITY_ATTEMPT</x:v>
      </x:c>
      <x:c r="B2742" s="59" t="str">
        <x:v>authentication</x:v>
      </x:c>
      <x:c r="C2742" s="59" t="str">
        <x:v>UNKNOWN — pełna treść nie została zweryfikowana.</x:v>
      </x:c>
    </x:row>
    <x:row r="2743" ht="30" customHeight="1">
      <x:c r="A2743" s="59" t="str">
        <x:v>PGE_RADK_CAPACITY_ATTEMPT</x:v>
      </x:c>
      <x:c r="B2743" s="59" t="str">
        <x:v>license</x:v>
      </x:c>
      <x:c r="C2743" s="59" t="str">
        <x:v>UNKNOWN — nie potwierdzono otwartej licencji wybranego zbioru.</x:v>
      </x:c>
    </x:row>
    <x:row r="2744" ht="30" customHeight="1">
      <x:c r="A2744" s="59" t="str">
        <x:v>PGE_RADK_CAPACITY_ATTEMPT</x:v>
      </x:c>
      <x:c r="B2744" s="59" t="str">
        <x:v>license_url</x:v>
      </x:c>
      <x:c r="C2744" s="59" t="str">
        <x:v>UNKNOWN — nie ustalono</x:v>
      </x:c>
    </x:row>
    <x:row r="2745" ht="30" customHeight="1">
      <x:c r="A2745" s="59" t="str">
        <x:v>PGE_RADK_CAPACITY_ATTEMPT</x:v>
      </x:c>
      <x:c r="B2745" s="59" t="str">
        <x:v>commercial_use</x:v>
      </x:c>
      <x:c r="C2745" s="59" t="str">
        <x:v>UNKNOWN</x:v>
      </x:c>
    </x:row>
    <x:row r="2746" ht="30" customHeight="1">
      <x:c r="A2746" s="59" t="str">
        <x:v>PGE_RADK_CAPACITY_ATTEMPT</x:v>
      </x:c>
      <x:c r="B2746" s="59" t="str">
        <x:v>machine_readable</x:v>
      </x:c>
      <x:c r="C2746" s="59" t="str">
        <x:v>UNKNOWN</x:v>
      </x:c>
    </x:row>
    <x:row r="2747" ht="30" customHeight="1">
      <x:c r="A2747" s="59" t="str">
        <x:v>PGE_RADK_CAPACITY_ATTEMPT</x:v>
      </x:c>
      <x:c r="B2747" s="59" t="str">
        <x:v>scraping_required</x:v>
      </x:c>
      <x:c r="C2747" s="59" t="str">
        <x:v>UNKNOWN — przed scraperem preferować oficjalny plik lub API.</x:v>
      </x:c>
    </x:row>
    <x:row r="2748" ht="30" customHeight="1">
      <x:c r="A2748" s="59" t="str">
        <x:v>PGE_RADK_CAPACITY_ATTEMPT</x:v>
      </x:c>
      <x:c r="B2748" s="59" t="str">
        <x:v>data_quality_score</x:v>
      </x:c>
      <x:c r="C2748" s="59" t="str">
        <x:v>UNKNOWN — nie ustalono</x:v>
      </x:c>
    </x:row>
    <x:row r="2749" ht="30" customHeight="1">
      <x:c r="A2749" s="59" t="str">
        <x:v>PGE_RADK_CAPACITY_ATTEMPT</x:v>
      </x:c>
      <x:c r="B2749" s="59" t="str">
        <x:v>quality_score_status</x:v>
      </x:c>
      <x:c r="C2749" s="59" t="str">
        <x:v>NOT_CALIBRATED — autorytet źródła nie jest procentem kompletności lub trafności.</x:v>
      </x:c>
    </x:row>
    <x:row r="2750" ht="30" customHeight="1">
      <x:c r="A2750" s="59" t="str">
        <x:v>PGE_RADK_CAPACITY_ATTEMPT</x:v>
      </x:c>
      <x:c r="B2750" s="59" t="str">
        <x:v>last_verified</x:v>
      </x:c>
      <x:c r="C2750" s="60" t="n">
        <x:v>46276</x:v>
      </x:c>
    </x:row>
    <x:row r="2751" ht="30" customHeight="1">
      <x:c r="A2751" s="59" t="str">
        <x:v>PGE_RADK_CAPACITY_ATTEMPT</x:v>
      </x:c>
      <x:c r="B2751" s="59" t="str">
        <x:v>last_successful_verification</x:v>
      </x:c>
      <x:c r="C2751" s="59" t="str">
        <x:v>UNKNOWN — nie ustalono</x:v>
      </x:c>
    </x:row>
    <x:row r="2752" ht="30" customHeight="1">
      <x:c r="A2752" s="59" t="str">
        <x:v>PGE_RADK_CAPACITY_ATTEMPT</x:v>
      </x:c>
      <x:c r="B2752" s="59" t="str">
        <x:v>source_date</x:v>
      </x:c>
      <x:c r="C2752" s="59" t="str">
        <x:v>UNKNOWN — nie ustalono</x:v>
      </x:c>
    </x:row>
    <x:row r="2753" ht="30" customHeight="1">
      <x:c r="A2753" s="59" t="str">
        <x:v>PGE_RADK_CAPACITY_ATTEMPT</x:v>
      </x:c>
      <x:c r="B2753" s="59" t="str">
        <x:v>publication_date</x:v>
      </x:c>
      <x:c r="C2753" s="59" t="str">
        <x:v>UNKNOWN — nie ustalono</x:v>
      </x:c>
    </x:row>
    <x:row r="2754" ht="30" customHeight="1">
      <x:c r="A2754" s="59" t="str">
        <x:v>PGE_RADK_CAPACITY_ATTEMPT</x:v>
      </x:c>
      <x:c r="B2754" s="59" t="str">
        <x:v>source_version</x:v>
      </x:c>
      <x:c r="C2754" s="59" t="str">
        <x:v>UNKNOWN — nie ustalono</x:v>
      </x:c>
    </x:row>
    <x:row r="2755" ht="30" customHeight="1">
      <x:c r="A2755" s="59" t="str">
        <x:v>PGE_RADK_CAPACITY_ATTEMPT</x:v>
      </x:c>
      <x:c r="B2755" s="59" t="str">
        <x:v>source_page</x:v>
      </x:c>
      <x:c r="C2755" s="59" t="str">
        <x:v>UNKNOWN — nie ustalono</x:v>
      </x:c>
    </x:row>
    <x:row r="2756" ht="30" customHeight="1">
      <x:c r="A2756" s="59" t="str">
        <x:v>PGE_RADK_CAPACITY_ATTEMPT</x:v>
      </x:c>
      <x:c r="B2756" s="59" t="str">
        <x:v>valid_from</x:v>
      </x:c>
      <x:c r="C2756" s="59" t="str">
        <x:v>UNKNOWN — nie ustalono</x:v>
      </x:c>
    </x:row>
    <x:row r="2757" ht="30" customHeight="1">
      <x:c r="A2757" s="59" t="str">
        <x:v>PGE_RADK_CAPACITY_ATTEMPT</x:v>
      </x:c>
      <x:c r="B2757" s="59" t="str">
        <x:v>valid_to</x:v>
      </x:c>
      <x:c r="C2757" s="59" t="str">
        <x:v>UNKNOWN — nie ustalono</x:v>
      </x:c>
    </x:row>
    <x:row r="2758" ht="30" customHeight="1">
      <x:c r="A2758" s="59" t="str">
        <x:v>PGE_RADK_CAPACITY_ATTEMPT</x:v>
      </x:c>
      <x:c r="B2758" s="59" t="str">
        <x:v>current_future_scope</x:v>
      </x:c>
      <x:c r="C2758" s="59" t="str">
        <x:v>SOURCE_DEPENDENT</x:v>
      </x:c>
    </x:row>
    <x:row r="2759" ht="30" customHeight="1">
      <x:c r="A2759" s="59" t="str">
        <x:v>PGE_RADK_CAPACITY_ATTEMPT</x:v>
      </x:c>
      <x:c r="B2759" s="59" t="str">
        <x:v>value_classification_default</x:v>
      </x:c>
      <x:c r="C2759" s="59" t="str">
        <x:v>REPORTED</x:v>
      </x:c>
    </x:row>
    <x:row r="2760" ht="38" customHeight="1">
      <x:c r="A2760" s="59" t="str">
        <x:v>PGE_RADK_CAPACITY_ATTEMPT</x:v>
      </x:c>
      <x:c r="B2760" s="59" t="str">
        <x:v>automation_notes</x:v>
      </x:c>
      <x:c r="C2760" s="59" t="str">
        <x:v>Jednorazowy przegląd; brak zgody na stały scraper wynikającej z samego dostępu. Sprawdzić warunki, robots.txt i limity przed wdrożeniem.</x:v>
      </x:c>
    </x:row>
    <x:row r="2761" ht="30" customHeight="1">
      <x:c r="A2761" s="59" t="str">
        <x:v>PGE_RADK_CAPACITY_ATTEMPT</x:v>
      </x:c>
      <x:c r="B2761" s="59" t="str">
        <x:v>probe_ids</x:v>
      </x:c>
      <x:c r="C2761" s="59" t="str">
        <x:v>[]</x:v>
      </x:c>
    </x:row>
    <x:row r="2762" ht="30" customHeight="1">
      <x:c r="A2762" s="59" t="str">
        <x:v>PGE_RADK_CAPACITY_ATTEMPT</x:v>
      </x:c>
      <x:c r="B2762" s="59" t="str">
        <x:v>related_urls</x:v>
      </x:c>
      <x:c r="C2762" s="59" t="str">
        <x:v>[]</x:v>
      </x:c>
    </x:row>
    <x:row r="2763" ht="30" customHeight="1">
      <x:c r="A2763" s="59" t="str">
        <x:v>PGE_RADK_CAPACITY_ATTEMPT</x:v>
      </x:c>
      <x:c r="B2763" s="59" t="str">
        <x:v>source_id</x:v>
      </x:c>
      <x:c r="C2763" s="59" t="str">
        <x:v>PGE_RADK_CAPACITY_ATTEMPT</x:v>
      </x:c>
    </x:row>
    <x:row r="2764" ht="30" customHeight="1">
      <x:c r="A2764" s="59" t="str">
        <x:v>PGE_RADK_CAPACITY_ATTEMPT</x:v>
      </x:c>
      <x:c r="B2764" s="59" t="str">
        <x:v>operator</x:v>
      </x:c>
      <x:c r="C2764" s="59" t="str">
        <x:v>PGE</x:v>
      </x:c>
    </x:row>
    <x:row r="2765" ht="30" customHeight="1">
      <x:c r="A2765" s="59" t="str">
        <x:v>PGE_RADK_CAPACITY_ATTEMPT</x:v>
      </x:c>
      <x:c r="B2765" s="59" t="str">
        <x:v>source_name</x:v>
      </x:c>
      <x:c r="C2765" s="59" t="str">
        <x:v>Próba dostępu do pliku mocy PGE I kw.2026</x:v>
      </x:c>
    </x:row>
    <x:row r="2766" ht="38" customHeight="1">
      <x:c r="A2766" s="59" t="str">
        <x:v>PGE_RADK_CAPACITY_ATTEMPT</x:v>
      </x:c>
      <x:c r="B2766" s="59" t="str">
        <x:v>url</x:v>
      </x:c>
      <x:c r="C2766" s="59" t="str">
        <x:v>https://pgedystrybucja.pl/content/download/71691b9fb622cdf89306ec0dc0c1ac3d/file/dostepne-moce-pge-i-kw-2026.pdf?contentId=2208&amp;inLanguage=pol-PL&amp;version=6</x:v>
      </x:c>
    </x:row>
    <x:row r="2767" ht="30" customHeight="1">
      <x:c r="A2767" s="59" t="str">
        <x:v>PGE_RADK_CAPACITY_ATTEMPT</x:v>
      </x:c>
      <x:c r="B2767" s="59" t="str">
        <x:v>data_owner</x:v>
      </x:c>
      <x:c r="C2767" s="59" t="str">
        <x:v>PGE Dystrybucja S.A.</x:v>
      </x:c>
    </x:row>
    <x:row r="2768" ht="30" customHeight="1">
      <x:c r="A2768" s="59" t="str">
        <x:v>PGE_RADK_CAPACITY_ATTEMPT</x:v>
      </x:c>
      <x:c r="B2768" s="59" t="str">
        <x:v>data_category</x:v>
      </x:c>
      <x:c r="C2768" s="59" t="str">
        <x:v>reported_connection_capacity</x:v>
      </x:c>
    </x:row>
    <x:row r="2769" ht="30" customHeight="1">
      <x:c r="A2769" s="59" t="str">
        <x:v>PGE_RADK_CAPACITY_ATTEMPT</x:v>
      </x:c>
      <x:c r="B2769" s="59" t="str">
        <x:v>data_format</x:v>
      </x:c>
      <x:c r="C2769" s="59" t="str">
        <x:v>[ "PDF — oczekiwany, nie otrzymany" ]</x:v>
      </x:c>
    </x:row>
    <x:row r="2770" ht="30" customHeight="1">
      <x:c r="A2770" s="59" t="str">
        <x:v>PGE_RADK_CAPACITY_ATTEMPT</x:v>
      </x:c>
      <x:c r="B2770" s="59" t="str">
        <x:v>verification_status</x:v>
      </x:c>
      <x:c r="C2770" s="59" t="str">
        <x:v>BLOCKED</x:v>
      </x:c>
    </x:row>
    <x:row r="2771" ht="30" customHeight="1">
      <x:c r="A2771" s="59" t="str">
        <x:v>PGE_RADK_CAPACITY_ATTEMPT</x:v>
      </x:c>
      <x:c r="B2771" s="59" t="str">
        <x:v>reliability</x:v>
      </x:c>
      <x:c r="C2771" s="59" t="str">
        <x:v>B</x:v>
      </x:c>
    </x:row>
    <x:row r="2772" ht="30" customHeight="1">
      <x:c r="A2772" s="59" t="str">
        <x:v>PGE_RADK_CAPACITY_ATTEMPT</x:v>
      </x:c>
      <x:c r="B2772" s="59" t="str">
        <x:v>key_fields</x:v>
      </x:c>
      <x:c r="C2772" s="59" t="str">
        <x:v>[ "UNKNOWN — brak poprawnego pliku" ]</x:v>
      </x:c>
    </x:row>
    <x:row r="2773" ht="30" customHeight="1">
      <x:c r="A2773" s="59" t="str">
        <x:v>PGE_RADK_CAPACITY_ATTEMPT</x:v>
      </x:c>
      <x:c r="B2773" s="59" t="str">
        <x:v>potential_application</x:v>
      </x:c>
      <x:c r="C2773" s="59" t="str">
        <x:v>Kandydat do informacji o grupach mocy PGE po poprawnym odczycie</x:v>
      </x:c>
    </x:row>
    <x:row r="2774" ht="38" customHeight="1">
      <x:c r="A2774" s="59" t="str">
        <x:v>PGE_RADK_CAPACITY_ATTEMPT</x:v>
      </x:c>
      <x:c r="B2774" s="59" t="str">
        <x:v>known_limitations</x:v>
      </x:c>
      <x:c r="C2774" s="59" t="str">
        <x:v>[ "HTTP 200, 346 bajtów, brak sygnatury PDF; nie pobrano wartości mocy", "Dowód próby: data/catalog/pge_radkowice_access_2026-09-11.json" ]</x:v>
      </x:c>
    </x:row>
    <x:row r="2775" ht="30" customHeight="1">
      <x:c r="A2775" s="59" t="str">
        <x:v>PGE_RADK_CAPACITY_ATTEMPT</x:v>
      </x:c>
      <x:c r="B2775" s="59" t="str">
        <x:v>priority</x:v>
      </x:c>
      <x:c r="C2775" s="59" t="str">
        <x:v>P0</x:v>
      </x:c>
    </x:row>
    <x:row r="2776" ht="30" customHeight="1">
      <x:c r="A2776" s="59" t="str">
        <x:v>PGE_RADK_CAPACITY_ATTEMPT</x:v>
      </x:c>
      <x:c r="B2776" s="59" t="str">
        <x:v>evidence</x:v>
      </x:c>
      <x:c r="C2776" s="59" t="str">
        <x:v>[]</x:v>
      </x:c>
    </x:row>
    <x:row r="2777" ht="30" customHeight="1">
      <x:c r="A2777" s="59" t="str">
        <x:v>PGE_RADK_CAPACITY_ATTEMPT</x:v>
      </x:c>
      <x:c r="B2777" s="59" t="str">
        <x:v>retrieval_date</x:v>
      </x:c>
      <x:c r="C2777" s="59" t="str">
        <x:v>[]</x:v>
      </x:c>
    </x:row>
    <x:row r="2778" ht="30" customHeight="1">
      <x:c r="A2778" s="59" t="str">
        <x:v>SUW_RADK_WOLICA_3_2024</x:v>
      </x:c>
      <x:c r="B2778" s="59" t="str">
        <x:v>country</x:v>
      </x:c>
      <x:c r="C2778" s="59" t="str">
        <x:v>PL</x:v>
      </x:c>
    </x:row>
    <x:row r="2779" ht="30" customHeight="1">
      <x:c r="A2779" s="59" t="str">
        <x:v>SUW_RADK_WOLICA_3_2024</x:v>
      </x:c>
      <x:c r="B2779" s="59" t="str">
        <x:v>geographical_scope</x:v>
      </x:c>
      <x:c r="C2779" s="59" t="str">
        <x:v>Odcinek w gminach Morawica i Chęciny</x:v>
      </x:c>
    </x:row>
    <x:row r="2780" ht="30" customHeight="1">
      <x:c r="A2780" s="59" t="str">
        <x:v>SUW_RADK_WOLICA_3_2024</x:v>
      </x:c>
      <x:c r="B2780" s="59" t="str">
        <x:v>grid_voltage</x:v>
      </x:c>
      <x:c r="C2780" s="59" t="str">
        <x:v>[ "110 kV" ]</x:v>
      </x:c>
    </x:row>
    <x:row r="2781" ht="30" customHeight="1">
      <x:c r="A2781" s="59" t="str">
        <x:v>SUW_RADK_WOLICA_3_2024</x:v>
      </x:c>
      <x:c r="B2781" s="59" t="str">
        <x:v>api_available</x:v>
      </x:c>
      <x:c r="C2781" s="59" t="str">
        <x:v>UNKNOWN</x:v>
      </x:c>
    </x:row>
    <x:row r="2782" ht="30" customHeight="1">
      <x:c r="A2782" s="59" t="str">
        <x:v>SUW_RADK_WOLICA_3_2024</x:v>
      </x:c>
      <x:c r="B2782" s="59" t="str">
        <x:v>gis_available</x:v>
      </x:c>
      <x:c r="C2782" s="59" t="str">
        <x:v>UNKNOWN</x:v>
      </x:c>
    </x:row>
    <x:row r="2783" ht="30" customHeight="1">
      <x:c r="A2783" s="59" t="str">
        <x:v>SUW_RADK_WOLICA_3_2024</x:v>
      </x:c>
      <x:c r="B2783" s="59" t="str">
        <x:v>update_frequency</x:v>
      </x:c>
      <x:c r="C2783" s="59" t="str">
        <x:v>UNKNOWN — nie ustalono gwarantowanego cyklu publikacji.</x:v>
      </x:c>
    </x:row>
    <x:row r="2784" ht="30" customHeight="1">
      <x:c r="A2784" s="59" t="str">
        <x:v>SUW_RADK_WOLICA_3_2024</x:v>
      </x:c>
      <x:c r="B2784" s="59" t="str">
        <x:v>historical_data</x:v>
      </x:c>
      <x:c r="C2784" s="59" t="str">
        <x:v>UNKNOWN — własne snapshoty od 10.09.2026, jeśli zapisano próbkę.</x:v>
      </x:c>
    </x:row>
    <x:row r="2785" ht="30" customHeight="1">
      <x:c r="A2785" s="59" t="str">
        <x:v>SUW_RADK_WOLICA_3_2024</x:v>
      </x:c>
      <x:c r="B2785" s="59" t="str">
        <x:v>authentication</x:v>
      </x:c>
      <x:c r="C2785" s="59" t="str">
        <x:v>Odczyt publicznej strony bez konta; nie dowodzi dostępu do wszystkich danych.</x:v>
      </x:c>
    </x:row>
    <x:row r="2786" ht="30" customHeight="1">
      <x:c r="A2786" s="59" t="str">
        <x:v>SUW_RADK_WOLICA_3_2024</x:v>
      </x:c>
      <x:c r="B2786" s="59" t="str">
        <x:v>license</x:v>
      </x:c>
      <x:c r="C2786" s="59" t="str">
        <x:v>UNKNOWN — nie potwierdzono otwartej licencji wybranego zbioru.</x:v>
      </x:c>
    </x:row>
    <x:row r="2787" ht="30" customHeight="1">
      <x:c r="A2787" s="59" t="str">
        <x:v>SUW_RADK_WOLICA_3_2024</x:v>
      </x:c>
      <x:c r="B2787" s="59" t="str">
        <x:v>license_url</x:v>
      </x:c>
      <x:c r="C2787" s="59" t="str">
        <x:v>UNKNOWN — nie ustalono</x:v>
      </x:c>
    </x:row>
    <x:row r="2788" ht="30" customHeight="1">
      <x:c r="A2788" s="59" t="str">
        <x:v>SUW_RADK_WOLICA_3_2024</x:v>
      </x:c>
      <x:c r="B2788" s="59" t="str">
        <x:v>commercial_use</x:v>
      </x:c>
      <x:c r="C2788" s="59" t="str">
        <x:v>UNKNOWN</x:v>
      </x:c>
    </x:row>
    <x:row r="2789" ht="30" customHeight="1">
      <x:c r="A2789" s="59" t="str">
        <x:v>SUW_RADK_WOLICA_3_2024</x:v>
      </x:c>
      <x:c r="B2789" s="59" t="str">
        <x:v>machine_readable</x:v>
      </x:c>
      <x:c r="C2789" s="59" t="str">
        <x:v>PARTIAL — tekst i tabela PDF</x:v>
      </x:c>
    </x:row>
    <x:row r="2790" ht="30" customHeight="1">
      <x:c r="A2790" s="59" t="str">
        <x:v>SUW_RADK_WOLICA_3_2024</x:v>
      </x:c>
      <x:c r="B2790" s="59" t="str">
        <x:v>scraping_required</x:v>
      </x:c>
      <x:c r="C2790" s="59" t="str">
        <x:v>NO — bezpośredni plik PDF</x:v>
      </x:c>
    </x:row>
    <x:row r="2791" ht="30" customHeight="1">
      <x:c r="A2791" s="59" t="str">
        <x:v>SUW_RADK_WOLICA_3_2024</x:v>
      </x:c>
      <x:c r="B2791" s="59" t="str">
        <x:v>data_quality_score</x:v>
      </x:c>
      <x:c r="C2791" s="59" t="str">
        <x:v>UNKNOWN — nie ustalono</x:v>
      </x:c>
    </x:row>
    <x:row r="2792" ht="30" customHeight="1">
      <x:c r="A2792" s="59" t="str">
        <x:v>SUW_RADK_WOLICA_3_2024</x:v>
      </x:c>
      <x:c r="B2792" s="59" t="str">
        <x:v>quality_score_status</x:v>
      </x:c>
      <x:c r="C2792" s="59" t="str">
        <x:v>NOT_CALIBRATED — autorytet źródła nie jest procentem kompletności lub trafności.</x:v>
      </x:c>
    </x:row>
    <x:row r="2793" ht="30" customHeight="1">
      <x:c r="A2793" s="59" t="str">
        <x:v>SUW_RADK_WOLICA_3_2024</x:v>
      </x:c>
      <x:c r="B2793" s="59" t="str">
        <x:v>last_verified</x:v>
      </x:c>
      <x:c r="C2793" s="60" t="n">
        <x:v>46276</x:v>
      </x:c>
    </x:row>
    <x:row r="2794" ht="30" customHeight="1">
      <x:c r="A2794" s="59" t="str">
        <x:v>SUW_RADK_WOLICA_3_2024</x:v>
      </x:c>
      <x:c r="B2794" s="59" t="str">
        <x:v>last_successful_verification</x:v>
      </x:c>
      <x:c r="C2794" s="60" t="n">
        <x:v>46276</x:v>
      </x:c>
    </x:row>
    <x:row r="2795" ht="30" customHeight="1">
      <x:c r="A2795" s="59" t="str">
        <x:v>SUW_RADK_WOLICA_3_2024</x:v>
      </x:c>
      <x:c r="B2795" s="59" t="str">
        <x:v>source_date</x:v>
      </x:c>
      <x:c r="C2795" s="60" t="n">
        <x:v>45625</x:v>
      </x:c>
    </x:row>
    <x:row r="2796" ht="30" customHeight="1">
      <x:c r="A2796" s="59" t="str">
        <x:v>SUW_RADK_WOLICA_3_2024</x:v>
      </x:c>
      <x:c r="B2796" s="59" t="str">
        <x:v>publication_date</x:v>
      </x:c>
      <x:c r="C2796" s="59" t="str">
        <x:v>UNKNOWN — nie ustalono</x:v>
      </x:c>
    </x:row>
    <x:row r="2797" ht="30" customHeight="1">
      <x:c r="A2797" s="59" t="str">
        <x:v>SUW_RADK_WOLICA_3_2024</x:v>
      </x:c>
      <x:c r="B2797" s="59" t="str">
        <x:v>source_version</x:v>
      </x:c>
      <x:c r="C2797" s="59" t="str">
        <x:v>SPN.III.747.20.2024, decyzja 3/2024</x:v>
      </x:c>
    </x:row>
    <x:row r="2798" ht="30" customHeight="1">
      <x:c r="A2798" s="59" t="str">
        <x:v>SUW_RADK_WOLICA_3_2024</x:v>
      </x:c>
      <x:c r="B2798" s="59" t="str">
        <x:v>source_page</x:v>
      </x:c>
      <x:c r="C2798" s="59" t="str">
        <x:v>1–3</x:v>
      </x:c>
    </x:row>
    <x:row r="2799" ht="30" customHeight="1">
      <x:c r="A2799" s="59" t="str">
        <x:v>SUW_RADK_WOLICA_3_2024</x:v>
      </x:c>
      <x:c r="B2799" s="59" t="str">
        <x:v>valid_from</x:v>
      </x:c>
      <x:c r="C2799" s="59" t="str">
        <x:v>UNKNOWN — nie ustalono</x:v>
      </x:c>
    </x:row>
    <x:row r="2800" ht="30" customHeight="1">
      <x:c r="A2800" s="59" t="str">
        <x:v>SUW_RADK_WOLICA_3_2024</x:v>
      </x:c>
      <x:c r="B2800" s="59" t="str">
        <x:v>valid_to</x:v>
      </x:c>
      <x:c r="C2800" s="59" t="str">
        <x:v>UNKNOWN — nie ustalono</x:v>
      </x:c>
    </x:row>
    <x:row r="2801" ht="30" customHeight="1">
      <x:c r="A2801" s="59" t="str">
        <x:v>SUW_RADK_WOLICA_3_2024</x:v>
      </x:c>
      <x:c r="B2801" s="59" t="str">
        <x:v>current_future_scope</x:v>
      </x:c>
      <x:c r="C2801" s="59" t="str">
        <x:v>SOURCE_DEPENDENT</x:v>
      </x:c>
    </x:row>
    <x:row r="2802" ht="30" customHeight="1">
      <x:c r="A2802" s="59" t="str">
        <x:v>SUW_RADK_WOLICA_3_2024</x:v>
      </x:c>
      <x:c r="B2802" s="59" t="str">
        <x:v>value_classification_default</x:v>
      </x:c>
      <x:c r="C2802" s="59" t="str">
        <x:v>REPORTED</x:v>
      </x:c>
    </x:row>
    <x:row r="2803" ht="38" customHeight="1">
      <x:c r="A2803" s="59" t="str">
        <x:v>SUW_RADK_WOLICA_3_2024</x:v>
      </x:c>
      <x:c r="B2803" s="59" t="str">
        <x:v>automation_notes</x:v>
      </x:c>
      <x:c r="C2803" s="59" t="str">
        <x:v>Jednorazowy przegląd; brak zgody na stały scraper wynikającej z samego dostępu. Sprawdzić warunki, robots.txt i limity przed wdrożeniem.</x:v>
      </x:c>
    </x:row>
    <x:row r="2804" ht="30" customHeight="1">
      <x:c r="A2804" s="59" t="str">
        <x:v>SUW_RADK_WOLICA_3_2024</x:v>
      </x:c>
      <x:c r="B2804" s="59" t="str">
        <x:v>probe_ids</x:v>
      </x:c>
      <x:c r="C2804" s="59" t="str">
        <x:v>[ "SUW_RADK_WOLICA_3_2024" ]</x:v>
      </x:c>
    </x:row>
    <x:row r="2805" ht="30" customHeight="1">
      <x:c r="A2805" s="59" t="str">
        <x:v>SUW_RADK_WOLICA_3_2024</x:v>
      </x:c>
      <x:c r="B2805" s="59" t="str">
        <x:v>related_urls</x:v>
      </x:c>
      <x:c r="C2805" s="59" t="str">
        <x:v>[]</x:v>
      </x:c>
    </x:row>
    <x:row r="2806" ht="30" customHeight="1">
      <x:c r="A2806" s="59" t="str">
        <x:v>SUW_RADK_WOLICA_3_2024</x:v>
      </x:c>
      <x:c r="B2806" s="59" t="str">
        <x:v>source_id</x:v>
      </x:c>
      <x:c r="C2806" s="59" t="str">
        <x:v>SUW_RADK_WOLICA_3_2024</x:v>
      </x:c>
    </x:row>
    <x:row r="2807" ht="30" customHeight="1">
      <x:c r="A2807" s="59" t="str">
        <x:v>SUW_RADK_WOLICA_3_2024</x:v>
      </x:c>
      <x:c r="B2807" s="59" t="str">
        <x:v>operator</x:v>
      </x:c>
      <x:c r="C2807" s="59" t="str">
        <x:v>PGE Dystrybucja — wnioskodawca</x:v>
      </x:c>
    </x:row>
    <x:row r="2808" ht="30" customHeight="1">
      <x:c r="A2808" s="59" t="str">
        <x:v>SUW_RADK_WOLICA_3_2024</x:v>
      </x:c>
      <x:c r="B2808" s="59" t="str">
        <x:v>source_name</x:v>
      </x:c>
      <x:c r="C2808" s="59" t="str">
        <x:v>Decyzja 3/2024 — przebudowa odcinka Radkowice–Wolica</x:v>
      </x:c>
    </x:row>
    <x:row r="2809" ht="30" customHeight="1">
      <x:c r="A2809" s="59" t="str">
        <x:v>SUW_RADK_WOLICA_3_2024</x:v>
      </x:c>
      <x:c r="B2809" s="59" t="str">
        <x:v>url</x:v>
      </x:c>
      <x:c r="C2809" s="59" t="str">
        <x:v>https://bip.kielce.uw.gov.pl/download/2/33548/decprzesylnr324.pdf</x:v>
      </x:c>
    </x:row>
    <x:row r="2810" ht="30" customHeight="1">
      <x:c r="A2810" s="59" t="str">
        <x:v>SUW_RADK_WOLICA_3_2024</x:v>
      </x:c>
      <x:c r="B2810" s="59" t="str">
        <x:v>data_owner</x:v>
      </x:c>
      <x:c r="C2810" s="59" t="str">
        <x:v>Wojewoda Świętokrzyski / Świętokrzyski Urząd Wojewódzki</x:v>
      </x:c>
    </x:row>
    <x:row r="2811" ht="30" customHeight="1">
      <x:c r="A2811" s="59" t="str">
        <x:v>SUW_RADK_WOLICA_3_2024</x:v>
      </x:c>
      <x:c r="B2811" s="59" t="str">
        <x:v>data_category</x:v>
      </x:c>
      <x:c r="C2811" s="59" t="str">
        <x:v>grid_investment_administrative_decision</x:v>
      </x:c>
    </x:row>
    <x:row r="2812" ht="30" customHeight="1">
      <x:c r="A2812" s="59" t="str">
        <x:v>SUW_RADK_WOLICA_3_2024</x:v>
      </x:c>
      <x:c r="B2812" s="59" t="str">
        <x:v>data_format</x:v>
      </x:c>
      <x:c r="C2812" s="59" t="str">
        <x:v>[ "PDF" ]</x:v>
      </x:c>
    </x:row>
    <x:row r="2813" ht="30" customHeight="1">
      <x:c r="A2813" s="59" t="str">
        <x:v>SUW_RADK_WOLICA_3_2024</x:v>
      </x:c>
      <x:c r="B2813" s="59" t="str">
        <x:v>verification_status</x:v>
      </x:c>
      <x:c r="C2813" s="59" t="str">
        <x:v>CONTENT_REVIEWED</x:v>
      </x:c>
    </x:row>
    <x:row r="2814" ht="30" customHeight="1">
      <x:c r="A2814" s="59" t="str">
        <x:v>SUW_RADK_WOLICA_3_2024</x:v>
      </x:c>
      <x:c r="B2814" s="59" t="str">
        <x:v>reliability</x:v>
      </x:c>
      <x:c r="C2814" s="59" t="str">
        <x:v>C</x:v>
      </x:c>
    </x:row>
    <x:row r="2815" ht="30" customHeight="1">
      <x:c r="A2815" s="59" t="str">
        <x:v>SUW_RADK_WOLICA_3_2024</x:v>
      </x:c>
      <x:c r="B2815" s="59" t="str">
        <x:v>priority</x:v>
      </x:c>
      <x:c r="C2815" s="59" t="str">
        <x:v>P0</x:v>
      </x:c>
    </x:row>
    <x:row r="2816" ht="30" customHeight="1">
      <x:c r="A2816" s="59" t="str">
        <x:v>SUW_RADK_WOLICA_3_2024</x:v>
      </x:c>
      <x:c r="B2816" s="59" t="str">
        <x:v>key_fields</x:v>
      </x:c>
      <x:c r="C2816" s="59" t="str">
        <x:v>[ "relacja linii", "napięcie", "wnioskodawca", "parametry planowanego odcinka", "data decyzji" ]</x:v>
      </x:c>
    </x:row>
    <x:row r="2817" ht="30" customHeight="1">
      <x:c r="A2817" s="59" t="str">
        <x:v>SUW_RADK_WOLICA_3_2024</x:v>
      </x:c>
      <x:c r="B2817" s="59" t="str">
        <x:v>potential_application</x:v>
      </x:c>
      <x:c r="C2817" s="59" t="str">
        <x:v>Historyczny dowód relacji 110 kV i osobny rekord inwestycji</x:v>
      </x:c>
    </x:row>
    <x:row r="2818" ht="38" customHeight="1">
      <x:c r="A2818" s="59" t="str">
        <x:v>SUW_RADK_WOLICA_3_2024</x:v>
      </x:c>
      <x:c r="B2818" s="59" t="str">
        <x:v>known_limitations</x:v>
      </x:c>
      <x:c r="C2818" s="59" t="str">
        <x:v>[ "Nie potwierdza realizacji inwestycji", "991,8 m dotyczy zakresu decyzji, nie całej linii", "Brak aktualnej obciążalności i dokładnej granicy własności PSE/PGE" ]</x:v>
      </x:c>
    </x:row>
    <x:row r="2819" ht="80" customHeight="1">
      <x:c r="A2819" s="59" t="str">
        <x:v>SUW_RADK_WOLICA_3_2024</x:v>
      </x:c>
      <x:c r="B2819" s="59" t="str">
        <x:v>evidence</x:v>
      </x:c>
      <x:c r="C281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820" ht="30" customHeight="1">
      <x:c r="A2820" s="59" t="str">
        <x:v>SUW_RADK_WOLICA_3_2024</x:v>
      </x:c>
      <x:c r="B2820" s="59" t="str">
        <x:v>retrieval_date</x:v>
      </x:c>
      <x:c r="C2820" s="59" t="str">
        <x:v>[ "2026-09-11T13:40:11.4850806Z" ]</x:v>
      </x:c>
    </x:row>
    <x:row r="2821" ht="38" customHeight="1">
      <x:c r="A2821" s="59" t="str">
        <x:v>PSE_RADK_BRIDGE_NOTICE_2025</x:v>
      </x:c>
      <x:c r="B2821" s="59" t="str">
        <x:v>country</x:v>
      </x:c>
      <x:c r="C2821" s="59" t="str">
        <x:v>PL</x:v>
      </x:c>
    </x:row>
    <x:row r="2822" ht="38" customHeight="1">
      <x:c r="A2822" s="59" t="str">
        <x:v>PSE_RADK_BRIDGE_NOTICE_2025</x:v>
      </x:c>
      <x:c r="B2822" s="59" t="str">
        <x:v>geographical_scope</x:v>
      </x:c>
      <x:c r="C2822" s="59" t="str">
        <x:v>Radkowice i opisane zadanie</x:v>
      </x:c>
    </x:row>
    <x:row r="2823" ht="38" customHeight="1">
      <x:c r="A2823" s="59" t="str">
        <x:v>PSE_RADK_BRIDGE_NOTICE_2025</x:v>
      </x:c>
      <x:c r="B2823" s="59" t="str">
        <x:v>grid_voltage</x:v>
      </x:c>
      <x:c r="C2823" s="59" t="str">
        <x:v>[ "220 kV" ]</x:v>
      </x:c>
    </x:row>
    <x:row r="2824" ht="38" customHeight="1">
      <x:c r="A2824" s="59" t="str">
        <x:v>PSE_RADK_BRIDGE_NOTICE_2025</x:v>
      </x:c>
      <x:c r="B2824" s="59" t="str">
        <x:v>api_available</x:v>
      </x:c>
      <x:c r="C2824" s="59" t="str">
        <x:v>UNKNOWN</x:v>
      </x:c>
    </x:row>
    <x:row r="2825" ht="38" customHeight="1">
      <x:c r="A2825" s="59" t="str">
        <x:v>PSE_RADK_BRIDGE_NOTICE_2025</x:v>
      </x:c>
      <x:c r="B2825" s="59" t="str">
        <x:v>gis_available</x:v>
      </x:c>
      <x:c r="C2825" s="59" t="str">
        <x:v>UNKNOWN</x:v>
      </x:c>
    </x:row>
    <x:row r="2826" ht="38" customHeight="1">
      <x:c r="A2826" s="59" t="str">
        <x:v>PSE_RADK_BRIDGE_NOTICE_2025</x:v>
      </x:c>
      <x:c r="B2826" s="59" t="str">
        <x:v>update_frequency</x:v>
      </x:c>
      <x:c r="C2826" s="59" t="str">
        <x:v>UNKNOWN — nie ustalono gwarantowanego cyklu publikacji.</x:v>
      </x:c>
    </x:row>
    <x:row r="2827" ht="38" customHeight="1">
      <x:c r="A2827" s="59" t="str">
        <x:v>PSE_RADK_BRIDGE_NOTICE_2025</x:v>
      </x:c>
      <x:c r="B2827" s="59" t="str">
        <x:v>historical_data</x:v>
      </x:c>
      <x:c r="C2827" s="59" t="str">
        <x:v>UNKNOWN — własne snapshoty od 10.09.2026, jeśli zapisano próbkę.</x:v>
      </x:c>
    </x:row>
    <x:row r="2828" ht="38" customHeight="1">
      <x:c r="A2828" s="59" t="str">
        <x:v>PSE_RADK_BRIDGE_NOTICE_2025</x:v>
      </x:c>
      <x:c r="B2828" s="59" t="str">
        <x:v>authentication</x:v>
      </x:c>
      <x:c r="C2828" s="59" t="str">
        <x:v>Pobrano publicznie bez konta; HTTP 200.</x:v>
      </x:c>
    </x:row>
    <x:row r="2829" ht="38" customHeight="1">
      <x:c r="A2829" s="59" t="str">
        <x:v>PSE_RADK_BRIDGE_NOTICE_2025</x:v>
      </x:c>
      <x:c r="B2829" s="59" t="str">
        <x:v>license</x:v>
      </x:c>
      <x:c r="C2829" s="59" t="str">
        <x:v>UNKNOWN — nie potwierdzono otwartej licencji wybranego zbioru.</x:v>
      </x:c>
    </x:row>
    <x:row r="2830" ht="38" customHeight="1">
      <x:c r="A2830" s="59" t="str">
        <x:v>PSE_RADK_BRIDGE_NOTICE_2025</x:v>
      </x:c>
      <x:c r="B2830" s="59" t="str">
        <x:v>license_url</x:v>
      </x:c>
      <x:c r="C2830" s="59" t="str">
        <x:v>UNKNOWN — nie ustalono</x:v>
      </x:c>
    </x:row>
    <x:row r="2831" ht="38" customHeight="1">
      <x:c r="A2831" s="59" t="str">
        <x:v>PSE_RADK_BRIDGE_NOTICE_2025</x:v>
      </x:c>
      <x:c r="B2831" s="59" t="str">
        <x:v>commercial_use</x:v>
      </x:c>
      <x:c r="C2831" s="59" t="str">
        <x:v>UNKNOWN</x:v>
      </x:c>
    </x:row>
    <x:row r="2832" ht="38" customHeight="1">
      <x:c r="A2832" s="59" t="str">
        <x:v>PSE_RADK_BRIDGE_NOTICE_2025</x:v>
      </x:c>
      <x:c r="B2832" s="59" t="str">
        <x:v>machine_readable</x:v>
      </x:c>
      <x:c r="C2832" s="59" t="str">
        <x:v>PARTIAL — tekst dokumentu wymaga walidacji kontekstu</x:v>
      </x:c>
    </x:row>
    <x:row r="2833" ht="38" customHeight="1">
      <x:c r="A2833" s="59" t="str">
        <x:v>PSE_RADK_BRIDGE_NOTICE_2025</x:v>
      </x:c>
      <x:c r="B2833" s="59" t="str">
        <x:v>scraping_required</x:v>
      </x:c>
      <x:c r="C2833" s="59" t="str">
        <x:v>PDF download</x:v>
      </x:c>
    </x:row>
    <x:row r="2834" ht="38" customHeight="1">
      <x:c r="A2834" s="59" t="str">
        <x:v>PSE_RADK_BRIDGE_NOTICE_2025</x:v>
      </x:c>
      <x:c r="B2834" s="59" t="str">
        <x:v>data_quality_score</x:v>
      </x:c>
      <x:c r="C2834" s="59" t="str">
        <x:v>UNKNOWN — nie ustalono</x:v>
      </x:c>
    </x:row>
    <x:row r="2835" ht="38" customHeight="1">
      <x:c r="A2835" s="59" t="str">
        <x:v>PSE_RADK_BRIDGE_NOTICE_2025</x:v>
      </x:c>
      <x:c r="B2835" s="59" t="str">
        <x:v>quality_score_status</x:v>
      </x:c>
      <x:c r="C2835" s="59" t="str">
        <x:v>NOT_CALIBRATED — autorytet źródła nie jest procentem kompletności lub trafności.</x:v>
      </x:c>
    </x:row>
    <x:row r="2836" ht="38" customHeight="1">
      <x:c r="A2836" s="59" t="str">
        <x:v>PSE_RADK_BRIDGE_NOTICE_2025</x:v>
      </x:c>
      <x:c r="B2836" s="59" t="str">
        <x:v>last_verified</x:v>
      </x:c>
      <x:c r="C2836" s="60" t="n">
        <x:v>46280</x:v>
      </x:c>
    </x:row>
    <x:row r="2837" ht="38" customHeight="1">
      <x:c r="A2837" s="59" t="str">
        <x:v>PSE_RADK_BRIDGE_NOTICE_2025</x:v>
      </x:c>
      <x:c r="B2837" s="59" t="str">
        <x:v>last_successful_verification</x:v>
      </x:c>
      <x:c r="C2837" s="60" t="n">
        <x:v>46280</x:v>
      </x:c>
    </x:row>
    <x:row r="2838" ht="38" customHeight="1">
      <x:c r="A2838" s="59" t="str">
        <x:v>PSE_RADK_BRIDGE_NOTICE_2025</x:v>
      </x:c>
      <x:c r="B2838" s="59" t="str">
        <x:v>source_date</x:v>
      </x:c>
      <x:c r="C2838" s="59" t="str">
        <x:v>UNKNOWN — nie ustalono</x:v>
      </x:c>
    </x:row>
    <x:row r="2839" ht="38" customHeight="1">
      <x:c r="A2839" s="59" t="str">
        <x:v>PSE_RADK_BRIDGE_NOTICE_2025</x:v>
      </x:c>
      <x:c r="B2839" s="59" t="str">
        <x:v>publication_date</x:v>
      </x:c>
      <x:c r="C2839" s="60" t="n">
        <x:v>45747</x:v>
      </x:c>
    </x:row>
    <x:row r="2840" ht="38" customHeight="1">
      <x:c r="A2840" s="59" t="str">
        <x:v>PSE_RADK_BRIDGE_NOTICE_2025</x:v>
      </x:c>
      <x:c r="B2840" s="59" t="str">
        <x:v>source_version</x:v>
      </x:c>
      <x:c r="C2840" s="59" t="str">
        <x:v>UNKNOWN — nie ustalono</x:v>
      </x:c>
    </x:row>
    <x:row r="2841" ht="38" customHeight="1">
      <x:c r="A2841" s="59" t="str">
        <x:v>PSE_RADK_BRIDGE_NOTICE_2025</x:v>
      </x:c>
      <x:c r="B2841" s="59" t="str">
        <x:v>source_page</x:v>
      </x:c>
      <x:c r="C2841" s="59" t="str">
        <x:v>29; metadane 37</x:v>
      </x:c>
    </x:row>
    <x:row r="2842" ht="38" customHeight="1">
      <x:c r="A2842" s="59" t="str">
        <x:v>PSE_RADK_BRIDGE_NOTICE_2025</x:v>
      </x:c>
      <x:c r="B2842" s="59" t="str">
        <x:v>valid_from</x:v>
      </x:c>
      <x:c r="C2842" s="59" t="str">
        <x:v>UNKNOWN — nie ustalono</x:v>
      </x:c>
    </x:row>
    <x:row r="2843" ht="38" customHeight="1">
      <x:c r="A2843" s="59" t="str">
        <x:v>PSE_RADK_BRIDGE_NOTICE_2025</x:v>
      </x:c>
      <x:c r="B2843" s="59" t="str">
        <x:v>valid_to</x:v>
      </x:c>
      <x:c r="C2843" s="59" t="str">
        <x:v>UNKNOWN — nie ustalono</x:v>
      </x:c>
    </x:row>
    <x:row r="2844" ht="38" customHeight="1">
      <x:c r="A2844" s="59" t="str">
        <x:v>PSE_RADK_BRIDGE_NOTICE_2025</x:v>
      </x:c>
      <x:c r="B2844" s="59" t="str">
        <x:v>current_future_scope</x:v>
      </x:c>
      <x:c r="C2844" s="59" t="str">
        <x:v>SOURCE_DEPENDENT</x:v>
      </x:c>
    </x:row>
    <x:row r="2845" ht="38" customHeight="1">
      <x:c r="A2845" s="59" t="str">
        <x:v>PSE_RADK_BRIDGE_NOTICE_2025</x:v>
      </x:c>
      <x:c r="B2845" s="59" t="str">
        <x:v>value_classification_default</x:v>
      </x:c>
      <x:c r="C2845" s="59" t="str">
        <x:v>REPORTED</x:v>
      </x:c>
    </x:row>
    <x:row r="2846" ht="38" customHeight="1">
      <x:c r="A2846" s="59" t="str">
        <x:v>PSE_RADK_BRIDGE_NOTICE_2025</x:v>
      </x:c>
      <x:c r="B2846" s="59" t="str">
        <x:v>automation_notes</x:v>
      </x:c>
      <x:c r="C2846" s="59" t="str">
        <x:v>Jednorazowy snapshot z timeoutem i SHA-256. Nie ustalono API, limitów ani gwarantowanego cyklu; brak wdrożonej automatyzacji.</x:v>
      </x:c>
    </x:row>
    <x:row r="2847" ht="38" customHeight="1">
      <x:c r="A2847" s="59" t="str">
        <x:v>PSE_RADK_BRIDGE_NOTICE_2025</x:v>
      </x:c>
      <x:c r="B2847" s="59" t="str">
        <x:v>probe_ids</x:v>
      </x:c>
      <x:c r="C2847" s="59" t="str">
        <x:v>[ "PSE_RADK_BRIDGE_NOTICE_2025" ]</x:v>
      </x:c>
    </x:row>
    <x:row r="2848" ht="38" customHeight="1">
      <x:c r="A2848" s="59" t="str">
        <x:v>PSE_RADK_BRIDGE_NOTICE_2025</x:v>
      </x:c>
      <x:c r="B2848" s="59" t="str">
        <x:v>related_urls</x:v>
      </x:c>
      <x:c r="C2848" s="59" t="str">
        <x:v>[]</x:v>
      </x:c>
    </x:row>
    <x:row r="2849" ht="38" customHeight="1">
      <x:c r="A2849" s="59" t="str">
        <x:v>PSE_RADK_BRIDGE_NOTICE_2025</x:v>
      </x:c>
      <x:c r="B2849" s="59" t="str">
        <x:v>source_id</x:v>
      </x:c>
      <x:c r="C2849" s="59" t="str">
        <x:v>PSE_RADK_BRIDGE_NOTICE_2025</x:v>
      </x:c>
    </x:row>
    <x:row r="2850" ht="38" customHeight="1">
      <x:c r="A2850" s="59" t="str">
        <x:v>PSE_RADK_BRIDGE_NOTICE_2025</x:v>
      </x:c>
      <x:c r="B2850" s="59" t="str">
        <x:v>operator</x:v>
      </x:c>
      <x:c r="C2850" s="59" t="str">
        <x:v>PSE S.A.</x:v>
      </x:c>
    </x:row>
    <x:row r="2851" ht="38" customHeight="1">
      <x:c r="A2851" s="59" t="str">
        <x:v>PSE_RADK_BRIDGE_NOTICE_2025</x:v>
      </x:c>
      <x:c r="B2851" s="59" t="str">
        <x:v>source_name</x:v>
      </x:c>
      <x:c r="C2851" s="59" t="str">
        <x:v>PSE — ogłoszenie 205815-2025, pole 220 kV i most Radkowice</x:v>
      </x:c>
    </x:row>
    <x:row r="2852" ht="38" customHeight="1">
      <x:c r="A2852" s="59" t="str">
        <x:v>PSE_RADK_BRIDGE_NOTICE_2025</x:v>
      </x:c>
      <x:c r="B2852" s="59" t="str">
        <x:v>url</x:v>
      </x:c>
      <x:c r="C2852" s="59" t="str">
        <x:v>https://www.pse.pl/documents/20182/5928746423/OKRESOWE_OGLOSZENIE_ROBOTY_BUDOWLANE.pdf/883a7669-eb9a-4650-84f4-cd67502fd545?safeargs=76657273696f6e3d312e31</x:v>
      </x:c>
    </x:row>
    <x:row r="2853" ht="38" customHeight="1">
      <x:c r="A2853" s="59" t="str">
        <x:v>PSE_RADK_BRIDGE_NOTICE_2025</x:v>
      </x:c>
      <x:c r="B2853" s="59" t="str">
        <x:v>data_owner</x:v>
      </x:c>
      <x:c r="C2853" s="59" t="str">
        <x:v>PSE S.A.</x:v>
      </x:c>
    </x:row>
    <x:row r="2854" ht="38" customHeight="1">
      <x:c r="A2854" s="59" t="str">
        <x:v>PSE_RADK_BRIDGE_NOTICE_2025</x:v>
      </x:c>
      <x:c r="B2854" s="59" t="str">
        <x:v>data_category</x:v>
      </x:c>
      <x:c r="C2854" s="59" t="str">
        <x:v>grid_investments</x:v>
      </x:c>
    </x:row>
    <x:row r="2855" ht="38" customHeight="1">
      <x:c r="A2855" s="59" t="str">
        <x:v>PSE_RADK_BRIDGE_NOTICE_2025</x:v>
      </x:c>
      <x:c r="B2855" s="59" t="str">
        <x:v>data_format</x:v>
      </x:c>
      <x:c r="C2855" s="59" t="str">
        <x:v>[ "PDF" ]</x:v>
      </x:c>
    </x:row>
    <x:row r="2856" ht="38" customHeight="1">
      <x:c r="A2856" s="59" t="str">
        <x:v>PSE_RADK_BRIDGE_NOTICE_2025</x:v>
      </x:c>
      <x:c r="B2856" s="59" t="str">
        <x:v>verification_status</x:v>
      </x:c>
      <x:c r="C2856" s="59" t="str">
        <x:v>CONTENT_REVIEWED</x:v>
      </x:c>
    </x:row>
    <x:row r="2857" ht="38" customHeight="1">
      <x:c r="A2857" s="59" t="str">
        <x:v>PSE_RADK_BRIDGE_NOTICE_2025</x:v>
      </x:c>
      <x:c r="B2857" s="59" t="str">
        <x:v>reliability</x:v>
      </x:c>
      <x:c r="C2857" s="59" t="str">
        <x:v>B</x:v>
      </x:c>
    </x:row>
    <x:row r="2858" ht="38" customHeight="1">
      <x:c r="A2858" s="59" t="str">
        <x:v>PSE_RADK_BRIDGE_NOTICE_2025</x:v>
      </x:c>
      <x:c r="B2858" s="59" t="str">
        <x:v>key_fields</x:v>
      </x:c>
      <x:c r="C2858" s="59" t="str">
        <x:v>[ "nazwa zakresu", "numer ogłoszenia", "okres prognozy postępowań", "zastrzeżenie informacyjnego charakteru" ]</x:v>
      </x:c>
    </x:row>
    <x:row r="2859" ht="38" customHeight="1">
      <x:c r="A2859" s="59" t="str">
        <x:v>PSE_RADK_BRIDGE_NOTICE_2025</x:v>
      </x:c>
      <x:c r="B2859" s="59" t="str">
        <x:v>potential_application</x:v>
      </x:c>
      <x:c r="C2859" s="59" t="str">
        <x:v>Publiczny punkt odniesienia dla projektu mostu, bez obsadzenia i bez parametrów technicznych</x:v>
      </x:c>
    </x:row>
    <x:row r="2860" ht="38" customHeight="1">
      <x:c r="A2860" s="59" t="str">
        <x:v>PSE_RADK_BRIDGE_NOTICE_2025</x:v>
      </x:c>
      <x:c r="B2860" s="59" t="str">
        <x:v>known_limitations</x:v>
      </x:c>
      <x:c r="C2860" s="59" t="str">
        <x:v>[ "Prognoza zamówień, nie wynik przetargu ani dowód ukończenia", "Adres zamawiającego nie jest geometrią stacji", "Brak liczby miejsc, MW i przypisań projektów" ]</x:v>
      </x:c>
    </x:row>
    <x:row r="2861" ht="38" customHeight="1">
      <x:c r="A2861" s="59" t="str">
        <x:v>PSE_RADK_BRIDGE_NOTICE_2025</x:v>
      </x:c>
      <x:c r="B2861" s="59" t="str">
        <x:v>priority</x:v>
      </x:c>
      <x:c r="C2861" s="59" t="str">
        <x:v>P0</x:v>
      </x:c>
    </x:row>
    <x:row r="2862" ht="94" customHeight="1">
      <x:c r="A2862" s="59" t="str">
        <x:v>PSE_RADK_BRIDGE_NOTICE_2025</x:v>
      </x:c>
      <x:c r="B2862" s="59" t="str">
        <x:v>evidence</x:v>
      </x:c>
      <x:c r="C286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863" ht="38" customHeight="1">
      <x:c r="A2863" s="59" t="str">
        <x:v>PSE_RADK_BRIDGE_NOTICE_2025</x:v>
      </x:c>
      <x:c r="B2863" s="59" t="str">
        <x:v>retrieval_date</x:v>
      </x:c>
      <x:c r="C2863" s="59" t="str">
        <x:v>[ "2026-09-15T16:30:45.003171+00:00" ]</x:v>
      </x:c>
    </x:row>
    <x:row r="2864" ht="38" customHeight="1">
      <x:c r="A2864" s="59" t="str">
        <x:v>RDOS_RADK_PIASKI_NOTICE_2025</x:v>
      </x:c>
      <x:c r="B2864" s="59" t="str">
        <x:v>country</x:v>
      </x:c>
      <x:c r="C2864" s="59" t="str">
        <x:v>PL</x:v>
      </x:c>
    </x:row>
    <x:row r="2865" ht="38" customHeight="1">
      <x:c r="A2865" s="59" t="str">
        <x:v>RDOS_RADK_PIASKI_NOTICE_2025</x:v>
      </x:c>
      <x:c r="B2865" s="59" t="str">
        <x:v>geographical_scope</x:v>
      </x:c>
      <x:c r="C2865" s="59" t="str">
        <x:v>Radkowice i opisane zadanie</x:v>
      </x:c>
    </x:row>
    <x:row r="2866" ht="38" customHeight="1">
      <x:c r="A2866" s="59" t="str">
        <x:v>RDOS_RADK_PIASKI_NOTICE_2025</x:v>
      </x:c>
      <x:c r="B2866" s="59" t="str">
        <x:v>grid_voltage</x:v>
      </x:c>
      <x:c r="C2866" s="59" t="str">
        <x:v>[ "220 kV" ]</x:v>
      </x:c>
    </x:row>
    <x:row r="2867" ht="38" customHeight="1">
      <x:c r="A2867" s="59" t="str">
        <x:v>RDOS_RADK_PIASKI_NOTICE_2025</x:v>
      </x:c>
      <x:c r="B2867" s="59" t="str">
        <x:v>api_available</x:v>
      </x:c>
      <x:c r="C2867" s="59" t="str">
        <x:v>UNKNOWN</x:v>
      </x:c>
    </x:row>
    <x:row r="2868" ht="38" customHeight="1">
      <x:c r="A2868" s="59" t="str">
        <x:v>RDOS_RADK_PIASKI_NOTICE_2025</x:v>
      </x:c>
      <x:c r="B2868" s="59" t="str">
        <x:v>gis_available</x:v>
      </x:c>
      <x:c r="C2868" s="59" t="str">
        <x:v>UNKNOWN</x:v>
      </x:c>
    </x:row>
    <x:row r="2869" ht="38" customHeight="1">
      <x:c r="A2869" s="59" t="str">
        <x:v>RDOS_RADK_PIASKI_NOTICE_2025</x:v>
      </x:c>
      <x:c r="B2869" s="59" t="str">
        <x:v>update_frequency</x:v>
      </x:c>
      <x:c r="C2869" s="59" t="str">
        <x:v>UNKNOWN — nie ustalono gwarantowanego cyklu publikacji.</x:v>
      </x:c>
    </x:row>
    <x:row r="2870" ht="38" customHeight="1">
      <x:c r="A2870" s="59" t="str">
        <x:v>RDOS_RADK_PIASKI_NOTICE_2025</x:v>
      </x:c>
      <x:c r="B2870" s="59" t="str">
        <x:v>historical_data</x:v>
      </x:c>
      <x:c r="C2870" s="59" t="str">
        <x:v>UNKNOWN — własne snapshoty od 10.09.2026, jeśli zapisano próbkę.</x:v>
      </x:c>
    </x:row>
    <x:row r="2871" ht="38" customHeight="1">
      <x:c r="A2871" s="59" t="str">
        <x:v>RDOS_RADK_PIASKI_NOTICE_2025</x:v>
      </x:c>
      <x:c r="B2871" s="59" t="str">
        <x:v>authentication</x:v>
      </x:c>
      <x:c r="C2871" s="59" t="str">
        <x:v>Pobrano publicznie bez konta; HTTP 200.</x:v>
      </x:c>
    </x:row>
    <x:row r="2872" ht="38" customHeight="1">
      <x:c r="A2872" s="59" t="str">
        <x:v>RDOS_RADK_PIASKI_NOTICE_2025</x:v>
      </x:c>
      <x:c r="B2872" s="59" t="str">
        <x:v>license</x:v>
      </x:c>
      <x:c r="C2872" s="59" t="str">
        <x:v>Gov.pl: treści tekstowe CC BY-SA 4.0, zastrzeżenia dla praw osób trzecich; ocena załączników osobno.</x:v>
      </x:c>
    </x:row>
    <x:row r="2873" ht="38" customHeight="1">
      <x:c r="A2873" s="59" t="str">
        <x:v>RDOS_RADK_PIASKI_NOTICE_2025</x:v>
      </x:c>
      <x:c r="B2873" s="59" t="str">
        <x:v>license_url</x:v>
      </x:c>
      <x:c r="C2873" s="59" t="str">
        <x:v>https://www.gov.pl/web/gov/prawa-autorskie</x:v>
      </x:c>
    </x:row>
    <x:row r="2874" ht="38" customHeight="1">
      <x:c r="A2874" s="59" t="str">
        <x:v>RDOS_RADK_PIASKI_NOTICE_2025</x:v>
      </x:c>
      <x:c r="B2874" s="59" t="str">
        <x:v>commercial_use</x:v>
      </x:c>
      <x:c r="C2874" s="59" t="str">
        <x:v>REQUIRES_PERMISSION_REVIEW</x:v>
      </x:c>
    </x:row>
    <x:row r="2875" ht="38" customHeight="1">
      <x:c r="A2875" s="59" t="str">
        <x:v>RDOS_RADK_PIASKI_NOTICE_2025</x:v>
      </x:c>
      <x:c r="B2875" s="59" t="str">
        <x:v>machine_readable</x:v>
      </x:c>
      <x:c r="C2875" s="59" t="str">
        <x:v>PARTIAL — tekst dokumentu wymaga walidacji kontekstu</x:v>
      </x:c>
    </x:row>
    <x:row r="2876" ht="38" customHeight="1">
      <x:c r="A2876" s="59" t="str">
        <x:v>RDOS_RADK_PIASKI_NOTICE_2025</x:v>
      </x:c>
      <x:c r="B2876" s="59" t="str">
        <x:v>scraping_required</x:v>
      </x:c>
      <x:c r="C2876" s="59" t="str">
        <x:v>HTML parsing; brak wdrożonego cyklicznego scrapera</x:v>
      </x:c>
    </x:row>
    <x:row r="2877" ht="38" customHeight="1">
      <x:c r="A2877" s="59" t="str">
        <x:v>RDOS_RADK_PIASKI_NOTICE_2025</x:v>
      </x:c>
      <x:c r="B2877" s="59" t="str">
        <x:v>data_quality_score</x:v>
      </x:c>
      <x:c r="C2877" s="59" t="str">
        <x:v>UNKNOWN — nie ustalono</x:v>
      </x:c>
    </x:row>
    <x:row r="2878" ht="38" customHeight="1">
      <x:c r="A2878" s="59" t="str">
        <x:v>RDOS_RADK_PIASKI_NOTICE_2025</x:v>
      </x:c>
      <x:c r="B2878" s="59" t="str">
        <x:v>quality_score_status</x:v>
      </x:c>
      <x:c r="C2878" s="59" t="str">
        <x:v>NOT_CALIBRATED — autorytet źródła nie jest procentem kompletności lub trafności.</x:v>
      </x:c>
    </x:row>
    <x:row r="2879" ht="38" customHeight="1">
      <x:c r="A2879" s="59" t="str">
        <x:v>RDOS_RADK_PIASKI_NOTICE_2025</x:v>
      </x:c>
      <x:c r="B2879" s="59" t="str">
        <x:v>last_verified</x:v>
      </x:c>
      <x:c r="C2879" s="60" t="n">
        <x:v>46280</x:v>
      </x:c>
    </x:row>
    <x:row r="2880" ht="38" customHeight="1">
      <x:c r="A2880" s="59" t="str">
        <x:v>RDOS_RADK_PIASKI_NOTICE_2025</x:v>
      </x:c>
      <x:c r="B2880" s="59" t="str">
        <x:v>last_successful_verification</x:v>
      </x:c>
      <x:c r="C2880" s="60" t="n">
        <x:v>46280</x:v>
      </x:c>
    </x:row>
    <x:row r="2881" ht="38" customHeight="1">
      <x:c r="A2881" s="59" t="str">
        <x:v>RDOS_RADK_PIASKI_NOTICE_2025</x:v>
      </x:c>
      <x:c r="B2881" s="59" t="str">
        <x:v>source_date</x:v>
      </x:c>
      <x:c r="C2881" s="60" t="n">
        <x:v>45995</x:v>
      </x:c>
    </x:row>
    <x:row r="2882" ht="38" customHeight="1">
      <x:c r="A2882" s="59" t="str">
        <x:v>RDOS_RADK_PIASKI_NOTICE_2025</x:v>
      </x:c>
      <x:c r="B2882" s="59" t="str">
        <x:v>publication_date</x:v>
      </x:c>
      <x:c r="C2882" s="60" t="n">
        <x:v>46000</x:v>
      </x:c>
    </x:row>
    <x:row r="2883" ht="38" customHeight="1">
      <x:c r="A2883" s="59" t="str">
        <x:v>RDOS_RADK_PIASKI_NOTICE_2025</x:v>
      </x:c>
      <x:c r="B2883" s="59" t="str">
        <x:v>source_version</x:v>
      </x:c>
      <x:c r="C2883" s="59" t="str">
        <x:v>UNKNOWN — nie ustalono</x:v>
      </x:c>
    </x:row>
    <x:row r="2884" ht="38" customHeight="1">
      <x:c r="A2884" s="59" t="str">
        <x:v>RDOS_RADK_PIASKI_NOTICE_2025</x:v>
      </x:c>
      <x:c r="B2884" s="59" t="str">
        <x:v>source_page</x:v>
      </x:c>
      <x:c r="C2884" s="59" t="str">
        <x:v>Nagłówek i treść obwieszczenia</x:v>
      </x:c>
    </x:row>
    <x:row r="2885" ht="38" customHeight="1">
      <x:c r="A2885" s="59" t="str">
        <x:v>RDOS_RADK_PIASKI_NOTICE_2025</x:v>
      </x:c>
      <x:c r="B2885" s="59" t="str">
        <x:v>valid_from</x:v>
      </x:c>
      <x:c r="C2885" s="59" t="str">
        <x:v>UNKNOWN — nie ustalono</x:v>
      </x:c>
    </x:row>
    <x:row r="2886" ht="38" customHeight="1">
      <x:c r="A2886" s="59" t="str">
        <x:v>RDOS_RADK_PIASKI_NOTICE_2025</x:v>
      </x:c>
      <x:c r="B2886" s="59" t="str">
        <x:v>valid_to</x:v>
      </x:c>
      <x:c r="C2886" s="59" t="str">
        <x:v>UNKNOWN — nie ustalono</x:v>
      </x:c>
    </x:row>
    <x:row r="2887" ht="38" customHeight="1">
      <x:c r="A2887" s="59" t="str">
        <x:v>RDOS_RADK_PIASKI_NOTICE_2025</x:v>
      </x:c>
      <x:c r="B2887" s="59" t="str">
        <x:v>current_future_scope</x:v>
      </x:c>
      <x:c r="C2887" s="59" t="str">
        <x:v>SOURCE_DEPENDENT</x:v>
      </x:c>
    </x:row>
    <x:row r="2888" ht="38" customHeight="1">
      <x:c r="A2888" s="59" t="str">
        <x:v>RDOS_RADK_PIASKI_NOTICE_2025</x:v>
      </x:c>
      <x:c r="B2888" s="59" t="str">
        <x:v>value_classification_default</x:v>
      </x:c>
      <x:c r="C2888" s="59" t="str">
        <x:v>REPORTED</x:v>
      </x:c>
    </x:row>
    <x:row r="2889" ht="38" customHeight="1">
      <x:c r="A2889" s="59" t="str">
        <x:v>RDOS_RADK_PIASKI_NOTICE_2025</x:v>
      </x:c>
      <x:c r="B2889" s="59" t="str">
        <x:v>automation_notes</x:v>
      </x:c>
      <x:c r="C2889" s="59" t="str">
        <x:v>Jednorazowy snapshot z timeoutem i SHA-256. Nie ustalono API, limitów ani gwarantowanego cyklu; brak wdrożonej automatyzacji.</x:v>
      </x:c>
    </x:row>
    <x:row r="2890" ht="38" customHeight="1">
      <x:c r="A2890" s="59" t="str">
        <x:v>RDOS_RADK_PIASKI_NOTICE_2025</x:v>
      </x:c>
      <x:c r="B2890" s="59" t="str">
        <x:v>probe_ids</x:v>
      </x:c>
      <x:c r="C2890" s="59" t="str">
        <x:v>[ "RDOS_RADK_PIASKI_NOTICE_2025" ]</x:v>
      </x:c>
    </x:row>
    <x:row r="2891" ht="38" customHeight="1">
      <x:c r="A2891" s="59" t="str">
        <x:v>RDOS_RADK_PIASKI_NOTICE_2025</x:v>
      </x:c>
      <x:c r="B2891" s="59" t="str">
        <x:v>related_urls</x:v>
      </x:c>
      <x:c r="C2891" s="59" t="str">
        <x:v>[]</x:v>
      </x:c>
    </x:row>
    <x:row r="2892" ht="38" customHeight="1">
      <x:c r="A2892" s="59" t="str">
        <x:v>RDOS_RADK_PIASKI_NOTICE_2025</x:v>
      </x:c>
      <x:c r="B2892" s="59" t="str">
        <x:v>source_id</x:v>
      </x:c>
      <x:c r="C2892" s="59" t="str">
        <x:v>RDOS_RADK_PIASKI_NOTICE_2025</x:v>
      </x:c>
    </x:row>
    <x:row r="2893" ht="38" customHeight="1">
      <x:c r="A2893" s="59" t="str">
        <x:v>RDOS_RADK_PIASKI_NOTICE_2025</x:v>
      </x:c>
      <x:c r="B2893" s="59" t="str">
        <x:v>operator</x:v>
      </x:c>
      <x:c r="C2893" s="59" t="str">
        <x:v>RDOŚ Kielce</x:v>
      </x:c>
    </x:row>
    <x:row r="2894" ht="38" customHeight="1">
      <x:c r="A2894" s="59" t="str">
        <x:v>RDOS_RADK_PIASKI_NOTICE_2025</x:v>
      </x:c>
      <x:c r="B2894" s="59" t="str">
        <x:v>source_name</x:v>
      </x:c>
      <x:c r="C2894" s="59" t="str">
        <x:v>RDOŚ Kielce — obwieszczenie dotyczące Radkowice–Kielce Piaski</x:v>
      </x:c>
    </x:row>
    <x:row r="2895" ht="38" customHeight="1">
      <x:c r="A2895" s="59" t="str">
        <x:v>RDOS_RADK_PIASKI_NOTICE_2025</x:v>
      </x:c>
      <x:c r="B2895" s="59" t="str">
        <x:v>url</x:v>
      </x:c>
      <x:c r="C2895" s="59" t="str">
        <x:v>https://www.gov.pl/web/rdos-kielce/obwieszczenie-regionalnego-dyrektora-ochrony-srodowiska-w-kielcach-z-dnia-04122025-r-znak-woo-i42072025pjpp16</x:v>
      </x:c>
    </x:row>
    <x:row r="2896" ht="38" customHeight="1">
      <x:c r="A2896" s="59" t="str">
        <x:v>RDOS_RADK_PIASKI_NOTICE_2025</x:v>
      </x:c>
      <x:c r="B2896" s="59" t="str">
        <x:v>data_owner</x:v>
      </x:c>
      <x:c r="C2896" s="59" t="str">
        <x:v>RDOŚ Kielce</x:v>
      </x:c>
    </x:row>
    <x:row r="2897" ht="38" customHeight="1">
      <x:c r="A2897" s="59" t="str">
        <x:v>RDOS_RADK_PIASKI_NOTICE_2025</x:v>
      </x:c>
      <x:c r="B2897" s="59" t="str">
        <x:v>data_category</x:v>
      </x:c>
      <x:c r="C2897" s="59" t="str">
        <x:v>grid_investments</x:v>
      </x:c>
    </x:row>
    <x:row r="2898" ht="38" customHeight="1">
      <x:c r="A2898" s="59" t="str">
        <x:v>RDOS_RADK_PIASKI_NOTICE_2025</x:v>
      </x:c>
      <x:c r="B2898" s="59" t="str">
        <x:v>data_format</x:v>
      </x:c>
      <x:c r="C2898" s="59" t="str">
        <x:v>[ "HTML" ]</x:v>
      </x:c>
    </x:row>
    <x:row r="2899" ht="38" customHeight="1">
      <x:c r="A2899" s="59" t="str">
        <x:v>RDOS_RADK_PIASKI_NOTICE_2025</x:v>
      </x:c>
      <x:c r="B2899" s="59" t="str">
        <x:v>verification_status</x:v>
      </x:c>
      <x:c r="C2899" s="59" t="str">
        <x:v>CONTENT_REVIEWED</x:v>
      </x:c>
    </x:row>
    <x:row r="2900" ht="38" customHeight="1">
      <x:c r="A2900" s="59" t="str">
        <x:v>RDOS_RADK_PIASKI_NOTICE_2025</x:v>
      </x:c>
      <x:c r="B2900" s="59" t="str">
        <x:v>reliability</x:v>
      </x:c>
      <x:c r="C2900" s="59" t="str">
        <x:v>C</x:v>
      </x:c>
    </x:row>
    <x:row r="2901" ht="38" customHeight="1">
      <x:c r="A2901" s="59" t="str">
        <x:v>RDOS_RADK_PIASKI_NOTICE_2025</x:v>
      </x:c>
      <x:c r="B2901" s="59" t="str">
        <x:v>key_fields</x:v>
      </x:c>
      <x:c r="C2901" s="59" t="str">
        <x:v>[ "znak obwieszczenia", "znak decyzji", "nazwa przedsięwzięcia", "data obwieszczenia", "data publikacji" ]</x:v>
      </x:c>
    </x:row>
    <x:row r="2902" ht="38" customHeight="1">
      <x:c r="A2902" s="59" t="str">
        <x:v>RDOS_RADK_PIASKI_NOTICE_2025</x:v>
      </x:c>
      <x:c r="B2902" s="59" t="str">
        <x:v>potential_application</x:v>
      </x:c>
      <x:c r="C2902" s="59" t="str">
        <x:v>Potwierdzenie publicznej informacji o decyzji środowiskowej dla przebudowy 220 kV</x:v>
      </x:c>
    </x:row>
    <x:row r="2903" ht="38" customHeight="1">
      <x:c r="A2903" s="59" t="str">
        <x:v>RDOS_RADK_PIASKI_NOTICE_2025</x:v>
      </x:c>
      <x:c r="B2903" s="59" t="str">
        <x:v>known_limitations</x:v>
      </x:c>
      <x:c r="C2903" s="59" t="str">
        <x:v>[ "Nie potwierdza prawomocności, uruchomienia ani obciążalności", "Nie utożsamiać całego zadania stacji z mostem" ]</x:v>
      </x:c>
    </x:row>
    <x:row r="2904" ht="38" customHeight="1">
      <x:c r="A2904" s="59" t="str">
        <x:v>RDOS_RADK_PIASKI_NOTICE_2025</x:v>
      </x:c>
      <x:c r="B2904" s="59" t="str">
        <x:v>priority</x:v>
      </x:c>
      <x:c r="C2904" s="59" t="str">
        <x:v>P0</x:v>
      </x:c>
    </x:row>
    <x:row r="2905" ht="94" customHeight="1">
      <x:c r="A2905" s="59" t="str">
        <x:v>RDOS_RADK_PIASKI_NOTICE_2025</x:v>
      </x:c>
      <x:c r="B2905" s="59" t="str">
        <x:v>evidence</x:v>
      </x:c>
      <x:c r="C290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906" ht="38" customHeight="1">
      <x:c r="A2906" s="59" t="str">
        <x:v>RDOS_RADK_PIASKI_NOTICE_2025</x:v>
      </x:c>
      <x:c r="B2906" s="59" t="str">
        <x:v>retrieval_date</x:v>
      </x:c>
      <x:c r="C2906" s="59" t="str">
        <x:v>[ "2026-09-15T16:30:45.228667+00:00" ]</x:v>
      </x:c>
    </x:row>
    <x:row r="2907" ht="38" customHeight="1">
      <x:c r="A2907" s="59" t="str">
        <x:v>RDOS_RADK_PIASKI_DECISION_2025</x:v>
      </x:c>
      <x:c r="B2907" s="59" t="str">
        <x:v>country</x:v>
      </x:c>
      <x:c r="C2907" s="59" t="str">
        <x:v>PL</x:v>
      </x:c>
    </x:row>
    <x:row r="2908" ht="38" customHeight="1">
      <x:c r="A2908" s="59" t="str">
        <x:v>RDOS_RADK_PIASKI_DECISION_2025</x:v>
      </x:c>
      <x:c r="B2908" s="59" t="str">
        <x:v>geographical_scope</x:v>
      </x:c>
      <x:c r="C2908" s="59" t="str">
        <x:v>Radkowice i opisane zadanie</x:v>
      </x:c>
    </x:row>
    <x:row r="2909" ht="38" customHeight="1">
      <x:c r="A2909" s="59" t="str">
        <x:v>RDOS_RADK_PIASKI_DECISION_2025</x:v>
      </x:c>
      <x:c r="B2909" s="59" t="str">
        <x:v>grid_voltage</x:v>
      </x:c>
      <x:c r="C2909" s="59" t="str">
        <x:v>[ "220 kV" ]</x:v>
      </x:c>
    </x:row>
    <x:row r="2910" ht="38" customHeight="1">
      <x:c r="A2910" s="59" t="str">
        <x:v>RDOS_RADK_PIASKI_DECISION_2025</x:v>
      </x:c>
      <x:c r="B2910" s="59" t="str">
        <x:v>api_available</x:v>
      </x:c>
      <x:c r="C2910" s="59" t="str">
        <x:v>UNKNOWN</x:v>
      </x:c>
    </x:row>
    <x:row r="2911" ht="38" customHeight="1">
      <x:c r="A2911" s="59" t="str">
        <x:v>RDOS_RADK_PIASKI_DECISION_2025</x:v>
      </x:c>
      <x:c r="B2911" s="59" t="str">
        <x:v>gis_available</x:v>
      </x:c>
      <x:c r="C2911" s="59" t="str">
        <x:v>UNKNOWN</x:v>
      </x:c>
    </x:row>
    <x:row r="2912" ht="38" customHeight="1">
      <x:c r="A2912" s="59" t="str">
        <x:v>RDOS_RADK_PIASKI_DECISION_2025</x:v>
      </x:c>
      <x:c r="B2912" s="59" t="str">
        <x:v>update_frequency</x:v>
      </x:c>
      <x:c r="C2912" s="59" t="str">
        <x:v>UNKNOWN — nie ustalono gwarantowanego cyklu publikacji.</x:v>
      </x:c>
    </x:row>
    <x:row r="2913" ht="38" customHeight="1">
      <x:c r="A2913" s="59" t="str">
        <x:v>RDOS_RADK_PIASKI_DECISION_2025</x:v>
      </x:c>
      <x:c r="B2913" s="59" t="str">
        <x:v>historical_data</x:v>
      </x:c>
      <x:c r="C2913" s="59" t="str">
        <x:v>UNKNOWN — własne snapshoty od 10.09.2026, jeśli zapisano próbkę.</x:v>
      </x:c>
    </x:row>
    <x:row r="2914" ht="38" customHeight="1">
      <x:c r="A2914" s="59" t="str">
        <x:v>RDOS_RADK_PIASKI_DECISION_2025</x:v>
      </x:c>
      <x:c r="B2914" s="59" t="str">
        <x:v>authentication</x:v>
      </x:c>
      <x:c r="C2914" s="59" t="str">
        <x:v>Pobrano publicznie bez konta; HTTP 200.</x:v>
      </x:c>
    </x:row>
    <x:row r="2915" ht="38" customHeight="1">
      <x:c r="A2915" s="59" t="str">
        <x:v>RDOS_RADK_PIASKI_DECISION_2025</x:v>
      </x:c>
      <x:c r="B2915" s="59" t="str">
        <x:v>license</x:v>
      </x:c>
      <x:c r="C2915" s="59" t="str">
        <x:v>Dokument urzędowy; zasady Gov.pl zweryfikowano, zakres praw do załącznika i materiałów osób trzecich wymaga odrębnej oceny.</x:v>
      </x:c>
    </x:row>
    <x:row r="2916" ht="38" customHeight="1">
      <x:c r="A2916" s="59" t="str">
        <x:v>RDOS_RADK_PIASKI_DECISION_2025</x:v>
      </x:c>
      <x:c r="B2916" s="59" t="str">
        <x:v>license_url</x:v>
      </x:c>
      <x:c r="C2916" s="59" t="str">
        <x:v>https://www.gov.pl/web/gov/prawa-autorskie</x:v>
      </x:c>
    </x:row>
    <x:row r="2917" ht="38" customHeight="1">
      <x:c r="A2917" s="59" t="str">
        <x:v>RDOS_RADK_PIASKI_DECISION_2025</x:v>
      </x:c>
      <x:c r="B2917" s="59" t="str">
        <x:v>commercial_use</x:v>
      </x:c>
      <x:c r="C2917" s="59" t="str">
        <x:v>REQUIRES_PERMISSION_REVIEW</x:v>
      </x:c>
    </x:row>
    <x:row r="2918" ht="38" customHeight="1">
      <x:c r="A2918" s="59" t="str">
        <x:v>RDOS_RADK_PIASKI_DECISION_2025</x:v>
      </x:c>
      <x:c r="B2918" s="59" t="str">
        <x:v>machine_readable</x:v>
      </x:c>
      <x:c r="C2918" s="59" t="str">
        <x:v>PARTIAL — tekst dokumentu wymaga walidacji kontekstu</x:v>
      </x:c>
    </x:row>
    <x:row r="2919" ht="38" customHeight="1">
      <x:c r="A2919" s="59" t="str">
        <x:v>RDOS_RADK_PIASKI_DECISION_2025</x:v>
      </x:c>
      <x:c r="B2919" s="59" t="str">
        <x:v>scraping_required</x:v>
      </x:c>
      <x:c r="C2919" s="59" t="str">
        <x:v>Pobranie PDF i ekstrakcja tekstu; walidacja kontekstu i numerów stron</x:v>
      </x:c>
    </x:row>
    <x:row r="2920" ht="38" customHeight="1">
      <x:c r="A2920" s="59" t="str">
        <x:v>RDOS_RADK_PIASKI_DECISION_2025</x:v>
      </x:c>
      <x:c r="B2920" s="59" t="str">
        <x:v>data_quality_score</x:v>
      </x:c>
      <x:c r="C2920" s="59" t="str">
        <x:v>UNKNOWN — nie ustalono</x:v>
      </x:c>
    </x:row>
    <x:row r="2921" ht="38" customHeight="1">
      <x:c r="A2921" s="59" t="str">
        <x:v>RDOS_RADK_PIASKI_DECISION_2025</x:v>
      </x:c>
      <x:c r="B2921" s="59" t="str">
        <x:v>quality_score_status</x:v>
      </x:c>
      <x:c r="C2921" s="59" t="str">
        <x:v>NOT_CALIBRATED — autorytet źródła nie jest procentem kompletności lub trafności.</x:v>
      </x:c>
    </x:row>
    <x:row r="2922" ht="38" customHeight="1">
      <x:c r="A2922" s="59" t="str">
        <x:v>RDOS_RADK_PIASKI_DECISION_2025</x:v>
      </x:c>
      <x:c r="B2922" s="59" t="str">
        <x:v>last_verified</x:v>
      </x:c>
      <x:c r="C2922" s="60" t="n">
        <x:v>46280</x:v>
      </x:c>
    </x:row>
    <x:row r="2923" ht="38" customHeight="1">
      <x:c r="A2923" s="59" t="str">
        <x:v>RDOS_RADK_PIASKI_DECISION_2025</x:v>
      </x:c>
      <x:c r="B2923" s="59" t="str">
        <x:v>last_successful_verification</x:v>
      </x:c>
      <x:c r="C2923" s="60" t="n">
        <x:v>46280</x:v>
      </x:c>
    </x:row>
    <x:row r="2924" ht="38" customHeight="1">
      <x:c r="A2924" s="59" t="str">
        <x:v>RDOS_RADK_PIASKI_DECISION_2025</x:v>
      </x:c>
      <x:c r="B2924" s="59" t="str">
        <x:v>source_date</x:v>
      </x:c>
      <x:c r="C2924" s="60" t="n">
        <x:v>45995</x:v>
      </x:c>
    </x:row>
    <x:row r="2925" ht="38" customHeight="1">
      <x:c r="A2925" s="59" t="str">
        <x:v>RDOS_RADK_PIASKI_DECISION_2025</x:v>
      </x:c>
      <x:c r="B2925" s="59" t="str">
        <x:v>publication_date</x:v>
      </x:c>
      <x:c r="C2925" s="59" t="str">
        <x:v>UNKNOWN — nie ustalono</x:v>
      </x:c>
    </x:row>
    <x:row r="2926" ht="38" customHeight="1">
      <x:c r="A2926" s="59" t="str">
        <x:v>RDOS_RADK_PIASKI_DECISION_2025</x:v>
      </x:c>
      <x:c r="B2926" s="59" t="str">
        <x:v>source_version</x:v>
      </x:c>
      <x:c r="C2926" s="59" t="str">
        <x:v>UNKNOWN — nie ustalono</x:v>
      </x:c>
    </x:row>
    <x:row r="2927" ht="38" customHeight="1">
      <x:c r="A2927" s="59" t="str">
        <x:v>RDOS_RADK_PIASKI_DECISION_2025</x:v>
      </x:c>
      <x:c r="B2927" s="59" t="str">
        <x:v>source_page</x:v>
      </x:c>
      <x:c r="C2927" s="59" t="str">
        <x:v>1: znak i data; 3: planowane przełączenie przęsła</x:v>
      </x:c>
    </x:row>
    <x:row r="2928" ht="38" customHeight="1">
      <x:c r="A2928" s="59" t="str">
        <x:v>RDOS_RADK_PIASKI_DECISION_2025</x:v>
      </x:c>
      <x:c r="B2928" s="59" t="str">
        <x:v>valid_from</x:v>
      </x:c>
      <x:c r="C2928" s="59" t="str">
        <x:v>UNKNOWN — nie ustalono</x:v>
      </x:c>
    </x:row>
    <x:row r="2929" ht="38" customHeight="1">
      <x:c r="A2929" s="59" t="str">
        <x:v>RDOS_RADK_PIASKI_DECISION_2025</x:v>
      </x:c>
      <x:c r="B2929" s="59" t="str">
        <x:v>valid_to</x:v>
      </x:c>
      <x:c r="C2929" s="59" t="str">
        <x:v>UNKNOWN — nie ustalono</x:v>
      </x:c>
    </x:row>
    <x:row r="2930" ht="38" customHeight="1">
      <x:c r="A2930" s="59" t="str">
        <x:v>RDOS_RADK_PIASKI_DECISION_2025</x:v>
      </x:c>
      <x:c r="B2930" s="59" t="str">
        <x:v>current_future_scope</x:v>
      </x:c>
      <x:c r="C2930" s="59" t="str">
        <x:v>SOURCE_DEPENDENT</x:v>
      </x:c>
    </x:row>
    <x:row r="2931" ht="38" customHeight="1">
      <x:c r="A2931" s="59" t="str">
        <x:v>RDOS_RADK_PIASKI_DECISION_2025</x:v>
      </x:c>
      <x:c r="B2931" s="59" t="str">
        <x:v>value_classification_default</x:v>
      </x:c>
      <x:c r="C2931" s="59" t="str">
        <x:v>REPORTED</x:v>
      </x:c>
    </x:row>
    <x:row r="2932" ht="38" customHeight="1">
      <x:c r="A2932" s="59" t="str">
        <x:v>RDOS_RADK_PIASKI_DECISION_2025</x:v>
      </x:c>
      <x:c r="B2932" s="59" t="str">
        <x:v>automation_notes</x:v>
      </x:c>
      <x:c r="C2932" s="59" t="str">
        <x:v>Jednorazowy snapshot z timeoutem i SHA-256. Nie ustalono API, limitów ani gwarantowanego cyklu; brak wdrożonej automatyzacji.</x:v>
      </x:c>
    </x:row>
    <x:row r="2933" ht="38" customHeight="1">
      <x:c r="A2933" s="59" t="str">
        <x:v>RDOS_RADK_PIASKI_DECISION_2025</x:v>
      </x:c>
      <x:c r="B2933" s="59" t="str">
        <x:v>probe_ids</x:v>
      </x:c>
      <x:c r="C2933" s="59" t="str">
        <x:v>[ "RDOS_RADK_PIASKI_DECISION_2025" ]</x:v>
      </x:c>
    </x:row>
    <x:row r="2934" ht="38" customHeight="1">
      <x:c r="A2934" s="59" t="str">
        <x:v>RDOS_RADK_PIASKI_DECISION_2025</x:v>
      </x:c>
      <x:c r="B2934" s="59" t="str">
        <x:v>related_urls</x:v>
      </x:c>
      <x:c r="C2934" s="59" t="str">
        <x:v>[]</x:v>
      </x:c>
    </x:row>
    <x:row r="2935" ht="38" customHeight="1">
      <x:c r="A2935" s="59" t="str">
        <x:v>RDOS_RADK_PIASKI_DECISION_2025</x:v>
      </x:c>
      <x:c r="B2935" s="59" t="str">
        <x:v>source_id</x:v>
      </x:c>
      <x:c r="C2935" s="59" t="str">
        <x:v>RDOS_RADK_PIASKI_DECISION_2025</x:v>
      </x:c>
    </x:row>
    <x:row r="2936" ht="38" customHeight="1">
      <x:c r="A2936" s="59" t="str">
        <x:v>RDOS_RADK_PIASKI_DECISION_2025</x:v>
      </x:c>
      <x:c r="B2936" s="59" t="str">
        <x:v>operator</x:v>
      </x:c>
      <x:c r="C2936" s="59" t="str">
        <x:v>RDOŚ Kielce</x:v>
      </x:c>
    </x:row>
    <x:row r="2937" ht="38" customHeight="1">
      <x:c r="A2937" s="59" t="str">
        <x:v>RDOS_RADK_PIASKI_DECISION_2025</x:v>
      </x:c>
      <x:c r="B2937" s="59" t="str">
        <x:v>source_name</x:v>
      </x:c>
      <x:c r="C2937" s="59" t="str">
        <x:v>RDOŚ Kielce — pełna decyzja dla przebudowy linii Radkowice–Kielce Piaski</x:v>
      </x:c>
    </x:row>
    <x:row r="2938" ht="38" customHeight="1">
      <x:c r="A2938" s="59" t="str">
        <x:v>RDOS_RADK_PIASKI_DECISION_2025</x:v>
      </x:c>
      <x:c r="B2938" s="59" t="str">
        <x:v>url</x:v>
      </x:c>
      <x:c r="C2938" s="59" t="str">
        <x:v>https://www.gov.pl/attachment/27ef7a8e-5094-4391-be1c-7e23cb1038b2</x:v>
      </x:c>
    </x:row>
    <x:row r="2939" ht="38" customHeight="1">
      <x:c r="A2939" s="59" t="str">
        <x:v>RDOS_RADK_PIASKI_DECISION_2025</x:v>
      </x:c>
      <x:c r="B2939" s="59" t="str">
        <x:v>data_owner</x:v>
      </x:c>
      <x:c r="C2939" s="59" t="str">
        <x:v>RDOŚ Kielce</x:v>
      </x:c>
    </x:row>
    <x:row r="2940" ht="38" customHeight="1">
      <x:c r="A2940" s="59" t="str">
        <x:v>RDOS_RADK_PIASKI_DECISION_2025</x:v>
      </x:c>
      <x:c r="B2940" s="59" t="str">
        <x:v>data_category</x:v>
      </x:c>
      <x:c r="C2940" s="59" t="str">
        <x:v>grid_investments</x:v>
      </x:c>
    </x:row>
    <x:row r="2941" ht="38" customHeight="1">
      <x:c r="A2941" s="59" t="str">
        <x:v>RDOS_RADK_PIASKI_DECISION_2025</x:v>
      </x:c>
      <x:c r="B2941" s="59" t="str">
        <x:v>data_format</x:v>
      </x:c>
      <x:c r="C2941" s="59" t="str">
        <x:v>[ "PDF" ]</x:v>
      </x:c>
    </x:row>
    <x:row r="2942" ht="38" customHeight="1">
      <x:c r="A2942" s="59" t="str">
        <x:v>RDOS_RADK_PIASKI_DECISION_2025</x:v>
      </x:c>
      <x:c r="B2942" s="59" t="str">
        <x:v>verification_status</x:v>
      </x:c>
      <x:c r="C2942" s="59" t="str">
        <x:v>CONTENT_REVIEWED</x:v>
      </x:c>
    </x:row>
    <x:row r="2943" ht="38" customHeight="1">
      <x:c r="A2943" s="59" t="str">
        <x:v>RDOS_RADK_PIASKI_DECISION_2025</x:v>
      </x:c>
      <x:c r="B2943" s="59" t="str">
        <x:v>reliability</x:v>
      </x:c>
      <x:c r="C2943" s="59" t="str">
        <x:v>C</x:v>
      </x:c>
    </x:row>
    <x:row r="2944" ht="38" customHeight="1">
      <x:c r="A2944" s="59" t="str">
        <x:v>RDOS_RADK_PIASKI_DECISION_2025</x:v>
      </x:c>
      <x:c r="B2944" s="59" t="str">
        <x:v>key_fields</x:v>
      </x:c>
      <x:c r="C2944" s="59" t="str">
        <x:v>[ "znak decyzji", "data decyzji", "słup 81", "dotychczasowe pole 8", "projektowane pole 6", "około 60 m — tylko przebudowywane przęsło" ]</x:v>
      </x:c>
    </x:row>
    <x:row r="2945" ht="38" customHeight="1">
      <x:c r="A2945" s="59" t="str">
        <x:v>RDOS_RADK_PIASKI_DECISION_2025</x:v>
      </x:c>
      <x:c r="B2945" s="59" t="str">
        <x:v>potential_application</x:v>
      </x:c>
      <x:c r="C2945" s="59" t="str">
        <x:v>Dokumentacyjna topologia przyszła, rozdzielona od stanu aktualnego i mostu</x:v>
      </x:c>
    </x:row>
    <x:row r="2946" ht="38" customHeight="1">
      <x:c r="A2946" s="59" t="str">
        <x:v>RDOS_RADK_PIASKI_DECISION_2025</x:v>
      </x:c>
      <x:c r="B2946" s="59" t="str">
        <x:v>known_limitations</x:v>
      </x:c>
      <x:c r="C2946" s="59" t="str">
        <x:v>[ "Plan przebudowy, nie potwierdzenie wykonania ani prawomocności", "60 m nie oznacza długości całej linii", "Nie potwierdza parametrów mostu, jego obsadzenia ani dostępnych MW" ]</x:v>
      </x:c>
    </x:row>
    <x:row r="2947" ht="38" customHeight="1">
      <x:c r="A2947" s="59" t="str">
        <x:v>RDOS_RADK_PIASKI_DECISION_2025</x:v>
      </x:c>
      <x:c r="B2947" s="59" t="str">
        <x:v>priority</x:v>
      </x:c>
      <x:c r="C2947" s="59" t="str">
        <x:v>P0</x:v>
      </x:c>
    </x:row>
    <x:row r="2948" ht="80" customHeight="1">
      <x:c r="A2948" s="59" t="str">
        <x:v>RDOS_RADK_PIASKI_DECISION_2025</x:v>
      </x:c>
      <x:c r="B2948" s="59" t="str">
        <x:v>evidence</x:v>
      </x:c>
      <x:c r="C294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949" ht="38" customHeight="1">
      <x:c r="A2949" s="59" t="str">
        <x:v>RDOS_RADK_PIASKI_DECISION_2025</x:v>
      </x:c>
      <x:c r="B2949" s="59" t="str">
        <x:v>retrieval_date</x:v>
      </x:c>
      <x:c r="C2949" s="59" t="str">
        <x:v>[ "2026-09-15T16:42:41.935208+00:00" ]</x:v>
      </x:c>
    </x:row>
    <x:row r="2950" ht="30" customHeight="1">
      <x:c r="A2950" s="59" t="str">
        <x:v>PSE_IMPACT_REPORT_2023</x:v>
      </x:c>
      <x:c r="B2950" s="59" t="str">
        <x:v>country</x:v>
      </x:c>
      <x:c r="C2950" s="59" t="str">
        <x:v>PL</x:v>
      </x:c>
    </x:row>
    <x:row r="2951" ht="30" customHeight="1">
      <x:c r="A2951" s="59" t="str">
        <x:v>PSE_IMPACT_REPORT_2023</x:v>
      </x:c>
      <x:c r="B2951" s="59" t="str">
        <x:v>geographical_scope</x:v>
      </x:c>
      <x:c r="C2951" s="59" t="str">
        <x:v>Polska; sprawdzona wzmianka o Radkowicach</x:v>
      </x:c>
    </x:row>
    <x:row r="2952" ht="30" customHeight="1">
      <x:c r="A2952" s="59" t="str">
        <x:v>PSE_IMPACT_REPORT_2023</x:v>
      </x:c>
      <x:c r="B2952" s="59" t="str">
        <x:v>grid_voltage</x:v>
      </x:c>
      <x:c r="C2952" s="59" t="str">
        <x:v>[ "220 kV", "110 kV" ]</x:v>
      </x:c>
    </x:row>
    <x:row r="2953" ht="30" customHeight="1">
      <x:c r="A2953" s="59" t="str">
        <x:v>PSE_IMPACT_REPORT_2023</x:v>
      </x:c>
      <x:c r="B2953" s="59" t="str">
        <x:v>api_available</x:v>
      </x:c>
      <x:c r="C2953" s="59" t="str">
        <x:v>UNKNOWN</x:v>
      </x:c>
    </x:row>
    <x:row r="2954" ht="30" customHeight="1">
      <x:c r="A2954" s="59" t="str">
        <x:v>PSE_IMPACT_REPORT_2023</x:v>
      </x:c>
      <x:c r="B2954" s="59" t="str">
        <x:v>gis_available</x:v>
      </x:c>
      <x:c r="C2954" s="59" t="str">
        <x:v>UNKNOWN</x:v>
      </x:c>
    </x:row>
    <x:row r="2955" ht="30" customHeight="1">
      <x:c r="A2955" s="59" t="str">
        <x:v>PSE_IMPACT_REPORT_2023</x:v>
      </x:c>
      <x:c r="B2955" s="59" t="str">
        <x:v>update_frequency</x:v>
      </x:c>
      <x:c r="C2955" s="59" t="str">
        <x:v>Raport roczny; brak zweryfikowanej gwarancji terminu publikacji.</x:v>
      </x:c>
    </x:row>
    <x:row r="2956" ht="30" customHeight="1">
      <x:c r="A2956" s="59" t="str">
        <x:v>PSE_IMPACT_REPORT_2023</x:v>
      </x:c>
      <x:c r="B2956" s="59" t="str">
        <x:v>historical_data</x:v>
      </x:c>
      <x:c r="C2956" s="59" t="str">
        <x:v>UNKNOWN — własne snapshoty od 10.09.2026, jeśli zapisano próbkę.</x:v>
      </x:c>
    </x:row>
    <x:row r="2957" ht="30" customHeight="1">
      <x:c r="A2957" s="59" t="str">
        <x:v>PSE_IMPACT_REPORT_2023</x:v>
      </x:c>
      <x:c r="B2957" s="59" t="str">
        <x:v>authentication</x:v>
      </x:c>
      <x:c r="C2957" s="59" t="str">
        <x:v>Publiczny PDF pobrany bez konta, HTTP 200.</x:v>
      </x:c>
    </x:row>
    <x:row r="2958" ht="30" customHeight="1">
      <x:c r="A2958" s="59" t="str">
        <x:v>PSE_IMPACT_REPORT_2023</x:v>
      </x:c>
      <x:c r="B2958" s="59" t="str">
        <x:v>license</x:v>
      </x:c>
      <x:c r="C2958" s="59" t="str">
        <x:v>UNKNOWN — nie potwierdzono otwartej licencji raportu ani prawa do jego redystrybucji.</x:v>
      </x:c>
    </x:row>
    <x:row r="2959" ht="30" customHeight="1">
      <x:c r="A2959" s="59" t="str">
        <x:v>PSE_IMPACT_REPORT_2023</x:v>
      </x:c>
      <x:c r="B2959" s="59" t="str">
        <x:v>license_url</x:v>
      </x:c>
      <x:c r="C2959" s="59" t="str">
        <x:v>UNKNOWN — nie ustalono</x:v>
      </x:c>
    </x:row>
    <x:row r="2960" ht="30" customHeight="1">
      <x:c r="A2960" s="59" t="str">
        <x:v>PSE_IMPACT_REPORT_2023</x:v>
      </x:c>
      <x:c r="B2960" s="59" t="str">
        <x:v>commercial_use</x:v>
      </x:c>
      <x:c r="C2960" s="59" t="str">
        <x:v>UNKNOWN</x:v>
      </x:c>
    </x:row>
    <x:row r="2961" ht="30" customHeight="1">
      <x:c r="A2961" s="59" t="str">
        <x:v>PSE_IMPACT_REPORT_2023</x:v>
      </x:c>
      <x:c r="B2961" s="59" t="str">
        <x:v>machine_readable</x:v>
      </x:c>
      <x:c r="C2961" s="59" t="str">
        <x:v>PARTIAL — tekst PDF; kontekst listy na poprzedniej stronie</x:v>
      </x:c>
    </x:row>
    <x:row r="2962" ht="30" customHeight="1">
      <x:c r="A2962" s="59" t="str">
        <x:v>PSE_IMPACT_REPORT_2023</x:v>
      </x:c>
      <x:c r="B2962" s="59" t="str">
        <x:v>scraping_required</x:v>
      </x:c>
      <x:c r="C2962" s="59" t="str">
        <x:v>Pobranie oficjalnego PDF, bez scrapingu HTML</x:v>
      </x:c>
    </x:row>
    <x:row r="2963" ht="30" customHeight="1">
      <x:c r="A2963" s="59" t="str">
        <x:v>PSE_IMPACT_REPORT_2023</x:v>
      </x:c>
      <x:c r="B2963" s="59" t="str">
        <x:v>data_quality_score</x:v>
      </x:c>
      <x:c r="C2963" s="59" t="str">
        <x:v>UNKNOWN — nie ustalono</x:v>
      </x:c>
    </x:row>
    <x:row r="2964" ht="30" customHeight="1">
      <x:c r="A2964" s="59" t="str">
        <x:v>PSE_IMPACT_REPORT_2023</x:v>
      </x:c>
      <x:c r="B2964" s="59" t="str">
        <x:v>quality_score_status</x:v>
      </x:c>
      <x:c r="C2964" s="59" t="str">
        <x:v>NOT_CALIBRATED — autorytet źródła nie jest procentem kompletności lub trafności.</x:v>
      </x:c>
    </x:row>
    <x:row r="2965" ht="30" customHeight="1">
      <x:c r="A2965" s="59" t="str">
        <x:v>PSE_IMPACT_REPORT_2023</x:v>
      </x:c>
      <x:c r="B2965" s="59" t="str">
        <x:v>last_verified</x:v>
      </x:c>
      <x:c r="C2965" s="60" t="n">
        <x:v>46282</x:v>
      </x:c>
    </x:row>
    <x:row r="2966" ht="30" customHeight="1">
      <x:c r="A2966" s="59" t="str">
        <x:v>PSE_IMPACT_REPORT_2023</x:v>
      </x:c>
      <x:c r="B2966" s="59" t="str">
        <x:v>last_successful_verification</x:v>
      </x:c>
      <x:c r="C2966" s="60" t="n">
        <x:v>46282</x:v>
      </x:c>
    </x:row>
    <x:row r="2967" ht="30" customHeight="1">
      <x:c r="A2967" s="59" t="str">
        <x:v>PSE_IMPACT_REPORT_2023</x:v>
      </x:c>
      <x:c r="B2967" s="59" t="str">
        <x:v>source_date</x:v>
      </x:c>
      <x:c r="C2967" s="59" t="str">
        <x:v>UNKNOWN — nie ustalono</x:v>
      </x:c>
    </x:row>
    <x:row r="2968" ht="30" customHeight="1">
      <x:c r="A2968" s="59" t="str">
        <x:v>PSE_IMPACT_REPORT_2023</x:v>
      </x:c>
      <x:c r="B2968" s="59" t="str">
        <x:v>publication_date</x:v>
      </x:c>
      <x:c r="C2968" s="59" t="str">
        <x:v>UNKNOWN — nie ustalono</x:v>
      </x:c>
    </x:row>
    <x:row r="2969" ht="30" customHeight="1">
      <x:c r="A2969" s="59" t="str">
        <x:v>PSE_IMPACT_REPORT_2023</x:v>
      </x:c>
      <x:c r="B2969" s="59" t="str">
        <x:v>source_version</x:v>
      </x:c>
      <x:c r="C2969" s="59" t="str">
        <x:v>Edycja 2024; rok raportowany 2023</x:v>
      </x:c>
    </x:row>
    <x:row r="2970" ht="30" customHeight="1">
      <x:c r="A2970" s="59" t="str">
        <x:v>PSE_IMPACT_REPORT_2023</x:v>
      </x:c>
      <x:c r="B2970" s="59" t="str">
        <x:v>source_page</x:v>
      </x:c>
      <x:c r="C2970" s="59" t="str">
        <x:v>47–48</x:v>
      </x:c>
    </x:row>
    <x:row r="2971" ht="30" customHeight="1">
      <x:c r="A2971" s="59" t="str">
        <x:v>PSE_IMPACT_REPORT_2023</x:v>
      </x:c>
      <x:c r="B2971" s="59" t="str">
        <x:v>valid_from</x:v>
      </x:c>
      <x:c r="C2971" s="59" t="str">
        <x:v>UNKNOWN — nie ustalono</x:v>
      </x:c>
    </x:row>
    <x:row r="2972" ht="30" customHeight="1">
      <x:c r="A2972" s="59" t="str">
        <x:v>PSE_IMPACT_REPORT_2023</x:v>
      </x:c>
      <x:c r="B2972" s="59" t="str">
        <x:v>valid_to</x:v>
      </x:c>
      <x:c r="C2972" s="59" t="str">
        <x:v>UNKNOWN — nie ustalono</x:v>
      </x:c>
    </x:row>
    <x:row r="2973" ht="30" customHeight="1">
      <x:c r="A2973" s="59" t="str">
        <x:v>PSE_IMPACT_REPORT_2023</x:v>
      </x:c>
      <x:c r="B2973" s="59" t="str">
        <x:v>current_future_scope</x:v>
      </x:c>
      <x:c r="C2973" s="59" t="str">
        <x:v>SOURCE_DEPENDENT</x:v>
      </x:c>
    </x:row>
    <x:row r="2974" ht="30" customHeight="1">
      <x:c r="A2974" s="59" t="str">
        <x:v>PSE_IMPACT_REPORT_2023</x:v>
      </x:c>
      <x:c r="B2974" s="59" t="str">
        <x:v>value_classification_default</x:v>
      </x:c>
      <x:c r="C2974" s="59" t="str">
        <x:v>REPORTED</x:v>
      </x:c>
    </x:row>
    <x:row r="2975" ht="30" customHeight="1">
      <x:c r="A2975" s="59" t="str">
        <x:v>PSE_IMPACT_REPORT_2023</x:v>
      </x:c>
      <x:c r="B2975" s="59" t="str">
        <x:v>automation_notes</x:v>
      </x:c>
      <x:c r="C2975" s="59" t="str">
        <x:v>Jednorazowy GET, timeout, zachowane bajty i SHA-256. API/GIS dla tego raportu nie ustalono.</x:v>
      </x:c>
    </x:row>
    <x:row r="2976" ht="30" customHeight="1">
      <x:c r="A2976" s="59" t="str">
        <x:v>PSE_IMPACT_REPORT_2023</x:v>
      </x:c>
      <x:c r="B2976" s="59" t="str">
        <x:v>probe_ids</x:v>
      </x:c>
      <x:c r="C2976" s="59" t="str">
        <x:v>[ "PSE_IMPACT_REPORT_2023" ]</x:v>
      </x:c>
    </x:row>
    <x:row r="2977" ht="30" customHeight="1">
      <x:c r="A2977" s="59" t="str">
        <x:v>PSE_IMPACT_REPORT_2023</x:v>
      </x:c>
      <x:c r="B2977" s="59" t="str">
        <x:v>related_urls</x:v>
      </x:c>
      <x:c r="C2977" s="59" t="str">
        <x:v>[]</x:v>
      </x:c>
    </x:row>
    <x:row r="2978" ht="30" customHeight="1">
      <x:c r="A2978" s="59" t="str">
        <x:v>PSE_IMPACT_REPORT_2023</x:v>
      </x:c>
      <x:c r="B2978" s="59" t="str">
        <x:v>source_id</x:v>
      </x:c>
      <x:c r="C2978" s="59" t="str">
        <x:v>PSE_IMPACT_REPORT_2023</x:v>
      </x:c>
    </x:row>
    <x:row r="2979" ht="30" customHeight="1">
      <x:c r="A2979" s="59" t="str">
        <x:v>PSE_IMPACT_REPORT_2023</x:v>
      </x:c>
      <x:c r="B2979" s="59" t="str">
        <x:v>operator</x:v>
      </x:c>
      <x:c r="C2979" s="59" t="str">
        <x:v>PSE</x:v>
      </x:c>
    </x:row>
    <x:row r="2980" ht="30" customHeight="1">
      <x:c r="A2980" s="59" t="str">
        <x:v>PSE_IMPACT_REPORT_2023</x:v>
      </x:c>
      <x:c r="B2980" s="59" t="str">
        <x:v>source_name</x:v>
      </x:c>
      <x:c r="C2980" s="59" t="str">
        <x:v>PSE — raport wpływu za 2023 rok, edycja 2024</x:v>
      </x:c>
    </x:row>
    <x:row r="2981" ht="30" customHeight="1">
      <x:c r="A2981" s="59" t="str">
        <x:v>PSE_IMPACT_REPORT_2023</x:v>
      </x:c>
      <x:c r="B2981" s="59" t="str">
        <x:v>url</x:v>
      </x:c>
      <x:c r="C2981" s="59" t="str">
        <x:v>https://api-raport.pse.pl/uploads/PSE-Zintegrowany_Raport_Wplywu_2023.pdf</x:v>
      </x:c>
    </x:row>
    <x:row r="2982" ht="30" customHeight="1">
      <x:c r="A2982" s="59" t="str">
        <x:v>PSE_IMPACT_REPORT_2023</x:v>
      </x:c>
      <x:c r="B2982" s="59" t="str">
        <x:v>data_owner</x:v>
      </x:c>
      <x:c r="C2982" s="59" t="str">
        <x:v>PSE S.A.</x:v>
      </x:c>
    </x:row>
    <x:row r="2983" ht="30" customHeight="1">
      <x:c r="A2983" s="59" t="str">
        <x:v>PSE_IMPACT_REPORT_2023</x:v>
      </x:c>
      <x:c r="B2983" s="59" t="str">
        <x:v>data_category</x:v>
      </x:c>
      <x:c r="C2983" s="59" t="str">
        <x:v>grid_investments</x:v>
      </x:c>
    </x:row>
    <x:row r="2984" ht="30" customHeight="1">
      <x:c r="A2984" s="59" t="str">
        <x:v>PSE_IMPACT_REPORT_2023</x:v>
      </x:c>
      <x:c r="B2984" s="59" t="str">
        <x:v>data_format</x:v>
      </x:c>
      <x:c r="C2984" s="59" t="str">
        <x:v>[ "PDF" ]</x:v>
      </x:c>
    </x:row>
    <x:row r="2985" ht="30" customHeight="1">
      <x:c r="A2985" s="59" t="str">
        <x:v>PSE_IMPACT_REPORT_2023</x:v>
      </x:c>
      <x:c r="B2985" s="59" t="str">
        <x:v>verification_status</x:v>
      </x:c>
      <x:c r="C2985" s="59" t="str">
        <x:v>CONTENT_REVIEWED</x:v>
      </x:c>
    </x:row>
    <x:row r="2986" ht="30" customHeight="1">
      <x:c r="A2986" s="59" t="str">
        <x:v>PSE_IMPACT_REPORT_2023</x:v>
      </x:c>
      <x:c r="B2986" s="59" t="str">
        <x:v>reliability</x:v>
      </x:c>
      <x:c r="C2986" s="59" t="str">
        <x:v>B</x:v>
      </x:c>
    </x:row>
    <x:row r="2987" ht="30" customHeight="1">
      <x:c r="A2987" s="59" t="str">
        <x:v>PSE_IMPACT_REPORT_2023</x:v>
      </x:c>
      <x:c r="B2987" s="59" t="str">
        <x:v>key_fields</x:v>
      </x:c>
      <x:c r="C2987" s="59" t="str">
        <x:v>[ "rok raportowany", "zakończone zadania", "nazwa inwestycji" ]</x:v>
      </x:c>
    </x:row>
    <x:row r="2988" ht="30" customHeight="1">
      <x:c r="A2988" s="59" t="str">
        <x:v>PSE_IMPACT_REPORT_2023</x:v>
      </x:c>
      <x:c r="B2988" s="59" t="str">
        <x:v>potential_application</x:v>
      </x:c>
      <x:c r="C2988" s="59" t="str">
        <x:v>Porównanie historycznych deklaracji wykonania inwestycji</x:v>
      </x:c>
    </x:row>
    <x:row r="2989" ht="52" customHeight="1">
      <x:c r="A2989" s="59" t="str">
        <x:v>PSE_IMPACT_REPORT_2023</x:v>
      </x:c>
      <x:c r="B2989" s="59" t="str">
        <x:v>known_limitations</x:v>
      </x:c>
      <x:c r="C2989" s="59" t="str">
        <x:v>[ "Rok wymiany transformatora wymaga wyjaśnienia wobec portalu inwestycji wskazującego 2025.", "Podobna nazwa nie ustala identyczności zakresu; brak numeru jednostki i mocy MVA.", "Sprawdzono wskazany fragment, nie wszystkie 291 stron." ]</x:v>
      </x:c>
    </x:row>
    <x:row r="2990" ht="30" customHeight="1">
      <x:c r="A2990" s="59" t="str">
        <x:v>PSE_IMPACT_REPORT_2023</x:v>
      </x:c>
      <x:c r="B2990" s="59" t="str">
        <x:v>priority</x:v>
      </x:c>
      <x:c r="C2990" s="59" t="str">
        <x:v>P0</x:v>
      </x:c>
    </x:row>
    <x:row r="2991" ht="80" customHeight="1">
      <x:c r="A2991" s="59" t="str">
        <x:v>PSE_IMPACT_REPORT_2023</x:v>
      </x:c>
      <x:c r="B2991" s="59" t="str">
        <x:v>evidence</x:v>
      </x:c>
      <x:c r="C2991" s="59" t="str">
        <x:v>[ { "source_id": "PSE_IMPACT_REPORT_2023", "url": "https://api-raport.pse.pl/uploads/PSE-Zintegrowany_Raport_Wplywu_2023.pdf", "retrieval_date": "2026-09-17T06:40:16.437810+00:00", "local_path": "data/raw/research/2026-09-17/pse_impact_report_2023.pdf", "sha256": "13c8c0785f12291fe50be09b089f6c4111d8f0f0e593de7adcb3dab4fe22ab19", "bytes": 7334874, "content_type": [ "application/pdf" ], "http_status": 200, "error": null, "manifest": "data/catalog/probe_results_radkowice_investment_dates_2026-09-17.json" } ]</x:v>
      </x:c>
    </x:row>
    <x:row r="2992" ht="30" customHeight="1">
      <x:c r="A2992" s="59" t="str">
        <x:v>PSE_IMPACT_REPORT_2023</x:v>
      </x:c>
      <x:c r="B2992" s="59" t="str">
        <x:v>retrieval_date</x:v>
      </x:c>
      <x:c r="C2992" s="59" t="str">
        <x:v>[ "2026-09-17T06:40:16.437810+00:00" ]</x:v>
      </x:c>
    </x:row>
    <x:row r="2993" ht="38" customHeight="1">
      <x:c r="A2993" s="59" t="str">
        <x:v>PSE_PRSP_2027_2036_POST_CONSULTATION</x:v>
      </x:c>
      <x:c r="B2993" s="59" t="str">
        <x:v>country</x:v>
      </x:c>
      <x:c r="C2993" s="59" t="str">
        <x:v>PL</x:v>
      </x:c>
    </x:row>
    <x:row r="2994" ht="38" customHeight="1">
      <x:c r="A2994" s="59" t="str">
        <x:v>PSE_PRSP_2027_2036_POST_CONSULTATION</x:v>
      </x:c>
      <x:c r="B2994" s="59" t="str">
        <x:v>geographical_scope</x:v>
      </x:c>
      <x:c r="C2994" s="59" t="str">
        <x:v>Polska; zweryfikowano dwa wpisy inwestycji wokół Radkowic</x:v>
      </x:c>
    </x:row>
    <x:row r="2995" ht="38" customHeight="1">
      <x:c r="A2995" s="59" t="str">
        <x:v>PSE_PRSP_2027_2036_POST_CONSULTATION</x:v>
      </x:c>
      <x:c r="B2995" s="59" t="str">
        <x:v>grid_voltage</x:v>
      </x:c>
      <x:c r="C2995" s="59" t="str">
        <x:v>[ "110 kV", "220 kV", "400 kV" ]</x:v>
      </x:c>
    </x:row>
    <x:row r="2996" ht="38" customHeight="1">
      <x:c r="A2996" s="59" t="str">
        <x:v>PSE_PRSP_2027_2036_POST_CONSULTATION</x:v>
      </x:c>
      <x:c r="B2996" s="59" t="str">
        <x:v>api_available</x:v>
      </x:c>
      <x:c r="C2996" s="59" t="str">
        <x:v>UNKNOWN</x:v>
      </x:c>
    </x:row>
    <x:row r="2997" ht="38" customHeight="1">
      <x:c r="A2997" s="59" t="str">
        <x:v>PSE_PRSP_2027_2036_POST_CONSULTATION</x:v>
      </x:c>
      <x:c r="B2997" s="59" t="str">
        <x:v>gis_available</x:v>
      </x:c>
      <x:c r="C2997" s="59" t="str">
        <x:v>UNKNOWN</x:v>
      </x:c>
    </x:row>
    <x:row r="2998" ht="38" customHeight="1">
      <x:c r="A2998" s="59" t="str">
        <x:v>PSE_PRSP_2027_2036_POST_CONSULTATION</x:v>
      </x:c>
      <x:c r="B2998" s="59" t="str">
        <x:v>update_frequency</x:v>
      </x:c>
      <x:c r="C2998" s="59" t="str">
        <x:v>UNKNOWN — nie ustalono gwarantowanego cyklu publikacji.</x:v>
      </x:c>
    </x:row>
    <x:row r="2999" ht="38" customHeight="1">
      <x:c r="A2999" s="59" t="str">
        <x:v>PSE_PRSP_2027_2036_POST_CONSULTATION</x:v>
      </x:c>
      <x:c r="B2999" s="59" t="str">
        <x:v>historical_data</x:v>
      </x:c>
      <x:c r="C2999" s="59" t="str">
        <x:v>UNKNOWN — własne snapshoty od 10.09.2026, jeśli zapisano próbkę.</x:v>
      </x:c>
    </x:row>
    <x:row r="3000" ht="38" customHeight="1">
      <x:c r="A3000" s="59" t="str">
        <x:v>PSE_PRSP_2027_2036_POST_CONSULTATION</x:v>
      </x:c>
      <x:c r="B3000" s="59" t="str">
        <x:v>authentication</x:v>
      </x:c>
      <x:c r="C3000" s="59" t="str">
        <x:v>Publiczny dokument bez logowania</x:v>
      </x:c>
    </x:row>
    <x:row r="3001" ht="38" customHeight="1">
      <x:c r="A3001" s="59" t="str">
        <x:v>PSE_PRSP_2027_2036_POST_CONSULTATION</x:v>
      </x:c>
      <x:c r="B3001" s="59" t="str">
        <x:v>license</x:v>
      </x:c>
      <x:c r="C3001" s="59" t="str">
        <x:v>UNKNOWN — nie potwierdzono otwartej licencji wybranego zbioru.</x:v>
      </x:c>
    </x:row>
    <x:row r="3002" ht="38" customHeight="1">
      <x:c r="A3002" s="59" t="str">
        <x:v>PSE_PRSP_2027_2036_POST_CONSULTATION</x:v>
      </x:c>
      <x:c r="B3002" s="59" t="str">
        <x:v>license_url</x:v>
      </x:c>
      <x:c r="C3002" s="59" t="str">
        <x:v>UNKNOWN — nie ustalono</x:v>
      </x:c>
    </x:row>
    <x:row r="3003" ht="38" customHeight="1">
      <x:c r="A3003" s="59" t="str">
        <x:v>PSE_PRSP_2027_2036_POST_CONSULTATION</x:v>
      </x:c>
      <x:c r="B3003" s="59" t="str">
        <x:v>commercial_use</x:v>
      </x:c>
      <x:c r="C3003" s="59" t="str">
        <x:v>UNKNOWN</x:v>
      </x:c>
    </x:row>
    <x:row r="3004" ht="38" customHeight="1">
      <x:c r="A3004" s="59" t="str">
        <x:v>PSE_PRSP_2027_2036_POST_CONSULTATION</x:v>
      </x:c>
      <x:c r="B3004" s="59" t="str">
        <x:v>machine_readable</x:v>
      </x:c>
      <x:c r="C3004" s="59" t="str">
        <x:v>PARTIAL — warstwa tekstowa PDF; ograniczony parser dwóch wierszy</x:v>
      </x:c>
    </x:row>
    <x:row r="3005" ht="38" customHeight="1">
      <x:c r="A3005" s="59" t="str">
        <x:v>PSE_PRSP_2027_2036_POST_CONSULTATION</x:v>
      </x:c>
      <x:c r="B3005" s="59" t="str">
        <x:v>scraping_required</x:v>
      </x:c>
      <x:c r="C3005" s="59" t="str">
        <x:v>NO — bezpośredni PDF</x:v>
      </x:c>
    </x:row>
    <x:row r="3006" ht="38" customHeight="1">
      <x:c r="A3006" s="59" t="str">
        <x:v>PSE_PRSP_2027_2036_POST_CONSULTATION</x:v>
      </x:c>
      <x:c r="B3006" s="59" t="str">
        <x:v>data_quality_score</x:v>
      </x:c>
      <x:c r="C3006" s="59" t="str">
        <x:v>UNKNOWN — nie ustalono</x:v>
      </x:c>
    </x:row>
    <x:row r="3007" ht="38" customHeight="1">
      <x:c r="A3007" s="59" t="str">
        <x:v>PSE_PRSP_2027_2036_POST_CONSULTATION</x:v>
      </x:c>
      <x:c r="B3007" s="59" t="str">
        <x:v>quality_score_status</x:v>
      </x:c>
      <x:c r="C3007" s="59" t="str">
        <x:v>NOT_CALIBRATED — autorytet źródła nie jest procentem kompletności lub trafności.</x:v>
      </x:c>
    </x:row>
    <x:row r="3008" ht="38" customHeight="1">
      <x:c r="A3008" s="59" t="str">
        <x:v>PSE_PRSP_2027_2036_POST_CONSULTATION</x:v>
      </x:c>
      <x:c r="B3008" s="59" t="str">
        <x:v>last_verified</x:v>
      </x:c>
      <x:c r="C3008" s="60" t="n">
        <x:v>46282</x:v>
      </x:c>
    </x:row>
    <x:row r="3009" ht="38" customHeight="1">
      <x:c r="A3009" s="59" t="str">
        <x:v>PSE_PRSP_2027_2036_POST_CONSULTATION</x:v>
      </x:c>
      <x:c r="B3009" s="59" t="str">
        <x:v>last_successful_verification</x:v>
      </x:c>
      <x:c r="C3009" s="60" t="n">
        <x:v>46282</x:v>
      </x:c>
    </x:row>
    <x:row r="3010" ht="38" customHeight="1">
      <x:c r="A3010" s="59" t="str">
        <x:v>PSE_PRSP_2027_2036_POST_CONSULTATION</x:v>
      </x:c>
      <x:c r="B3010" s="59" t="str">
        <x:v>source_date</x:v>
      </x:c>
      <x:c r="C3010" s="59" t="str">
        <x:v>UNKNOWN — nie ustalono</x:v>
      </x:c>
    </x:row>
    <x:row r="3011" ht="38" customHeight="1">
      <x:c r="A3011" s="59" t="str">
        <x:v>PSE_PRSP_2027_2036_POST_CONSULTATION</x:v>
      </x:c>
      <x:c r="B3011" s="59" t="str">
        <x:v>publication_date</x:v>
      </x:c>
      <x:c r="C3011" s="59" t="str">
        <x:v>UNKNOWN — nie ustalono</x:v>
      </x:c>
    </x:row>
    <x:row r="3012" ht="38" customHeight="1">
      <x:c r="A3012" s="59" t="str">
        <x:v>PSE_PRSP_2027_2036_POST_CONSULTATION</x:v>
      </x:c>
      <x:c r="B3012" s="59" t="str">
        <x:v>source_version</x:v>
      </x:c>
      <x:c r="C3012" s="59" t="str">
        <x:v>Projekt po konsultacjach, kwiecień 2026</x:v>
      </x:c>
    </x:row>
    <x:row r="3013" ht="38" customHeight="1">
      <x:c r="A3013" s="59" t="str">
        <x:v>PSE_PRSP_2027_2036_POST_CONSULTATION</x:v>
      </x:c>
      <x:c r="B3013" s="59" t="str">
        <x:v>source_page</x:v>
      </x:c>
      <x:c r="C3013" s="59" t="str">
        <x:v>UNKNOWN — nie ustalono</x:v>
      </x:c>
    </x:row>
    <x:row r="3014" ht="38" customHeight="1">
      <x:c r="A3014" s="59" t="str">
        <x:v>PSE_PRSP_2027_2036_POST_CONSULTATION</x:v>
      </x:c>
      <x:c r="B3014" s="59" t="str">
        <x:v>valid_from</x:v>
      </x:c>
      <x:c r="C3014" s="59" t="str">
        <x:v>UNKNOWN — nie ustalono</x:v>
      </x:c>
    </x:row>
    <x:row r="3015" ht="38" customHeight="1">
      <x:c r="A3015" s="59" t="str">
        <x:v>PSE_PRSP_2027_2036_POST_CONSULTATION</x:v>
      </x:c>
      <x:c r="B3015" s="59" t="str">
        <x:v>valid_to</x:v>
      </x:c>
      <x:c r="C3015" s="59" t="str">
        <x:v>UNKNOWN — nie ustalono</x:v>
      </x:c>
    </x:row>
    <x:row r="3016" ht="38" customHeight="1">
      <x:c r="A3016" s="59" t="str">
        <x:v>PSE_PRSP_2027_2036_POST_CONSULTATION</x:v>
      </x:c>
      <x:c r="B3016" s="59" t="str">
        <x:v>current_future_scope</x:v>
      </x:c>
      <x:c r="C3016" s="59" t="str">
        <x:v>SOURCE_DEPENDENT</x:v>
      </x:c>
    </x:row>
    <x:row r="3017" ht="38" customHeight="1">
      <x:c r="A3017" s="59" t="str">
        <x:v>PSE_PRSP_2027_2036_POST_CONSULTATION</x:v>
      </x:c>
      <x:c r="B3017" s="59" t="str">
        <x:v>value_classification_default</x:v>
      </x:c>
      <x:c r="C3017" s="59" t="str">
        <x:v>REPORTED</x:v>
      </x:c>
    </x:row>
    <x:row r="3018" ht="38" customHeight="1">
      <x:c r="A3018" s="59" t="str">
        <x:v>PSE_PRSP_2027_2036_POST_CONSULTATION</x:v>
      </x:c>
      <x:c r="B3018" s="59" t="str">
        <x:v>automation_notes</x:v>
      </x:c>
      <x:c r="C3018" s="59" t="str">
        <x:v>Jednorazowy przegląd; brak zgody na stały scraper wynikającej z samego dostępu. Sprawdzić warunki, robots.txt i limity przed wdrożeniem.</x:v>
      </x:c>
    </x:row>
    <x:row r="3019" ht="38" customHeight="1">
      <x:c r="A3019" s="59" t="str">
        <x:v>PSE_PRSP_2027_2036_POST_CONSULTATION</x:v>
      </x:c>
      <x:c r="B3019" s="59" t="str">
        <x:v>probe_ids</x:v>
      </x:c>
      <x:c r="C3019" s="59" t="str">
        <x:v>[ "PSE_PRSP_2027_2036_POST_CONSULTATION" ]</x:v>
      </x:c>
    </x:row>
    <x:row r="3020" ht="38" customHeight="1">
      <x:c r="A3020" s="59" t="str">
        <x:v>PSE_PRSP_2027_2036_POST_CONSULTATION</x:v>
      </x:c>
      <x:c r="B3020" s="59" t="str">
        <x:v>related_urls</x:v>
      </x:c>
      <x:c r="C3020" s="59" t="str">
        <x:v>[]</x:v>
      </x:c>
    </x:row>
    <x:row r="3021" ht="38" customHeight="1">
      <x:c r="A3021" s="59" t="str">
        <x:v>PSE_PRSP_2027_2036_POST_CONSULTATION</x:v>
      </x:c>
      <x:c r="B3021" s="59" t="str">
        <x:v>source_id</x:v>
      </x:c>
      <x:c r="C3021" s="59" t="str">
        <x:v>PSE_PRSP_2027_2036_POST_CONSULTATION</x:v>
      </x:c>
    </x:row>
    <x:row r="3022" ht="38" customHeight="1">
      <x:c r="A3022" s="59" t="str">
        <x:v>PSE_PRSP_2027_2036_POST_CONSULTATION</x:v>
      </x:c>
      <x:c r="B3022" s="59" t="str">
        <x:v>operator</x:v>
      </x:c>
      <x:c r="C3022" s="59" t="str">
        <x:v>PSE</x:v>
      </x:c>
    </x:row>
    <x:row r="3023" ht="38" customHeight="1">
      <x:c r="A3023" s="59" t="str">
        <x:v>PSE_PRSP_2027_2036_POST_CONSULTATION</x:v>
      </x:c>
      <x:c r="B3023" s="59" t="str">
        <x:v>source_name</x:v>
      </x:c>
      <x:c r="C3023" s="59" t="str">
        <x:v>Projekt PRSP 2027–2036 po konsultacjach — kwiecień 2026</x:v>
      </x:c>
    </x:row>
    <x:row r="3024" ht="38" customHeight="1">
      <x:c r="A3024" s="59" t="str">
        <x:v>PSE_PRSP_2027_2036_POST_CONSULTATION</x:v>
      </x:c>
      <x:c r="B3024" s="59" t="str">
        <x:v>url</x:v>
      </x:c>
      <x:c r="C3024" s="59" t="str">
        <x:v>https://www.pse.pl/documents/20182/7102190804/PRSP_2027-2036-dokument_glowny_projekt_po_konsultacji.pdf/de2f004f-8a80-4264-907a-a38d52c5d50f?safeargs=76657273696f6e3d312e30</x:v>
      </x:c>
    </x:row>
    <x:row r="3025" ht="38" customHeight="1">
      <x:c r="A3025" s="59" t="str">
        <x:v>PSE_PRSP_2027_2036_POST_CONSULTATION</x:v>
      </x:c>
      <x:c r="B3025" s="59" t="str">
        <x:v>data_owner</x:v>
      </x:c>
      <x:c r="C3025" s="59" t="str">
        <x:v>PSE S.A.</x:v>
      </x:c>
    </x:row>
    <x:row r="3026" ht="38" customHeight="1">
      <x:c r="A3026" s="59" t="str">
        <x:v>PSE_PRSP_2027_2036_POST_CONSULTATION</x:v>
      </x:c>
      <x:c r="B3026" s="59" t="str">
        <x:v>data_category</x:v>
      </x:c>
      <x:c r="C3026" s="59" t="str">
        <x:v>grid_investments</x:v>
      </x:c>
    </x:row>
    <x:row r="3027" ht="38" customHeight="1">
      <x:c r="A3027" s="59" t="str">
        <x:v>PSE_PRSP_2027_2036_POST_CONSULTATION</x:v>
      </x:c>
      <x:c r="B3027" s="59" t="str">
        <x:v>data_format</x:v>
      </x:c>
      <x:c r="C3027" s="59" t="str">
        <x:v>[ "PDF" ]</x:v>
      </x:c>
    </x:row>
    <x:row r="3028" ht="38" customHeight="1">
      <x:c r="A3028" s="59" t="str">
        <x:v>PSE_PRSP_2027_2036_POST_CONSULTATION</x:v>
      </x:c>
      <x:c r="B3028" s="59" t="str">
        <x:v>verification_status</x:v>
      </x:c>
      <x:c r="C3028" s="59" t="str">
        <x:v>CONTENT_REVIEWED</x:v>
      </x:c>
    </x:row>
    <x:row r="3029" ht="38" customHeight="1">
      <x:c r="A3029" s="59" t="str">
        <x:v>PSE_PRSP_2027_2036_POST_CONSULTATION</x:v>
      </x:c>
      <x:c r="B3029" s="59" t="str">
        <x:v>reliability</x:v>
      </x:c>
      <x:c r="C3029" s="59" t="str">
        <x:v>B</x:v>
      </x:c>
    </x:row>
    <x:row r="3030" ht="38" customHeight="1">
      <x:c r="A3030" s="59" t="str">
        <x:v>PSE_PRSP_2027_2036_POST_CONSULTATION</x:v>
      </x:c>
      <x:c r="B3030" s="59" t="str">
        <x:v>key_fields</x:v>
      </x:c>
      <x:c r="C3030" s="59" t="str">
        <x:v>[ "identyfikator zadania w dokumencie", "opis", "cel", "rok rozpoczęcia", "rok zakończenia" ]</x:v>
      </x:c>
    </x:row>
    <x:row r="3031" ht="38" customHeight="1">
      <x:c r="A3031" s="59" t="str">
        <x:v>PSE_PRSP_2027_2036_POST_CONSULTATION</x:v>
      </x:c>
      <x:c r="B3031" s="59" t="str">
        <x:v>potential_application</x:v>
      </x:c>
      <x:c r="C3031" s="59" t="str">
        <x:v>Scenariusze przyszłych inwestycji z jawną wersją planu</x:v>
      </x:c>
    </x:row>
    <x:row r="3032" ht="52" customHeight="1">
      <x:c r="A3032" s="59" t="str">
        <x:v>PSE_PRSP_2027_2036_POST_CONSULTATION</x:v>
      </x:c>
      <x:c r="B3032" s="59" t="str">
        <x:v>known_limitations</x:v>
      </x:c>
      <x:c r="C3032" s="59" t="str">
        <x:v>[ "Projekt po konsultacjach; nie potwierdzono uzgodnienia tej wersji.", "Zakończenie obejmuje wymiar techniczny, finansowy i formalny, nie jest datą załączenia.", "Wpis nie zapewnia dodatkowej dostępnej mocy ani identyczności zakresu z innymi zadaniami." ]</x:v>
      </x:c>
    </x:row>
    <x:row r="3033" ht="38" customHeight="1">
      <x:c r="A3033" s="59" t="str">
        <x:v>PSE_PRSP_2027_2036_POST_CONSULTATION</x:v>
      </x:c>
      <x:c r="B3033" s="59" t="str">
        <x:v>priority</x:v>
      </x:c>
      <x:c r="C3033" s="59" t="str">
        <x:v>P0</x:v>
      </x:c>
    </x:row>
    <x:row r="3034" ht="94" customHeight="1">
      <x:c r="A3034" s="59" t="str">
        <x:v>PSE_PRSP_2027_2036_POST_CONSULTATION</x:v>
      </x:c>
      <x:c r="B3034" s="59" t="str">
        <x:v>evidence (1/2)</x:v>
      </x:c>
      <x:c r="C3034" s="59" t="str">
        <x:v>[ { "source_id": "PSE_PRSP_2027_2036_POST_CONSULTATION", "url": "https://www.pse.pl/documents/20182/7102190804/PRSP_2027-2036-dokument_glowny_projekt_po_konsultacji.pdf/de2f004f-8a80-4264-907a-a38d52c5d50f?safeargs=76657273696f6e3d312e30", "retrieval_date": "2026-09-17T11:04:59.379112+00:00", "local_path": "data/raw/research/2026-09-17/pse_prsp_2027_2036_post_consultation.pdf", "sha256": "5273f6837f5051a2de077f8904cb497fb9dcbab3e9302d8a4f8d34211ca3cc19", "bytes": 4510145, "content_type": [ "application/pdf (signature verified; response header not retained)" ], "http_status": 200, "error": null, "manifest":</x:v>
      </x:c>
    </x:row>
    <x:row r="3035" ht="38" customHeight="1">
      <x:c r="A3035" s="59" t="str">
        <x:v>PSE_PRSP_2027_2036_POST_CONSULTATION</x:v>
      </x:c>
      <x:c r="B3035" s="59" t="str">
        <x:v>evidence (2/2)</x:v>
      </x:c>
      <x:c r="C3035" s="59" t="str">
        <x:v>"data/catalog/probe_results_radkowice_prsp_2026-09-17.json" } ]</x:v>
      </x:c>
    </x:row>
    <x:row r="3036" ht="38" customHeight="1">
      <x:c r="A3036" s="59" t="str">
        <x:v>PSE_PRSP_2027_2036_POST_CONSULTATION</x:v>
      </x:c>
      <x:c r="B3036" s="59" t="str">
        <x:v>retrieval_date</x:v>
      </x:c>
      <x:c r="C3036" s="59" t="str">
        <x:v>[ "2026-09-17T11:04:59.379112+00:00" ]</x:v>
      </x:c>
    </x:row>
    <x:row r="3037" ht="30" customHeight="1">
      <x:c r="A3037" s="59" t="str">
        <x:v>EBIN_ELECTRICITY</x:v>
      </x:c>
      <x:c r="B3037" s="59" t="str">
        <x:v>country</x:v>
      </x:c>
      <x:c r="C3037" s="59" t="str">
        <x:v>PL</x:v>
      </x:c>
    </x:row>
    <x:row r="3038" ht="30" customHeight="1">
      <x:c r="A3038" s="59" t="str">
        <x:v>EBIN_ELECTRICITY</x:v>
      </x:c>
      <x:c r="B3038" s="59" t="str">
        <x:v>geographical_scope</x:v>
      </x:c>
      <x:c r="C3038" s="59" t="str">
        <x:v>Mapa Europy i Polski; sprawdzono konfigurację i widok Radkowic</x:v>
      </x:c>
    </x:row>
    <x:row r="3039" ht="30" customHeight="1">
      <x:c r="A3039" s="59" t="str">
        <x:v>EBIN_ELECTRICITY</x:v>
      </x:c>
      <x:c r="B3039" s="59" t="str">
        <x:v>grid_voltage</x:v>
      </x:c>
      <x:c r="C3039" s="59" t="str">
        <x:v>[ "110 kV", "220 kV", "SN" ]</x:v>
      </x:c>
    </x:row>
    <x:row r="3040" ht="30" customHeight="1">
      <x:c r="A3040" s="59" t="str">
        <x:v>EBIN_ELECTRICITY</x:v>
      </x:c>
      <x:c r="B3040" s="59" t="str">
        <x:v>api_available</x:v>
      </x:c>
      <x:c r="C3040" s="59" t="str">
        <x:v>TileJSON/vector tiles; no bulk service permission established</x:v>
      </x:c>
    </x:row>
    <x:row r="3041" ht="30" customHeight="1">
      <x:c r="A3041" s="59" t="str">
        <x:v>EBIN_ELECTRICITY</x:v>
      </x:c>
      <x:c r="B3041" s="59" t="str">
        <x:v>gis_available</x:v>
      </x:c>
      <x:c r="C3041" s="59" t="str">
        <x:v>YES</x:v>
      </x:c>
    </x:row>
    <x:row r="3042" ht="30" customHeight="1">
      <x:c r="A3042" s="59" t="str">
        <x:v>EBIN_ELECTRICITY</x:v>
      </x:c>
      <x:c r="B3042" s="59" t="str">
        <x:v>update_frequency</x:v>
      </x:c>
      <x:c r="C3042" s="59" t="str">
        <x:v>UNKNOWN — nie ustalono gwarantowanego cyklu publikacji.</x:v>
      </x:c>
    </x:row>
    <x:row r="3043" ht="30" customHeight="1">
      <x:c r="A3043" s="59" t="str">
        <x:v>EBIN_ELECTRICITY</x:v>
      </x:c>
      <x:c r="B3043" s="59" t="str">
        <x:v>historical_data</x:v>
      </x:c>
      <x:c r="C3043" s="59" t="str">
        <x:v>UNKNOWN — własne snapshoty od 10.09.2026, jeśli zapisano próbkę.</x:v>
      </x:c>
    </x:row>
    <x:row r="3044" ht="30" customHeight="1">
      <x:c r="A3044" s="59" t="str">
        <x:v>EBIN_ELECTRICITY</x:v>
      </x:c>
      <x:c r="B3044" s="59" t="str">
        <x:v>authentication</x:v>
      </x:c>
      <x:c r="C3044" s="59" t="str">
        <x:v>Public read without login</x:v>
      </x:c>
    </x:row>
    <x:row r="3045" ht="30" customHeight="1">
      <x:c r="A3045" s="59" t="str">
        <x:v>EBIN_ELECTRICITY</x:v>
      </x:c>
      <x:c r="B3045" s="59" t="str">
        <x:v>license</x:v>
      </x:c>
      <x:c r="C3045" s="59" t="str">
        <x:v>ODbL-1.0 for OSM data; map software and tile service conditions separate</x:v>
      </x:c>
    </x:row>
    <x:row r="3046" ht="30" customHeight="1">
      <x:c r="A3046" s="59" t="str">
        <x:v>EBIN_ELECTRICITY</x:v>
      </x:c>
      <x:c r="B3046" s="59" t="str">
        <x:v>license_url</x:v>
      </x:c>
      <x:c r="C3046" s="59" t="str">
        <x:v>https://www.openstreetmap.org/copyright</x:v>
      </x:c>
    </x:row>
    <x:row r="3047" ht="30" customHeight="1">
      <x:c r="A3047" s="59" t="str">
        <x:v>EBIN_ELECTRICITY</x:v>
      </x:c>
      <x:c r="B3047" s="59" t="str">
        <x:v>commercial_use</x:v>
      </x:c>
      <x:c r="C3047" s="59" t="str">
        <x:v>CONDITIONAL — ODbL attribution and applicable database obligations; service terms separate</x:v>
      </x:c>
    </x:row>
    <x:row r="3048" ht="30" customHeight="1">
      <x:c r="A3048" s="59" t="str">
        <x:v>EBIN_ELECTRICITY</x:v>
      </x:c>
      <x:c r="B3048" s="59" t="str">
        <x:v>machine_readable</x:v>
      </x:c>
      <x:c r="C3048" s="59" t="str">
        <x:v>YES</x:v>
      </x:c>
    </x:row>
    <x:row r="3049" ht="30" customHeight="1">
      <x:c r="A3049" s="59" t="str">
        <x:v>EBIN_ELECTRICITY</x:v>
      </x:c>
      <x:c r="B3049" s="59" t="str">
        <x:v>scraping_required</x:v>
      </x:c>
      <x:c r="C3049" s="59" t="str">
        <x:v>NO — structured OSM XML preferred to copying rendered map</x:v>
      </x:c>
    </x:row>
    <x:row r="3050" ht="30" customHeight="1">
      <x:c r="A3050" s="59" t="str">
        <x:v>EBIN_ELECTRICITY</x:v>
      </x:c>
      <x:c r="B3050" s="59" t="str">
        <x:v>data_quality_score</x:v>
      </x:c>
      <x:c r="C3050" s="59" t="str">
        <x:v>UNKNOWN — nie ustalono</x:v>
      </x:c>
    </x:row>
    <x:row r="3051" ht="30" customHeight="1">
      <x:c r="A3051" s="59" t="str">
        <x:v>EBIN_ELECTRICITY</x:v>
      </x:c>
      <x:c r="B3051" s="59" t="str">
        <x:v>quality_score_status</x:v>
      </x:c>
      <x:c r="C3051" s="59" t="str">
        <x:v>NOT_CALIBRATED — autorytet źródła nie jest procentem kompletności lub trafności.</x:v>
      </x:c>
    </x:row>
    <x:row r="3052" ht="30" customHeight="1">
      <x:c r="A3052" s="59" t="str">
        <x:v>EBIN_ELECTRICITY</x:v>
      </x:c>
      <x:c r="B3052" s="59" t="str">
        <x:v>last_verified</x:v>
      </x:c>
      <x:c r="C3052" s="60" t="n">
        <x:v>46282</x:v>
      </x:c>
    </x:row>
    <x:row r="3053" ht="30" customHeight="1">
      <x:c r="A3053" s="59" t="str">
        <x:v>EBIN_ELECTRICITY</x:v>
      </x:c>
      <x:c r="B3053" s="59" t="str">
        <x:v>last_successful_verification</x:v>
      </x:c>
      <x:c r="C3053" s="60" t="n">
        <x:v>46282</x:v>
      </x:c>
    </x:row>
    <x:row r="3054" ht="30" customHeight="1">
      <x:c r="A3054" s="59" t="str">
        <x:v>EBIN_ELECTRICITY</x:v>
      </x:c>
      <x:c r="B3054" s="59" t="str">
        <x:v>source_date</x:v>
      </x:c>
      <x:c r="C3054" s="59" t="str">
        <x:v>UNKNOWN — nie ustalono</x:v>
      </x:c>
    </x:row>
    <x:row r="3055" ht="30" customHeight="1">
      <x:c r="A3055" s="59" t="str">
        <x:v>EBIN_ELECTRICITY</x:v>
      </x:c>
      <x:c r="B3055" s="59" t="str">
        <x:v>publication_date</x:v>
      </x:c>
      <x:c r="C3055" s="59" t="str">
        <x:v>UNKNOWN — nie ustalono</x:v>
      </x:c>
    </x:row>
    <x:row r="3056" ht="30" customHeight="1">
      <x:c r="A3056" s="59" t="str">
        <x:v>EBIN_ELECTRICITY</x:v>
      </x:c>
      <x:c r="B3056" s="59" t="str">
        <x:v>source_version</x:v>
      </x:c>
      <x:c r="C3056" s="59" t="str">
        <x:v>UNKNOWN — nie ustalono</x:v>
      </x:c>
    </x:row>
    <x:row r="3057" ht="30" customHeight="1">
      <x:c r="A3057" s="59" t="str">
        <x:v>EBIN_ELECTRICITY</x:v>
      </x:c>
      <x:c r="B3057" s="59" t="str">
        <x:v>source_page</x:v>
      </x:c>
      <x:c r="C3057" s="59" t="str">
        <x:v>UNKNOWN — nie ustalono</x:v>
      </x:c>
    </x:row>
    <x:row r="3058" ht="30" customHeight="1">
      <x:c r="A3058" s="59" t="str">
        <x:v>EBIN_ELECTRICITY</x:v>
      </x:c>
      <x:c r="B3058" s="59" t="str">
        <x:v>valid_from</x:v>
      </x:c>
      <x:c r="C3058" s="59" t="str">
        <x:v>UNKNOWN — nie ustalono</x:v>
      </x:c>
    </x:row>
    <x:row r="3059" ht="30" customHeight="1">
      <x:c r="A3059" s="59" t="str">
        <x:v>EBIN_ELECTRICITY</x:v>
      </x:c>
      <x:c r="B3059" s="59" t="str">
        <x:v>valid_to</x:v>
      </x:c>
      <x:c r="C3059" s="59" t="str">
        <x:v>UNKNOWN — nie ustalono</x:v>
      </x:c>
    </x:row>
    <x:row r="3060" ht="30" customHeight="1">
      <x:c r="A3060" s="59" t="str">
        <x:v>EBIN_ELECTRICITY</x:v>
      </x:c>
      <x:c r="B3060" s="59" t="str">
        <x:v>current_future_scope</x:v>
      </x:c>
      <x:c r="C3060" s="59" t="str">
        <x:v>SOURCE_DEPENDENT</x:v>
      </x:c>
    </x:row>
    <x:row r="3061" ht="30" customHeight="1">
      <x:c r="A3061" s="59" t="str">
        <x:v>EBIN_ELECTRICITY</x:v>
      </x:c>
      <x:c r="B3061" s="59" t="str">
        <x:v>value_classification_default</x:v>
      </x:c>
      <x:c r="C3061" s="59" t="str">
        <x:v>REPORTED</x:v>
      </x:c>
    </x:row>
    <x:row r="3062" ht="38" customHeight="1">
      <x:c r="A3062" s="59" t="str">
        <x:v>EBIN_ELECTRICITY</x:v>
      </x:c>
      <x:c r="B3062" s="59" t="str">
        <x:v>automation_notes</x:v>
      </x:c>
      <x:c r="C3062" s="59" t="str">
        <x:v>Jednorazowy przegląd; brak zgody na stały scraper wynikającej z samego dostępu. Sprawdzić warunki, robots.txt i limity przed wdrożeniem.</x:v>
      </x:c>
    </x:row>
    <x:row r="3063" ht="30" customHeight="1">
      <x:c r="A3063" s="59" t="str">
        <x:v>EBIN_ELECTRICITY</x:v>
      </x:c>
      <x:c r="B3063" s="59" t="str">
        <x:v>probe_ids</x:v>
      </x:c>
      <x:c r="C3063" s="59" t="str">
        <x:v>[ "EBIN_ELECTRICITY" ]</x:v>
      </x:c>
    </x:row>
    <x:row r="3064" ht="30" customHeight="1">
      <x:c r="A3064" s="59" t="str">
        <x:v>EBIN_ELECTRICITY</x:v>
      </x:c>
      <x:c r="B3064" s="59" t="str">
        <x:v>related_urls</x:v>
      </x:c>
      <x:c r="C3064" s="59" t="str">
        <x:v>[]</x:v>
      </x:c>
    </x:row>
    <x:row r="3065" ht="30" customHeight="1">
      <x:c r="A3065" s="59" t="str">
        <x:v>EBIN_ELECTRICITY</x:v>
      </x:c>
      <x:c r="B3065" s="59" t="str">
        <x:v>source_id</x:v>
      </x:c>
      <x:c r="C3065" s="59" t="str">
        <x:v>EBIN_ELECTRICITY</x:v>
      </x:c>
    </x:row>
    <x:row r="3066" ht="30" customHeight="1">
      <x:c r="A3066" s="59" t="str">
        <x:v>EBIN_ELECTRICITY</x:v>
      </x:c>
      <x:c r="B3066" s="59" t="str">
        <x:v>operator</x:v>
      </x:c>
      <x:c r="C3066" s="59" t="str">
        <x:v>Community map — not grid operator</x:v>
      </x:c>
    </x:row>
    <x:row r="3067" ht="30" customHeight="1">
      <x:c r="A3067" s="59" t="str">
        <x:v>EBIN_ELECTRICITY</x:v>
      </x:c>
      <x:c r="B3067" s="59" t="str">
        <x:v>source_name</x:v>
      </x:c>
      <x:c r="C3067" s="59" t="str">
        <x:v>ebin.josm.pl — mapa sieci i konfiguracja warstw</x:v>
      </x:c>
    </x:row>
    <x:row r="3068" ht="30" customHeight="1">
      <x:c r="A3068" s="59" t="str">
        <x:v>EBIN_ELECTRICITY</x:v>
      </x:c>
      <x:c r="B3068" s="59" t="str">
        <x:v>url</x:v>
      </x:c>
      <x:c r="C3068" s="59" t="str">
        <x:v>https://ebin.josm.pl/electricity/</x:v>
      </x:c>
    </x:row>
    <x:row r="3069" ht="30" customHeight="1">
      <x:c r="A3069" s="59" t="str">
        <x:v>EBIN_ELECTRICITY</x:v>
      </x:c>
      <x:c r="B3069" s="59" t="str">
        <x:v>data_owner</x:v>
      </x:c>
      <x:c r="C3069" s="59" t="str">
        <x:v>Autor ebin.josm.pl; dane OpenStreetMap contributors</x:v>
      </x:c>
    </x:row>
    <x:row r="3070" ht="30" customHeight="1">
      <x:c r="A3070" s="59" t="str">
        <x:v>EBIN_ELECTRICITY</x:v>
      </x:c>
      <x:c r="B3070" s="59" t="str">
        <x:v>data_category</x:v>
      </x:c>
      <x:c r="C3070" s="59" t="str">
        <x:v>community_grid_geometry</x:v>
      </x:c>
    </x:row>
    <x:row r="3071" ht="30" customHeight="1">
      <x:c r="A3071" s="59" t="str">
        <x:v>EBIN_ELECTRICITY</x:v>
      </x:c>
      <x:c r="B3071" s="59" t="str">
        <x:v>data_format</x:v>
      </x:c>
      <x:c r="C3071" s="59" t="str">
        <x:v>[ "HTML", "JavaScript", "TileJSON", "vector PBF (metadata only)" ]</x:v>
      </x:c>
    </x:row>
    <x:row r="3072" ht="30" customHeight="1">
      <x:c r="A3072" s="59" t="str">
        <x:v>EBIN_ELECTRICITY</x:v>
      </x:c>
      <x:c r="B3072" s="59" t="str">
        <x:v>verification_status</x:v>
      </x:c>
      <x:c r="C3072" s="59" t="str">
        <x:v>CONTENT_REVIEWED</x:v>
      </x:c>
    </x:row>
    <x:row r="3073" ht="30" customHeight="1">
      <x:c r="A3073" s="59" t="str">
        <x:v>EBIN_ELECTRICITY</x:v>
      </x:c>
      <x:c r="B3073" s="59" t="str">
        <x:v>reliability</x:v>
      </x:c>
      <x:c r="C3073" s="59" t="str">
        <x:v>G</x:v>
      </x:c>
    </x:row>
    <x:row r="3074" ht="30" customHeight="1">
      <x:c r="A3074" s="59" t="str">
        <x:v>EBIN_ELECTRICITY</x:v>
      </x:c>
      <x:c r="B3074" s="59" t="str">
        <x:v>key_fields</x:v>
      </x:c>
      <x:c r="C3074" s="59" t="str">
        <x:v>[ "OSM identity", "object version", "tags", "geometry" ]</x:v>
      </x:c>
    </x:row>
    <x:row r="3075" ht="30" customHeight="1">
      <x:c r="A3075" s="59" t="str">
        <x:v>EBIN_ELECTRICITY</x:v>
      </x:c>
      <x:c r="B3075" s="59" t="str">
        <x:v>potential_application</x:v>
      </x:c>
      <x:c r="C3075" s="59" t="str">
        <x:v>Geographic reference and candidate network topology, subject to operator verification</x:v>
      </x:c>
    </x:row>
    <x:row r="3076" ht="52" customHeight="1">
      <x:c r="A3076" s="59" t="str">
        <x:v>EBIN_ELECTRICITY</x:v>
      </x:c>
      <x:c r="B3076" s="59" t="str">
        <x:v>known_limitations</x:v>
      </x:c>
      <x:c r="C3076" s="59" t="str">
        <x:v>[ "Community data are not operator-verified, exhaustive or an operational switching diagram.", "OSM operator tag is not ownership of all equipment.", "Map declares 2026-02-26 update; individual OSM object edit dates differ.", "No confirmed thermal ratings, loading or available MW." ]</x:v>
      </x:c>
    </x:row>
    <x:row r="3077" ht="30" customHeight="1">
      <x:c r="A3077" s="59" t="str">
        <x:v>EBIN_ELECTRICITY</x:v>
      </x:c>
      <x:c r="B3077" s="59" t="str">
        <x:v>priority</x:v>
      </x:c>
      <x:c r="C3077" s="59" t="str">
        <x:v>P0</x:v>
      </x:c>
    </x:row>
    <x:row r="3078" ht="94" customHeight="1">
      <x:c r="A3078" s="59" t="str">
        <x:v>EBIN_ELECTRICITY</x:v>
      </x:c>
      <x:c r="B3078" s="59" t="str">
        <x:v>evidence (1/3)</x:v>
      </x:c>
      <x:c r="C3078" s="59" t="str">
        <x:v>[ { "source_id": "EBIN_ELECTRICITY", "url": "https://ebin.josm.pl/electricity/", "retrieval_date": "2026-09-17T11:40:39.685129+00:00", "local_path": "data/raw/research/2026-09-17/ebin_electricity_landing.html", "sha256": "eb3b278d4892c535a284f72c58d76e5345f877c1ea93bd41d27bee3cfe6a5a5b", "bytes": 1487, "content_type": [ "text/html" ], "http_status": 200, "error": null, "manifest": "data/catalog/probe_results_osm_radkowice_2026-09-17.json" }, { "source_id": "EBIN_ELECTRICITY", "url": "https://ebin.josm.pl/electricity/map.js", "retrieval_date": "2026-09-17T11:41:06.040649+00:00", "local_path":</x:v>
      </x:c>
    </x:row>
    <x:row r="3079" ht="94" customHeight="1">
      <x:c r="A3079" s="59" t="str">
        <x:v>EBIN_ELECTRICITY</x:v>
      </x:c>
      <x:c r="B3079" s="59" t="str">
        <x:v>evidence (2/3)</x:v>
      </x:c>
      <x:c r="C3079" s="59" t="str">
        <x:v>"data/raw/research/2026-09-17/ebin_electricity_map.js", "sha256": "cc97ec5a0c300e51fefb8f21fa8a4abda3bda99003ff561a2e11cceed08d6366", "bytes": 22753, "content_type": [ "text/javascript" ], "http_status": 200, "error": null, "manifest": "data/catalog/probe_results_osm_radkowice_2026-09-17.json" }, { "source_id": "EBIN_ELECTRICITY", "url": "https://ebin.josm.pl/electricity/locales.js", "retrieval_date": "2026-09-17T11:41:06.085406+00:00", "local_path": "data/raw/research/2026-09-17/ebin_electricity_locales.js", "sha256": "89a41245348d4abdad6e5793a44dc5525223f563025c4d44457f4725a2c89304", "bytes": 4896, "content_type": [ "text/javascript" ],</x:v>
      </x:c>
    </x:row>
    <x:row r="3080" ht="80" customHeight="1">
      <x:c r="A3080" s="59" t="str">
        <x:v>EBIN_ELECTRICITY</x:v>
      </x:c>
      <x:c r="B3080" s="59" t="str">
        <x:v>evidence (3/3)</x:v>
      </x:c>
      <x:c r="C3080" s="59" t="str">
        <x:v>"http_status": 200, "error": null, "manifest": "data/catalog/probe_results_osm_radkowice_2026-09-17.json" }, { "source_id": "EBIN_ELECTRICITY", "url": "https://tiles.josm.pl/data/vector-power-poland.json", "retrieval_date": "2026-09-17T11:41:36.780070+00:00", "local_path": "data/raw/research/2026-09-17/ebin_power_poland_tilejson.json", "sha256": "dedf887286c4230c76c76cd2a9d081eef5c556e3cfe0d37e1ccee4118cd23df8", "bytes": 1225, "content_type": [ "application/json" ], "http_status": 200, "error": null, "manifest": "data/catalog/probe_results_osm_radkowice_2026-09-17.json" } ]</x:v>
      </x:c>
    </x:row>
    <x:row r="3081" ht="38" customHeight="1">
      <x:c r="A3081" s="59" t="str">
        <x:v>EBIN_ELECTRICITY</x:v>
      </x:c>
      <x:c r="B3081" s="59" t="str">
        <x:v>retrieval_date</x:v>
      </x:c>
      <x:c r="C3081" s="59" t="str">
        <x:v>[ "2026-09-17T11:40:39.685129+00:00", "2026-09-17T11:41:06.040649+00:00", "2026-09-17T11:41:06.085406+00:00", "2026-09-17T11:41:36.780070+00:00" ]</x:v>
      </x:c>
    </x:row>
    <x:row r="3082" ht="30" customHeight="1">
      <x:c r="A3082" s="59" t="str">
        <x:v>OSM_RADK_STATION_OBJECT</x:v>
      </x:c>
      <x:c r="B3082" s="59" t="str">
        <x:v>country</x:v>
      </x:c>
      <x:c r="C3082" s="59" t="str">
        <x:v>PL</x:v>
      </x:c>
    </x:row>
    <x:row r="3083" ht="30" customHeight="1">
      <x:c r="A3083" s="59" t="str">
        <x:v>OSM_RADK_STATION_OBJECT</x:v>
      </x:c>
      <x:c r="B3083" s="59" t="str">
        <x:v>geographical_scope</x:v>
      </x:c>
      <x:c r="C3083" s="59" t="str">
        <x:v>Mały obszar stacji Radkowice</x:v>
      </x:c>
    </x:row>
    <x:row r="3084" ht="30" customHeight="1">
      <x:c r="A3084" s="59" t="str">
        <x:v>OSM_RADK_STATION_OBJECT</x:v>
      </x:c>
      <x:c r="B3084" s="59" t="str">
        <x:v>grid_voltage</x:v>
      </x:c>
      <x:c r="C3084" s="59" t="str">
        <x:v>[ "110 kV", "220 kV", "SN" ]</x:v>
      </x:c>
    </x:row>
    <x:row r="3085" ht="30" customHeight="1">
      <x:c r="A3085" s="59" t="str">
        <x:v>OSM_RADK_STATION_OBJECT</x:v>
      </x:c>
      <x:c r="B3085" s="59" t="str">
        <x:v>api_available</x:v>
      </x:c>
      <x:c r="C3085" s="59" t="str">
        <x:v>YES — OSM read API</x:v>
      </x:c>
    </x:row>
    <x:row r="3086" ht="30" customHeight="1">
      <x:c r="A3086" s="59" t="str">
        <x:v>OSM_RADK_STATION_OBJECT</x:v>
      </x:c>
      <x:c r="B3086" s="59" t="str">
        <x:v>gis_available</x:v>
      </x:c>
      <x:c r="C3086" s="59" t="str">
        <x:v>YES</x:v>
      </x:c>
    </x:row>
    <x:row r="3087" ht="30" customHeight="1">
      <x:c r="A3087" s="59" t="str">
        <x:v>OSM_RADK_STATION_OBJECT</x:v>
      </x:c>
      <x:c r="B3087" s="59" t="str">
        <x:v>update_frequency</x:v>
      </x:c>
      <x:c r="C3087" s="59" t="str">
        <x:v>UNKNOWN — nie ustalono gwarantowanego cyklu publikacji.</x:v>
      </x:c>
    </x:row>
    <x:row r="3088" ht="30" customHeight="1">
      <x:c r="A3088" s="59" t="str">
        <x:v>OSM_RADK_STATION_OBJECT</x:v>
      </x:c>
      <x:c r="B3088" s="59" t="str">
        <x:v>historical_data</x:v>
      </x:c>
      <x:c r="C3088" s="59" t="str">
        <x:v>UNKNOWN — własne snapshoty od 10.09.2026, jeśli zapisano próbkę.</x:v>
      </x:c>
    </x:row>
    <x:row r="3089" ht="30" customHeight="1">
      <x:c r="A3089" s="59" t="str">
        <x:v>OSM_RADK_STATION_OBJECT</x:v>
      </x:c>
      <x:c r="B3089" s="59" t="str">
        <x:v>authentication</x:v>
      </x:c>
      <x:c r="C3089" s="59" t="str">
        <x:v>Public read without login</x:v>
      </x:c>
    </x:row>
    <x:row r="3090" ht="30" customHeight="1">
      <x:c r="A3090" s="59" t="str">
        <x:v>OSM_RADK_STATION_OBJECT</x:v>
      </x:c>
      <x:c r="B3090" s="59" t="str">
        <x:v>license</x:v>
      </x:c>
      <x:c r="C3090" s="59" t="str">
        <x:v>ODbL-1.0 for OSM data; map software and tile service conditions separate</x:v>
      </x:c>
    </x:row>
    <x:row r="3091" ht="30" customHeight="1">
      <x:c r="A3091" s="59" t="str">
        <x:v>OSM_RADK_STATION_OBJECT</x:v>
      </x:c>
      <x:c r="B3091" s="59" t="str">
        <x:v>license_url</x:v>
      </x:c>
      <x:c r="C3091" s="59" t="str">
        <x:v>https://www.openstreetmap.org/copyright</x:v>
      </x:c>
    </x:row>
    <x:row r="3092" ht="30" customHeight="1">
      <x:c r="A3092" s="59" t="str">
        <x:v>OSM_RADK_STATION_OBJECT</x:v>
      </x:c>
      <x:c r="B3092" s="59" t="str">
        <x:v>commercial_use</x:v>
      </x:c>
      <x:c r="C3092" s="59" t="str">
        <x:v>CONDITIONAL — ODbL attribution and applicable database obligations; service terms separate</x:v>
      </x:c>
    </x:row>
    <x:row r="3093" ht="30" customHeight="1">
      <x:c r="A3093" s="59" t="str">
        <x:v>OSM_RADK_STATION_OBJECT</x:v>
      </x:c>
      <x:c r="B3093" s="59" t="str">
        <x:v>machine_readable</x:v>
      </x:c>
      <x:c r="C3093" s="59" t="str">
        <x:v>YES</x:v>
      </x:c>
    </x:row>
    <x:row r="3094" ht="30" customHeight="1">
      <x:c r="A3094" s="59" t="str">
        <x:v>OSM_RADK_STATION_OBJECT</x:v>
      </x:c>
      <x:c r="B3094" s="59" t="str">
        <x:v>scraping_required</x:v>
      </x:c>
      <x:c r="C3094" s="59" t="str">
        <x:v>NO — structured OSM XML preferred to copying rendered map</x:v>
      </x:c>
    </x:row>
    <x:row r="3095" ht="30" customHeight="1">
      <x:c r="A3095" s="59" t="str">
        <x:v>OSM_RADK_STATION_OBJECT</x:v>
      </x:c>
      <x:c r="B3095" s="59" t="str">
        <x:v>data_quality_score</x:v>
      </x:c>
      <x:c r="C3095" s="59" t="str">
        <x:v>UNKNOWN — nie ustalono</x:v>
      </x:c>
    </x:row>
    <x:row r="3096" ht="30" customHeight="1">
      <x:c r="A3096" s="59" t="str">
        <x:v>OSM_RADK_STATION_OBJECT</x:v>
      </x:c>
      <x:c r="B3096" s="59" t="str">
        <x:v>quality_score_status</x:v>
      </x:c>
      <x:c r="C3096" s="59" t="str">
        <x:v>NOT_CALIBRATED — autorytet źródła nie jest procentem kompletności lub trafności.</x:v>
      </x:c>
    </x:row>
    <x:row r="3097" ht="30" customHeight="1">
      <x:c r="A3097" s="59" t="str">
        <x:v>OSM_RADK_STATION_OBJECT</x:v>
      </x:c>
      <x:c r="B3097" s="59" t="str">
        <x:v>last_verified</x:v>
      </x:c>
      <x:c r="C3097" s="60" t="n">
        <x:v>46282</x:v>
      </x:c>
    </x:row>
    <x:row r="3098" ht="30" customHeight="1">
      <x:c r="A3098" s="59" t="str">
        <x:v>OSM_RADK_STATION_OBJECT</x:v>
      </x:c>
      <x:c r="B3098" s="59" t="str">
        <x:v>last_successful_verification</x:v>
      </x:c>
      <x:c r="C3098" s="60" t="n">
        <x:v>46282</x:v>
      </x:c>
    </x:row>
    <x:row r="3099" ht="30" customHeight="1">
      <x:c r="A3099" s="59" t="str">
        <x:v>OSM_RADK_STATION_OBJECT</x:v>
      </x:c>
      <x:c r="B3099" s="59" t="str">
        <x:v>source_date</x:v>
      </x:c>
      <x:c r="C3099" s="59" t="str">
        <x:v>UNKNOWN — nie ustalono</x:v>
      </x:c>
    </x:row>
    <x:row r="3100" ht="30" customHeight="1">
      <x:c r="A3100" s="59" t="str">
        <x:v>OSM_RADK_STATION_OBJECT</x:v>
      </x:c>
      <x:c r="B3100" s="59" t="str">
        <x:v>publication_date</x:v>
      </x:c>
      <x:c r="C3100" s="59" t="str">
        <x:v>UNKNOWN — nie ustalono</x:v>
      </x:c>
    </x:row>
    <x:row r="3101" ht="30" customHeight="1">
      <x:c r="A3101" s="59" t="str">
        <x:v>OSM_RADK_STATION_OBJECT</x:v>
      </x:c>
      <x:c r="B3101" s="59" t="str">
        <x:v>source_version</x:v>
      </x:c>
      <x:c r="C3101" s="59" t="str">
        <x:v>UNKNOWN — nie ustalono</x:v>
      </x:c>
    </x:row>
    <x:row r="3102" ht="30" customHeight="1">
      <x:c r="A3102" s="59" t="str">
        <x:v>OSM_RADK_STATION_OBJECT</x:v>
      </x:c>
      <x:c r="B3102" s="59" t="str">
        <x:v>source_page</x:v>
      </x:c>
      <x:c r="C3102" s="59" t="str">
        <x:v>UNKNOWN — nie ustalono</x:v>
      </x:c>
    </x:row>
    <x:row r="3103" ht="30" customHeight="1">
      <x:c r="A3103" s="59" t="str">
        <x:v>OSM_RADK_STATION_OBJECT</x:v>
      </x:c>
      <x:c r="B3103" s="59" t="str">
        <x:v>valid_from</x:v>
      </x:c>
      <x:c r="C3103" s="59" t="str">
        <x:v>UNKNOWN — nie ustalono</x:v>
      </x:c>
    </x:row>
    <x:row r="3104" ht="30" customHeight="1">
      <x:c r="A3104" s="59" t="str">
        <x:v>OSM_RADK_STATION_OBJECT</x:v>
      </x:c>
      <x:c r="B3104" s="59" t="str">
        <x:v>valid_to</x:v>
      </x:c>
      <x:c r="C3104" s="59" t="str">
        <x:v>UNKNOWN — nie ustalono</x:v>
      </x:c>
    </x:row>
    <x:row r="3105" ht="30" customHeight="1">
      <x:c r="A3105" s="59" t="str">
        <x:v>OSM_RADK_STATION_OBJECT</x:v>
      </x:c>
      <x:c r="B3105" s="59" t="str">
        <x:v>current_future_scope</x:v>
      </x:c>
      <x:c r="C3105" s="59" t="str">
        <x:v>SOURCE_DEPENDENT</x:v>
      </x:c>
    </x:row>
    <x:row r="3106" ht="30" customHeight="1">
      <x:c r="A3106" s="59" t="str">
        <x:v>OSM_RADK_STATION_OBJECT</x:v>
      </x:c>
      <x:c r="B3106" s="59" t="str">
        <x:v>value_classification_default</x:v>
      </x:c>
      <x:c r="C3106" s="59" t="str">
        <x:v>REPORTED</x:v>
      </x:c>
    </x:row>
    <x:row r="3107" ht="38" customHeight="1">
      <x:c r="A3107" s="59" t="str">
        <x:v>OSM_RADK_STATION_OBJECT</x:v>
      </x:c>
      <x:c r="B3107" s="59" t="str">
        <x:v>automation_notes</x:v>
      </x:c>
      <x:c r="C3107" s="59" t="str">
        <x:v>Jednorazowy przegląd; brak zgody na stały scraper wynikającej z samego dostępu. Sprawdzić warunki, robots.txt i limity przed wdrożeniem.</x:v>
      </x:c>
    </x:row>
    <x:row r="3108" ht="30" customHeight="1">
      <x:c r="A3108" s="59" t="str">
        <x:v>OSM_RADK_STATION_OBJECT</x:v>
      </x:c>
      <x:c r="B3108" s="59" t="str">
        <x:v>probe_ids</x:v>
      </x:c>
      <x:c r="C3108" s="59" t="str">
        <x:v>[ "OSM_RADK_STATION_OBJECT" ]</x:v>
      </x:c>
    </x:row>
    <x:row r="3109" ht="30" customHeight="1">
      <x:c r="A3109" s="59" t="str">
        <x:v>OSM_RADK_STATION_OBJECT</x:v>
      </x:c>
      <x:c r="B3109" s="59" t="str">
        <x:v>related_urls</x:v>
      </x:c>
      <x:c r="C3109" s="59" t="str">
        <x:v>[]</x:v>
      </x:c>
    </x:row>
    <x:row r="3110" ht="30" customHeight="1">
      <x:c r="A3110" s="59" t="str">
        <x:v>OSM_RADK_STATION_OBJECT</x:v>
      </x:c>
      <x:c r="B3110" s="59" t="str">
        <x:v>source_id</x:v>
      </x:c>
      <x:c r="C3110" s="59" t="str">
        <x:v>OSM_RADK_STATION_OBJECT</x:v>
      </x:c>
    </x:row>
    <x:row r="3111" ht="30" customHeight="1">
      <x:c r="A3111" s="59" t="str">
        <x:v>OSM_RADK_STATION_OBJECT</x:v>
      </x:c>
      <x:c r="B3111" s="59" t="str">
        <x:v>operator</x:v>
      </x:c>
      <x:c r="C3111" s="59" t="str">
        <x:v>Community map — not grid operator</x:v>
      </x:c>
    </x:row>
    <x:row r="3112" ht="30" customHeight="1">
      <x:c r="A3112" s="59" t="str">
        <x:v>OSM_RADK_STATION_OBJECT</x:v>
      </x:c>
      <x:c r="B3112" s="59" t="str">
        <x:v>source_name</x:v>
      </x:c>
      <x:c r="C3112" s="59" t="str">
        <x:v>OSM — obiekt stacji Radkowice, way 199098055</x:v>
      </x:c>
    </x:row>
    <x:row r="3113" ht="30" customHeight="1">
      <x:c r="A3113" s="59" t="str">
        <x:v>OSM_RADK_STATION_OBJECT</x:v>
      </x:c>
      <x:c r="B3113" s="59" t="str">
        <x:v>url</x:v>
      </x:c>
      <x:c r="C3113" s="59" t="str">
        <x:v>https://www.openstreetmap.org/api/0.6/way/199098055/full</x:v>
      </x:c>
    </x:row>
    <x:row r="3114" ht="30" customHeight="1">
      <x:c r="A3114" s="59" t="str">
        <x:v>OSM_RADK_STATION_OBJECT</x:v>
      </x:c>
      <x:c r="B3114" s="59" t="str">
        <x:v>data_owner</x:v>
      </x:c>
      <x:c r="C3114" s="59" t="str">
        <x:v>OpenStreetMap contributors</x:v>
      </x:c>
    </x:row>
    <x:row r="3115" ht="30" customHeight="1">
      <x:c r="A3115" s="59" t="str">
        <x:v>OSM_RADK_STATION_OBJECT</x:v>
      </x:c>
      <x:c r="B3115" s="59" t="str">
        <x:v>data_category</x:v>
      </x:c>
      <x:c r="C3115" s="59" t="str">
        <x:v>community_grid_geometry</x:v>
      </x:c>
    </x:row>
    <x:row r="3116" ht="30" customHeight="1">
      <x:c r="A3116" s="59" t="str">
        <x:v>OSM_RADK_STATION_OBJECT</x:v>
      </x:c>
      <x:c r="B3116" s="59" t="str">
        <x:v>data_format</x:v>
      </x:c>
      <x:c r="C3116" s="59" t="str">
        <x:v>[ "OSM XML" ]</x:v>
      </x:c>
    </x:row>
    <x:row r="3117" ht="30" customHeight="1">
      <x:c r="A3117" s="59" t="str">
        <x:v>OSM_RADK_STATION_OBJECT</x:v>
      </x:c>
      <x:c r="B3117" s="59" t="str">
        <x:v>verification_status</x:v>
      </x:c>
      <x:c r="C3117" s="59" t="str">
        <x:v>SAMPLE_VERIFIED</x:v>
      </x:c>
    </x:row>
    <x:row r="3118" ht="30" customHeight="1">
      <x:c r="A3118" s="59" t="str">
        <x:v>OSM_RADK_STATION_OBJECT</x:v>
      </x:c>
      <x:c r="B3118" s="59" t="str">
        <x:v>reliability</x:v>
      </x:c>
      <x:c r="C3118" s="59" t="str">
        <x:v>G</x:v>
      </x:c>
    </x:row>
    <x:row r="3119" ht="30" customHeight="1">
      <x:c r="A3119" s="59" t="str">
        <x:v>OSM_RADK_STATION_OBJECT</x:v>
      </x:c>
      <x:c r="B3119" s="59" t="str">
        <x:v>key_fields</x:v>
      </x:c>
      <x:c r="C3119" s="59" t="str">
        <x:v>[ "OSM identity", "object version", "tags", "geometry" ]</x:v>
      </x:c>
    </x:row>
    <x:row r="3120" ht="30" customHeight="1">
      <x:c r="A3120" s="59" t="str">
        <x:v>OSM_RADK_STATION_OBJECT</x:v>
      </x:c>
      <x:c r="B3120" s="59" t="str">
        <x:v>potential_application</x:v>
      </x:c>
      <x:c r="C3120" s="59" t="str">
        <x:v>Geographic reference and candidate network topology, subject to operator verification</x:v>
      </x:c>
    </x:row>
    <x:row r="3121" ht="52" customHeight="1">
      <x:c r="A3121" s="59" t="str">
        <x:v>OSM_RADK_STATION_OBJECT</x:v>
      </x:c>
      <x:c r="B3121" s="59" t="str">
        <x:v>known_limitations</x:v>
      </x:c>
      <x:c r="C3121" s="59" t="str">
        <x:v>[ "Community data are not operator-verified, exhaustive or an operational switching diagram.", "OSM operator tag is not ownership of all equipment.", "Edit timestamps are not measurement or commissioning dates.", "No confirmed thermal ratings, loading or available MW." ]</x:v>
      </x:c>
    </x:row>
    <x:row r="3122" ht="30" customHeight="1">
      <x:c r="A3122" s="59" t="str">
        <x:v>OSM_RADK_STATION_OBJECT</x:v>
      </x:c>
      <x:c r="B3122" s="59" t="str">
        <x:v>priority</x:v>
      </x:c>
      <x:c r="C3122" s="59" t="str">
        <x:v>P0</x:v>
      </x:c>
    </x:row>
    <x:row r="3123" ht="80" customHeight="1">
      <x:c r="A3123" s="59" t="str">
        <x:v>OSM_RADK_STATION_OBJECT</x:v>
      </x:c>
      <x:c r="B3123" s="59" t="str">
        <x:v>evidence</x:v>
      </x:c>
      <x:c r="C3123" s="59" t="str">
        <x:v>[ { "source_id": "OSM_RADK_STATION_OBJECT", "url": "https://www.openstreetmap.org/api/0.6/way/199098055/full", "retrieval_date": "2026-09-17T11:44:23.034423+00:00", "local_path": "data/raw/research/2026-09-17/osm_radkowice_way_199098055.xml", "sha256": "2ea35b722e22766b7a9e09f76ec40292c40bc4a26057cf3061b4cb157fe3a39f", "bytes": 2088, "content_type": [ "text/xml" ], "http_status": 200, "error": null, "manifest": "data/catalog/probe_results_osm_radkowice_2026-09-17.json" } ]</x:v>
      </x:c>
    </x:row>
    <x:row r="3124" ht="30" customHeight="1">
      <x:c r="A3124" s="59" t="str">
        <x:v>OSM_RADK_STATION_OBJECT</x:v>
      </x:c>
      <x:c r="B3124" s="59" t="str">
        <x:v>retrieval_date</x:v>
      </x:c>
      <x:c r="C3124" s="59" t="str">
        <x:v>[ "2026-09-17T11:44:23.034423+00:00" ]</x:v>
      </x:c>
    </x:row>
    <x:row r="3125" ht="30" customHeight="1">
      <x:c r="A3125" s="59" t="str">
        <x:v>OSM_RADK_STATION_AREA</x:v>
      </x:c>
      <x:c r="B3125" s="59" t="str">
        <x:v>country</x:v>
      </x:c>
      <x:c r="C3125" s="59" t="str">
        <x:v>PL</x:v>
      </x:c>
    </x:row>
    <x:row r="3126" ht="30" customHeight="1">
      <x:c r="A3126" s="59" t="str">
        <x:v>OSM_RADK_STATION_AREA</x:v>
      </x:c>
      <x:c r="B3126" s="59" t="str">
        <x:v>geographical_scope</x:v>
      </x:c>
      <x:c r="C3126" s="59" t="str">
        <x:v>Mały obszar stacji Radkowice</x:v>
      </x:c>
    </x:row>
    <x:row r="3127" ht="30" customHeight="1">
      <x:c r="A3127" s="59" t="str">
        <x:v>OSM_RADK_STATION_AREA</x:v>
      </x:c>
      <x:c r="B3127" s="59" t="str">
        <x:v>grid_voltage</x:v>
      </x:c>
      <x:c r="C3127" s="59" t="str">
        <x:v>[ "110 kV", "220 kV", "SN" ]</x:v>
      </x:c>
    </x:row>
    <x:row r="3128" ht="30" customHeight="1">
      <x:c r="A3128" s="59" t="str">
        <x:v>OSM_RADK_STATION_AREA</x:v>
      </x:c>
      <x:c r="B3128" s="59" t="str">
        <x:v>api_available</x:v>
      </x:c>
      <x:c r="C3128" s="59" t="str">
        <x:v>YES — OSM read API</x:v>
      </x:c>
    </x:row>
    <x:row r="3129" ht="30" customHeight="1">
      <x:c r="A3129" s="59" t="str">
        <x:v>OSM_RADK_STATION_AREA</x:v>
      </x:c>
      <x:c r="B3129" s="59" t="str">
        <x:v>gis_available</x:v>
      </x:c>
      <x:c r="C3129" s="59" t="str">
        <x:v>YES</x:v>
      </x:c>
    </x:row>
    <x:row r="3130" ht="30" customHeight="1">
      <x:c r="A3130" s="59" t="str">
        <x:v>OSM_RADK_STATION_AREA</x:v>
      </x:c>
      <x:c r="B3130" s="59" t="str">
        <x:v>update_frequency</x:v>
      </x:c>
      <x:c r="C3130" s="59" t="str">
        <x:v>UNKNOWN — nie ustalono gwarantowanego cyklu publikacji.</x:v>
      </x:c>
    </x:row>
    <x:row r="3131" ht="30" customHeight="1">
      <x:c r="A3131" s="59" t="str">
        <x:v>OSM_RADK_STATION_AREA</x:v>
      </x:c>
      <x:c r="B3131" s="59" t="str">
        <x:v>historical_data</x:v>
      </x:c>
      <x:c r="C3131" s="59" t="str">
        <x:v>UNKNOWN — własne snapshoty od 10.09.2026, jeśli zapisano próbkę.</x:v>
      </x:c>
    </x:row>
    <x:row r="3132" ht="30" customHeight="1">
      <x:c r="A3132" s="59" t="str">
        <x:v>OSM_RADK_STATION_AREA</x:v>
      </x:c>
      <x:c r="B3132" s="59" t="str">
        <x:v>authentication</x:v>
      </x:c>
      <x:c r="C3132" s="59" t="str">
        <x:v>Public read without login</x:v>
      </x:c>
    </x:row>
    <x:row r="3133" ht="30" customHeight="1">
      <x:c r="A3133" s="59" t="str">
        <x:v>OSM_RADK_STATION_AREA</x:v>
      </x:c>
      <x:c r="B3133" s="59" t="str">
        <x:v>license</x:v>
      </x:c>
      <x:c r="C3133" s="59" t="str">
        <x:v>ODbL-1.0 for OSM data; map software and tile service conditions separate</x:v>
      </x:c>
    </x:row>
    <x:row r="3134" ht="30" customHeight="1">
      <x:c r="A3134" s="59" t="str">
        <x:v>OSM_RADK_STATION_AREA</x:v>
      </x:c>
      <x:c r="B3134" s="59" t="str">
        <x:v>license_url</x:v>
      </x:c>
      <x:c r="C3134" s="59" t="str">
        <x:v>https://www.openstreetmap.org/copyright</x:v>
      </x:c>
    </x:row>
    <x:row r="3135" ht="30" customHeight="1">
      <x:c r="A3135" s="59" t="str">
        <x:v>OSM_RADK_STATION_AREA</x:v>
      </x:c>
      <x:c r="B3135" s="59" t="str">
        <x:v>commercial_use</x:v>
      </x:c>
      <x:c r="C3135" s="59" t="str">
        <x:v>CONDITIONAL — ODbL attribution and applicable database obligations; service terms separate</x:v>
      </x:c>
    </x:row>
    <x:row r="3136" ht="30" customHeight="1">
      <x:c r="A3136" s="59" t="str">
        <x:v>OSM_RADK_STATION_AREA</x:v>
      </x:c>
      <x:c r="B3136" s="59" t="str">
        <x:v>machine_readable</x:v>
      </x:c>
      <x:c r="C3136" s="59" t="str">
        <x:v>YES</x:v>
      </x:c>
    </x:row>
    <x:row r="3137" ht="30" customHeight="1">
      <x:c r="A3137" s="59" t="str">
        <x:v>OSM_RADK_STATION_AREA</x:v>
      </x:c>
      <x:c r="B3137" s="59" t="str">
        <x:v>scraping_required</x:v>
      </x:c>
      <x:c r="C3137" s="59" t="str">
        <x:v>NO — structured OSM XML preferred to copying rendered map</x:v>
      </x:c>
    </x:row>
    <x:row r="3138" ht="30" customHeight="1">
      <x:c r="A3138" s="59" t="str">
        <x:v>OSM_RADK_STATION_AREA</x:v>
      </x:c>
      <x:c r="B3138" s="59" t="str">
        <x:v>data_quality_score</x:v>
      </x:c>
      <x:c r="C3138" s="59" t="str">
        <x:v>UNKNOWN — nie ustalono</x:v>
      </x:c>
    </x:row>
    <x:row r="3139" ht="30" customHeight="1">
      <x:c r="A3139" s="59" t="str">
        <x:v>OSM_RADK_STATION_AREA</x:v>
      </x:c>
      <x:c r="B3139" s="59" t="str">
        <x:v>quality_score_status</x:v>
      </x:c>
      <x:c r="C3139" s="59" t="str">
        <x:v>NOT_CALIBRATED — autorytet źródła nie jest procentem kompletności lub trafności.</x:v>
      </x:c>
    </x:row>
    <x:row r="3140" ht="30" customHeight="1">
      <x:c r="A3140" s="59" t="str">
        <x:v>OSM_RADK_STATION_AREA</x:v>
      </x:c>
      <x:c r="B3140" s="59" t="str">
        <x:v>last_verified</x:v>
      </x:c>
      <x:c r="C3140" s="60" t="n">
        <x:v>46282</x:v>
      </x:c>
    </x:row>
    <x:row r="3141" ht="30" customHeight="1">
      <x:c r="A3141" s="59" t="str">
        <x:v>OSM_RADK_STATION_AREA</x:v>
      </x:c>
      <x:c r="B3141" s="59" t="str">
        <x:v>last_successful_verification</x:v>
      </x:c>
      <x:c r="C3141" s="60" t="n">
        <x:v>46282</x:v>
      </x:c>
    </x:row>
    <x:row r="3142" ht="30" customHeight="1">
      <x:c r="A3142" s="59" t="str">
        <x:v>OSM_RADK_STATION_AREA</x:v>
      </x:c>
      <x:c r="B3142" s="59" t="str">
        <x:v>source_date</x:v>
      </x:c>
      <x:c r="C3142" s="59" t="str">
        <x:v>UNKNOWN — nie ustalono</x:v>
      </x:c>
    </x:row>
    <x:row r="3143" ht="30" customHeight="1">
      <x:c r="A3143" s="59" t="str">
        <x:v>OSM_RADK_STATION_AREA</x:v>
      </x:c>
      <x:c r="B3143" s="59" t="str">
        <x:v>publication_date</x:v>
      </x:c>
      <x:c r="C3143" s="59" t="str">
        <x:v>UNKNOWN — nie ustalono</x:v>
      </x:c>
    </x:row>
    <x:row r="3144" ht="30" customHeight="1">
      <x:c r="A3144" s="59" t="str">
        <x:v>OSM_RADK_STATION_AREA</x:v>
      </x:c>
      <x:c r="B3144" s="59" t="str">
        <x:v>source_version</x:v>
      </x:c>
      <x:c r="C3144" s="59" t="str">
        <x:v>UNKNOWN — nie ustalono</x:v>
      </x:c>
    </x:row>
    <x:row r="3145" ht="30" customHeight="1">
      <x:c r="A3145" s="59" t="str">
        <x:v>OSM_RADK_STATION_AREA</x:v>
      </x:c>
      <x:c r="B3145" s="59" t="str">
        <x:v>source_page</x:v>
      </x:c>
      <x:c r="C3145" s="59" t="str">
        <x:v>UNKNOWN — nie ustalono</x:v>
      </x:c>
    </x:row>
    <x:row r="3146" ht="30" customHeight="1">
      <x:c r="A3146" s="59" t="str">
        <x:v>OSM_RADK_STATION_AREA</x:v>
      </x:c>
      <x:c r="B3146" s="59" t="str">
        <x:v>valid_from</x:v>
      </x:c>
      <x:c r="C3146" s="59" t="str">
        <x:v>UNKNOWN — nie ustalono</x:v>
      </x:c>
    </x:row>
    <x:row r="3147" ht="30" customHeight="1">
      <x:c r="A3147" s="59" t="str">
        <x:v>OSM_RADK_STATION_AREA</x:v>
      </x:c>
      <x:c r="B3147" s="59" t="str">
        <x:v>valid_to</x:v>
      </x:c>
      <x:c r="C3147" s="59" t="str">
        <x:v>UNKNOWN — nie ustalono</x:v>
      </x:c>
    </x:row>
    <x:row r="3148" ht="30" customHeight="1">
      <x:c r="A3148" s="59" t="str">
        <x:v>OSM_RADK_STATION_AREA</x:v>
      </x:c>
      <x:c r="B3148" s="59" t="str">
        <x:v>current_future_scope</x:v>
      </x:c>
      <x:c r="C3148" s="59" t="str">
        <x:v>SOURCE_DEPENDENT</x:v>
      </x:c>
    </x:row>
    <x:row r="3149" ht="30" customHeight="1">
      <x:c r="A3149" s="59" t="str">
        <x:v>OSM_RADK_STATION_AREA</x:v>
      </x:c>
      <x:c r="B3149" s="59" t="str">
        <x:v>value_classification_default</x:v>
      </x:c>
      <x:c r="C3149" s="59" t="str">
        <x:v>REPORTED</x:v>
      </x:c>
    </x:row>
    <x:row r="3150" ht="38" customHeight="1">
      <x:c r="A3150" s="59" t="str">
        <x:v>OSM_RADK_STATION_AREA</x:v>
      </x:c>
      <x:c r="B3150" s="59" t="str">
        <x:v>automation_notes</x:v>
      </x:c>
      <x:c r="C3150" s="59" t="str">
        <x:v>Jednorazowy przegląd; brak zgody na stały scraper wynikającej z samego dostępu. Sprawdzić warunki, robots.txt i limity przed wdrożeniem.</x:v>
      </x:c>
    </x:row>
    <x:row r="3151" ht="30" customHeight="1">
      <x:c r="A3151" s="59" t="str">
        <x:v>OSM_RADK_STATION_AREA</x:v>
      </x:c>
      <x:c r="B3151" s="59" t="str">
        <x:v>probe_ids</x:v>
      </x:c>
      <x:c r="C3151" s="59" t="str">
        <x:v>[ "OSM_RADK_STATION_AREA" ]</x:v>
      </x:c>
    </x:row>
    <x:row r="3152" ht="30" customHeight="1">
      <x:c r="A3152" s="59" t="str">
        <x:v>OSM_RADK_STATION_AREA</x:v>
      </x:c>
      <x:c r="B3152" s="59" t="str">
        <x:v>related_urls</x:v>
      </x:c>
      <x:c r="C3152" s="59" t="str">
        <x:v>[]</x:v>
      </x:c>
    </x:row>
    <x:row r="3153" ht="30" customHeight="1">
      <x:c r="A3153" s="59" t="str">
        <x:v>OSM_RADK_STATION_AREA</x:v>
      </x:c>
      <x:c r="B3153" s="59" t="str">
        <x:v>source_id</x:v>
      </x:c>
      <x:c r="C3153" s="59" t="str">
        <x:v>OSM_RADK_STATION_AREA</x:v>
      </x:c>
    </x:row>
    <x:row r="3154" ht="30" customHeight="1">
      <x:c r="A3154" s="59" t="str">
        <x:v>OSM_RADK_STATION_AREA</x:v>
      </x:c>
      <x:c r="B3154" s="59" t="str">
        <x:v>operator</x:v>
      </x:c>
      <x:c r="C3154" s="59" t="str">
        <x:v>Community map — not grid operator</x:v>
      </x:c>
    </x:row>
    <x:row r="3155" ht="30" customHeight="1">
      <x:c r="A3155" s="59" t="str">
        <x:v>OSM_RADK_STATION_AREA</x:v>
      </x:c>
      <x:c r="B3155" s="59" t="str">
        <x:v>source_name</x:v>
      </x:c>
      <x:c r="C3155" s="59" t="str">
        <x:v>OSM — próbka obszaru stacji Radkowice</x:v>
      </x:c>
    </x:row>
    <x:row r="3156" ht="30" customHeight="1">
      <x:c r="A3156" s="59" t="str">
        <x:v>OSM_RADK_STATION_AREA</x:v>
      </x:c>
      <x:c r="B3156" s="59" t="str">
        <x:v>url</x:v>
      </x:c>
      <x:c r="C3156" s="59" t="str">
        <x:v>https://www.openstreetmap.org/api/0.6/map?bbox=20.516927,50.783155,20.527321,50.792370</x:v>
      </x:c>
    </x:row>
    <x:row r="3157" ht="30" customHeight="1">
      <x:c r="A3157" s="59" t="str">
        <x:v>OSM_RADK_STATION_AREA</x:v>
      </x:c>
      <x:c r="B3157" s="59" t="str">
        <x:v>data_owner</x:v>
      </x:c>
      <x:c r="C3157" s="59" t="str">
        <x:v>OpenStreetMap contributors</x:v>
      </x:c>
    </x:row>
    <x:row r="3158" ht="30" customHeight="1">
      <x:c r="A3158" s="59" t="str">
        <x:v>OSM_RADK_STATION_AREA</x:v>
      </x:c>
      <x:c r="B3158" s="59" t="str">
        <x:v>data_category</x:v>
      </x:c>
      <x:c r="C3158" s="59" t="str">
        <x:v>community_grid_geometry</x:v>
      </x:c>
    </x:row>
    <x:row r="3159" ht="30" customHeight="1">
      <x:c r="A3159" s="59" t="str">
        <x:v>OSM_RADK_STATION_AREA</x:v>
      </x:c>
      <x:c r="B3159" s="59" t="str">
        <x:v>data_format</x:v>
      </x:c>
      <x:c r="C3159" s="59" t="str">
        <x:v>[ "OSM XML" ]</x:v>
      </x:c>
    </x:row>
    <x:row r="3160" ht="30" customHeight="1">
      <x:c r="A3160" s="59" t="str">
        <x:v>OSM_RADK_STATION_AREA</x:v>
      </x:c>
      <x:c r="B3160" s="59" t="str">
        <x:v>verification_status</x:v>
      </x:c>
      <x:c r="C3160" s="59" t="str">
        <x:v>SAMPLE_VERIFIED</x:v>
      </x:c>
    </x:row>
    <x:row r="3161" ht="30" customHeight="1">
      <x:c r="A3161" s="59" t="str">
        <x:v>OSM_RADK_STATION_AREA</x:v>
      </x:c>
      <x:c r="B3161" s="59" t="str">
        <x:v>reliability</x:v>
      </x:c>
      <x:c r="C3161" s="59" t="str">
        <x:v>G</x:v>
      </x:c>
    </x:row>
    <x:row r="3162" ht="30" customHeight="1">
      <x:c r="A3162" s="59" t="str">
        <x:v>OSM_RADK_STATION_AREA</x:v>
      </x:c>
      <x:c r="B3162" s="59" t="str">
        <x:v>key_fields</x:v>
      </x:c>
      <x:c r="C3162" s="59" t="str">
        <x:v>[ "OSM identity", "object version", "tags", "geometry" ]</x:v>
      </x:c>
    </x:row>
    <x:row r="3163" ht="30" customHeight="1">
      <x:c r="A3163" s="59" t="str">
        <x:v>OSM_RADK_STATION_AREA</x:v>
      </x:c>
      <x:c r="B3163" s="59" t="str">
        <x:v>potential_application</x:v>
      </x:c>
      <x:c r="C3163" s="59" t="str">
        <x:v>Geographic reference and candidate network topology, subject to operator verification</x:v>
      </x:c>
    </x:row>
    <x:row r="3164" ht="52" customHeight="1">
      <x:c r="A3164" s="59" t="str">
        <x:v>OSM_RADK_STATION_AREA</x:v>
      </x:c>
      <x:c r="B3164" s="59" t="str">
        <x:v>known_limitations</x:v>
      </x:c>
      <x:c r="C3164" s="59" t="str">
        <x:v>[ "Community data are not operator-verified, exhaustive or an operational switching diagram.", "OSM operator tag is not ownership of all equipment.", "Edit timestamps are not measurement or commissioning dates.", "No confirmed thermal ratings, loading or available MW." ]</x:v>
      </x:c>
    </x:row>
    <x:row r="3165" ht="30" customHeight="1">
      <x:c r="A3165" s="59" t="str">
        <x:v>OSM_RADK_STATION_AREA</x:v>
      </x:c>
      <x:c r="B3165" s="59" t="str">
        <x:v>priority</x:v>
      </x:c>
      <x:c r="C3165" s="59" t="str">
        <x:v>P0</x:v>
      </x:c>
    </x:row>
    <x:row r="3166" ht="80" customHeight="1">
      <x:c r="A3166" s="59" t="str">
        <x:v>OSM_RADK_STATION_AREA</x:v>
      </x:c>
      <x:c r="B3166" s="59" t="str">
        <x:v>evidence</x:v>
      </x:c>
      <x:c r="C3166" s="59" t="str">
        <x:v>[ { "source_id": "OSM_RADK_STATION_AREA", "url": "https://www.openstreetmap.org/api/0.6/map?bbox=20.516927,50.783155,20.527321,50.792370", "retrieval_date": "2026-09-17T11:45:03.826411+00:00", "local_path": "data/raw/research/2026-09-17/osm_radkowice_station_area.xml", "sha256": "03093d3f182f406e32346d3ed69858e0b550474257f976d5d375c79747174213", "bytes": 670370, "content_type": [ "text/xml" ], "http_status": 200, "error": null, "manifest": "data/catalog/probe_results_osm_radkowice_2026-09-17.json" } ]</x:v>
      </x:c>
    </x:row>
    <x:row r="3167" ht="30" customHeight="1">
      <x:c r="A3167" s="59" t="str">
        <x:v>OSM_RADK_STATION_AREA</x:v>
      </x:c>
      <x:c r="B3167" s="59" t="str">
        <x:v>retrieval_date</x:v>
      </x:c>
      <x:c r="C3167" s="59" t="str">
        <x:v>[ "2026-09-17T11:45:03.826411+00:00" ]</x:v>
      </x:c>
    </x:row>
  </x:sheetData>
  <x:pageMargins left="0.7" right="0.7" top="0.75" bottom="0.75" header="0.3" footer="0.3"/>
  <x:tableParts count="1">
    <x:tablePart xmlns:r="http://schemas.openxmlformats.org/officeDocument/2006/relationships" r:id="Rd27ef405219c4739"/>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GRID_OZE_REPORT</x:v>
      </x:c>
      <x:c r="B61" s="59" t="str">
        <x:v>Prawa do wykorzystania</x:v>
      </x:c>
      <x:c r="C61" s="59" t="str">
        <x:v>UNKNOWN</x:v>
      </x:c>
      <x:c r="D61" s="59" t="str">
        <x:v>UNKNOWN — nie potwierdzono licencji ponownego użycia</x:v>
      </x:c>
      <x:c r="E61" s="59" t="str">
        <x:v>Wyjaśnić zakres przed produkcyjnym użyciem.</x:v>
      </x:c>
    </x:row>
    <x:row r="62" ht="30" customHeight="1">
      <x:c r="A62" s="59" t="str">
        <x:v>GRID_OZE_PORTAL</x:v>
      </x:c>
      <x:c r="B62" s="59" t="str">
        <x:v>Prawa do wykorzystania</x:v>
      </x:c>
      <x:c r="C62" s="59" t="str">
        <x:v>UNKNOWN</x:v>
      </x:c>
      <x:c r="D62" s="59" t="str">
        <x:v>UNKNOWN — nie potwierdzono licencji ponownego użycia</x:v>
      </x:c>
      <x:c r="E62" s="59" t="str">
        <x:v>Wyjaśnić zakres przed produkcyjnym użyciem.</x:v>
      </x:c>
    </x:row>
    <x:row r="63" ht="30" customHeight="1">
      <x:c r="A63" s="59" t="str">
        <x:v>EMP_PW</x:v>
      </x:c>
      <x:c r="B63" s="59" t="str">
        <x:v>Prawa do wykorzystania</x:v>
      </x:c>
      <x:c r="C63" s="59" t="str">
        <x:v>UNKNOWN</x:v>
      </x:c>
      <x:c r="D63" s="59" t="str">
        <x:v>UNKNOWN — nie potwierdzono licencji ponownego użycia</x:v>
      </x:c>
      <x:c r="E63" s="59" t="str">
        <x:v>Wyjaśnić zakres przed produkcyjnym użyciem.</x:v>
      </x:c>
    </x:row>
    <x:row r="64" ht="30" customHeight="1">
      <x:c r="A64" s="59" t="str">
        <x:v>GUGIK_OZE_DETAIL_2026</x:v>
      </x:c>
      <x:c r="B64" s="59" t="str">
        <x:v>Prawa do wykorzystania</x:v>
      </x:c>
      <x:c r="C64" s="59" t="str">
        <x:v>UNKNOWN</x:v>
      </x:c>
      <x:c r="D64" s="59" t="str">
        <x:v>UNKNOWN — nie potwierdzono licencji ponownego użycia</x:v>
      </x:c>
      <x:c r="E64" s="59" t="str">
        <x:v>Wyjaśnić zakres przed produkcyjnym użyciem.</x:v>
      </x:c>
    </x:row>
    <x:row r="65" ht="30" customHeight="1">
      <x:c r="A65" s="59" t="str">
        <x:v>PSE_INVESTMENTS_RADK</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CHECINY_ENERGY_PLAN</x:v>
      </x:c>
      <x:c r="B66" s="59" t="str">
        <x:v>Prawa do wykorzystania</x:v>
      </x:c>
      <x:c r="C66" s="59" t="str">
        <x:v>UNKNOWN</x:v>
      </x:c>
      <x:c r="D66" s="59" t="str">
        <x:v>UNKNOWN — nie potwierdzono otwartej licencji wybranego zbioru.</x:v>
      </x:c>
      <x:c r="E66" s="59" t="str">
        <x:v>Wyjaśnić zakres przed produkcyjnym użyciem.</x:v>
      </x:c>
    </x:row>
    <x:row r="67" ht="30" customHeight="1">
      <x:c r="A67" s="59" t="str">
        <x:v>PSE_TARIFF_2026</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PGE_RADK_CAPACITY_ATTEMPT</x:v>
      </x:c>
      <x:c r="B68" s="59" t="str">
        <x:v>Dostęp / treść</x:v>
      </x:c>
      <x:c r="C68" s="59" t="str">
        <x:v>BLOCKED</x:v>
      </x:c>
      <x:c r="D68" s="59" t="str">
        <x:v>HTTP 200, 346 bajtów, brak sygnatury PDF; nie pobrano wartości mocy Dowód próby: data/catalog/pge_radkowice_access_2026-09-11.json</x:v>
      </x:c>
      <x:c r="E68" s="59" t="str">
        <x:v>Utrzymać oznaczenie do udanego odczytu.</x:v>
      </x:c>
    </x:row>
    <x:row r="69" ht="30" customHeight="1">
      <x:c r="A69" s="59" t="str">
        <x:v>PGE_RADK_CAPACITY_ATTEMPT</x:v>
      </x:c>
      <x:c r="B69" s="59" t="str">
        <x:v>Prawa do wykorzystania</x:v>
      </x:c>
      <x:c r="C69" s="59" t="str">
        <x:v>UNKNOWN</x:v>
      </x:c>
      <x:c r="D69" s="59" t="str">
        <x:v>UNKNOWN — nie potwierdzono otwartej licencji wybranego zbioru.</x:v>
      </x:c>
      <x:c r="E69" s="59" t="str">
        <x:v>Wyjaśnić zakres przed produkcyjnym użyciem.</x:v>
      </x:c>
    </x:row>
    <x:row r="70" ht="30" customHeight="1">
      <x:c r="A70" s="59" t="str">
        <x:v>SUW_RADK_WOLICA_3_2024</x:v>
      </x:c>
      <x:c r="B70" s="59" t="str">
        <x:v>Prawa do wykorzystania</x:v>
      </x:c>
      <x:c r="C70" s="59" t="str">
        <x:v>UNKNOWN</x:v>
      </x:c>
      <x:c r="D70" s="59" t="str">
        <x:v>UNKNOWN — nie potwierdzono otwartej licencji wybranego zbioru.</x:v>
      </x:c>
      <x:c r="E70" s="59" t="str">
        <x:v>Wyjaśnić zakres przed produkcyjnym użyciem.</x:v>
      </x:c>
    </x:row>
    <x:row r="71" ht="38" customHeight="1">
      <x:c r="A71" s="59" t="str">
        <x:v>PSE_RADK_BRIDGE_NOTICE_2025</x:v>
      </x:c>
      <x:c r="B71" s="59" t="str">
        <x:v>Prawa do wykorzystania</x:v>
      </x:c>
      <x:c r="C71" s="59" t="str">
        <x:v>UNKNOWN</x:v>
      </x:c>
      <x:c r="D71" s="59" t="str">
        <x:v>UNKNOWN — nie potwierdzono otwartej licencji wybranego zbioru.</x:v>
      </x:c>
      <x:c r="E71" s="59" t="str">
        <x:v>Wyjaśnić zakres przed produkcyjnym użyciem.</x:v>
      </x:c>
    </x:row>
    <x:row r="72" ht="38" customHeight="1">
      <x:c r="A72" s="59" t="str">
        <x:v>RDOS_RADK_PIASKI_NOTICE_2025</x:v>
      </x:c>
      <x:c r="B72" s="59" t="str">
        <x:v>Prawa do wykorzystania</x:v>
      </x:c>
      <x:c r="C72" s="59" t="str">
        <x:v>REQUIRES_PERMISSION_REVIEW</x:v>
      </x:c>
      <x:c r="D72" s="59" t="str">
        <x:v>Gov.pl: treści tekstowe CC BY-SA 4.0, zastrzeżenia dla praw osób trzecich; ocena załączników osobno.</x:v>
      </x:c>
      <x:c r="E72" s="59" t="str">
        <x:v>Wyjaśnić zakres przed produkcyjnym użyciem.</x:v>
      </x:c>
    </x:row>
    <x:row r="73" ht="38" customHeight="1">
      <x:c r="A73" s="59" t="str">
        <x:v>RDOS_RADK_PIASKI_DECISION_2025</x:v>
      </x:c>
      <x:c r="B73" s="59" t="str">
        <x:v>Prawa do wykorzystania</x:v>
      </x:c>
      <x:c r="C73" s="59" t="str">
        <x:v>REQUIRES_PERMISSION_REVIEW</x:v>
      </x:c>
      <x:c r="D73" s="59" t="str">
        <x:v>Dokument urzędowy; zasady Gov.pl zweryfikowano, zakres praw do załącznika i materiałów osób trzecich wymaga odrębnej oceny.</x:v>
      </x:c>
      <x:c r="E73" s="59" t="str">
        <x:v>Wyjaśnić zakres przed produkcyjnym użyciem.</x:v>
      </x:c>
    </x:row>
    <x:row r="74" ht="30" customHeight="1">
      <x:c r="A74" s="59" t="str">
        <x:v>PSE_IMPACT_REPORT_2023</x:v>
      </x:c>
      <x:c r="B74" s="59" t="str">
        <x:v>Prawa do wykorzystania</x:v>
      </x:c>
      <x:c r="C74" s="59" t="str">
        <x:v>UNKNOWN</x:v>
      </x:c>
      <x:c r="D74" s="59" t="str">
        <x:v>UNKNOWN — nie potwierdzono otwartej licencji raportu ani prawa do jego redystrybucji.</x:v>
      </x:c>
      <x:c r="E74" s="59" t="str">
        <x:v>Wyjaśnić zakres przed produkcyjnym użyciem.</x:v>
      </x:c>
    </x:row>
    <x:row r="75" ht="38" customHeight="1">
      <x:c r="A75" s="59" t="str">
        <x:v>PSE_PRSP_2027_2036_POST_CONSULTATION</x:v>
      </x:c>
      <x:c r="B75" s="59" t="str">
        <x:v>Prawa do wykorzystania</x:v>
      </x:c>
      <x:c r="C75" s="59" t="str">
        <x:v>UNKNOWN</x:v>
      </x:c>
      <x:c r="D75" s="59" t="str">
        <x:v>UNKNOWN — nie potwierdzono otwartej licencji wybranego zbioru.</x:v>
      </x:c>
      <x:c r="E75" s="59" t="str">
        <x:v>Wyjaśnić zakres przed produkcyjnym użyciem.</x:v>
      </x:c>
    </x:row>
    <x:row r="76" ht="38" customHeight="1">
      <x:c r="A76" s="59" t="str">
        <x:v>KSE-008</x:v>
      </x:c>
      <x:c r="B76" s="59" t="str">
        <x:v>Zadanie</x:v>
      </x:c>
      <x:c r="C76" s="59" t="str">
        <x:v>Zrobione</x:v>
      </x:c>
      <x:c r="D76" s="59" t="str">
        <x:v>Konflikt dat pozostaje nierozstrzygnięty; ukończono kontrolę i kwarantannę.</x:v>
      </x:c>
      <x:c r="E76" s="59" t="str">
        <x:v>Utrzymać kwarantannę do uzyskania spójnej publikacji lub wyjaśnienia operatora.</x:v>
      </x:c>
    </x:row>
    <x:row r="77" ht="38" customHeight="1">
      <x:c r="A77" s="59" t="str">
        <x:v>KSE-009</x:v>
      </x:c>
      <x:c r="B77" s="59" t="str">
        <x:v>Zadanie</x:v>
      </x:c>
      <x:c r="C77" s="59" t="str">
        <x:v>Zagrożone</x:v>
      </x:c>
      <x:c r="D77" s="59" t="str">
        <x:v>HTTP 200 zwracał stronę odrzucenia zamiast danych.</x:v>
      </x:c>
      <x:c r="E77" s="59" t="str">
        <x:v>16.09 ponownie otrzymano HTML zamiast dwóch PDF. Konkretna pomoc zapisana jako NEED-011; nadal bez danych mocy PGE w modelu.</x:v>
      </x:c>
    </x:row>
    <x:row r="78" ht="38" customHeight="1">
      <x:c r="A78" s="59" t="str">
        <x:v>KSE-010</x:v>
      </x:c>
      <x:c r="B78" s="59" t="str">
        <x:v>Zadanie</x:v>
      </x:c>
      <x:c r="C78" s="59" t="str">
        <x:v>Do zrobienia</x:v>
      </x:c>
      <x:c r="D78" s="59" t="str">
        <x:v>Publiczny dostęp nie rozstrzyga komercyjnego wykorzystania; zastrzeżenia Stoen.</x:v>
      </x:c>
      <x:c r="E78" s="59" t="str">
        <x:v>Sprawdzić podstawę wykorzystania XLSX PSE, portalu inwestycji i BIP Chęcin dla pilota Radkowic.</x:v>
      </x:c>
    </x:row>
    <x:row r="79" ht="38" customHeight="1">
      <x:c r="A79" s="59" t="str">
        <x:v>KSE-011</x:v>
      </x:c>
      <x:c r="B79" s="59" t="str">
        <x:v>Zadanie</x:v>
      </x:c>
      <x:c r="C79" s="59" t="str">
        <x:v>Do zrobienia</x:v>
      </x:c>
      <x:c r="D79" s="59" t="str">
        <x:v>Dostarczenie klucza nie jest dowodem jego działania; test jeszcze niewykonany.</x:v>
      </x:c>
      <x:c r="E79" s="59" t="str">
        <x:v>W odrębnym kroku wykonać małe zapytanie z lokalnym poświadczeniem, bez logowania tokenu.</x:v>
      </x:c>
    </x:row>
    <x:row r="80" ht="38" customHeight="1">
      <x:c r="A80" s="59" t="str">
        <x:v>KSE-013</x:v>
      </x:c>
      <x:c r="B80" s="59" t="str">
        <x:v>Zadanie</x:v>
      </x:c>
      <x:c r="C80" s="59" t="str">
        <x:v>W toku</x:v>
      </x:c>
      <x:c r="D80" s="59" t="str">
        <x:v>Brak potwierdzonych granic własności i kompletnego pipeline PGE; prawa źródeł nadal otwarte.</x:v>
      </x:c>
      <x:c r="E80" s="59" t="str">
        <x:v>Potwierdzić granice PSE/PGE i prawa źródeł; relacja 110 kV Radkowice–Wolica ma dowód administracyjny.</x:v>
      </x:c>
    </x:row>
    <x:row r="81" ht="52" customHeight="1">
      <x:c r="A81" s="59" t="str">
        <x:v>KSE-029</x:v>
      </x:c>
      <x:c r="B81" s="59" t="str">
        <x:v>Zadanie</x:v>
      </x:c>
      <x:c r="C81" s="59" t="str">
        <x:v>Do zrobienia</x:v>
      </x:c>
      <x:c r="D81" s="59" t="str">
        <x:v>Publiczne dane mogą nie wystarczyć; brak gwarancji osiągalności etapu.</x:v>
      </x:c>
      <x:c r="E81" s="59" t="str">
        <x:v>Ekspertyza wpływu nie będzie dostępna od użytkownika w tym pilocie. Oceniać inne źródła parametrów; nie uzależniać ewidencji i modelu dokumentacyjnego od power-flow.</x:v>
      </x:c>
    </x:row>
    <x:row r="82" ht="52" customHeight="1">
      <x:c r="A82" s="59" t="str">
        <x:v>KSE-033</x:v>
      </x:c>
      <x:c r="B82" s="59" t="str">
        <x:v>Zadanie</x:v>
      </x:c>
      <x:c r="C82" s="59" t="str">
        <x:v>W toku</x:v>
      </x:c>
      <x:c r="D82" s="59" t="str">
        <x:v>Brak ekspertyzy wpływu nie blokuje ewidencji. Brak danych sieciowych wyklucza wyliczanie rezerwy MW i częstości ograniczeń.</x:v>
      </x:c>
      <x:c r="E82" s="59" t="str">
        <x:v>Uwzględnić prywatny przegląd schematów i etapów, rozstrzygnąć rewizje oraz przypisania pól (NEED-013). Nie przenosić relacji projektowych do bieżącego modelu bez dowodu wykonania.</x:v>
      </x:c>
    </x:row>
    <x:row r="83" ht="38" customHeight="1">
      <x:c r="A83" s="59" t="str">
        <x:v>KSE-034</x:v>
      </x:c>
      <x:c r="B83" s="59" t="str">
        <x:v>Zadanie</x:v>
      </x:c>
      <x:c r="C83" s="59" t="str">
        <x:v>Zrobione</x:v>
      </x:c>
      <x:c r="D83" s="59" t="str">
        <x:v>Pilot jakościowy, nie pełne MVP. Automatyczne potwierdzenie pobrania JSON w Codex nieudane; tekst raportu dostępny w widoku.</x:v>
      </x:c>
      <x:c r="E83" s="59" t="str">
        <x:v>Test użytkownika i rozwój pokrycia danych; zweryfikować pobieranie JSON poza przeglądarką Codex.</x:v>
      </x:c>
    </x:row>
    <x:row r="84" ht="38" customHeight="1">
      <x:c r="A84" s="59" t="str">
        <x:v>KSE-035</x:v>
      </x:c>
      <x:c r="B84" s="59" t="str">
        <x:v>Zadanie</x:v>
      </x:c>
      <x:c r="C84" s="59" t="str">
        <x:v>Zrobione</x:v>
      </x:c>
      <x:c r="D84" s="59" t="str">
        <x:v>Nie jest pełnym audytem wykonawczym, CAD, geometrii GIS ani praw wykorzystania.</x:v>
      </x:c>
      <x:c r="E84" s="59" t="str">
        <x:v>Rozstrzygnąć rewizje i pochodzenie; kontynuować weryfikację szczegółową, bez automatycznego importu do publicznego pilota.</x:v>
      </x:c>
    </x:row>
    <x:row r="85" ht="66" customHeight="1">
      <x:c r="A85" s="59" t="str">
        <x:v>KSE-036</x:v>
      </x:c>
      <x:c r="B85" s="59" t="str">
        <x:v>Zadanie</x:v>
      </x:c>
      <x:c r="C85" s="59" t="str">
        <x:v>W toku</x:v>
      </x:c>
      <x:c r="D85" s="59" t="str">
        <x:v>Publiczne źródła składowe nie potwierdzają dokładności i licencji całego opracowania.</x:v>
      </x:c>
      <x:c r="E85" s="59" t="str">
        <x:v>Weryfikować pierwotne publikacje i legendy, w tym kolejkę linków z rejestru inwestycji; rozstrzygnąć powiązania, rozbieżności eksportów i prawa wykorzystania. Historyczne rekordy nie stanowią aktualnej bazy infrastruktury.</x:v>
      </x:c>
    </x:row>
    <x:row r="86" ht="38" customHeight="1">
      <x:c r="A86" s="59" t="str">
        <x:v>KSE-037</x:v>
      </x:c>
      <x:c r="B86" s="59" t="str">
        <x:v>Zadanie</x:v>
      </x:c>
      <x:c r="C86" s="59" t="str">
        <x:v>Zrobione</x:v>
      </x:c>
      <x:c r="D86" s="59" t="str">
        <x:v>Tożsamość zakresu i data fizycznego załączenia nadal nieustalone.</x:v>
      </x:c>
      <x:c r="E86" s="59" t="str">
        <x:v>Wyjaśnić zakres i odbiór zadania — NEED-014; rozszerzać ewidencję inwestycji.</x:v>
      </x:c>
    </x:row>
    <x:row r="87" ht="38" customHeight="1">
      <x:c r="A87" s="59" t="str">
        <x:v>KSE-038</x:v>
      </x:c>
      <x:c r="B87" s="59" t="str">
        <x:v>Zadanie</x:v>
      </x:c>
      <x:c r="C87" s="59" t="str">
        <x:v>Zrobione</x:v>
      </x:c>
      <x:c r="D87" s="59" t="str">
        <x:v>Rekordy nie są unikalnymi inwestycjami. Linki z kompilacji nie zostały zbiorczo zweryfikowane; nieznane prawa i aktualność pozostają otwarte.</x:v>
      </x:c>
      <x:c r="E87" s="59" t="str">
        <x:v>Weryfikować publikacje pierwotne z prywatnej kolejki; powiązania i bieżący status wymagają osobnych dowodów.</x:v>
      </x:c>
    </x:row>
    <x:row r="88" ht="38" customHeight="1">
      <x:c r="A88" s="59" t="str">
        <x:v>KSE-039</x:v>
      </x:c>
      <x:c r="B88" s="59" t="str">
        <x:v>Zadanie</x:v>
      </x:c>
      <x:c r="C88" s="59" t="str">
        <x:v>Zrobione</x:v>
      </x:c>
      <x:c r="D88" s="59" t="str">
        <x:v>Projekt planu nie potwierdza uzgodnienia, załączenia ani dodatkowych dostępnych MW.</x:v>
      </x:c>
      <x:c r="E88" s="59" t="str">
        <x:v>Zweryfikować późniejsze wersje i rzeczywiste wykonanie; rozwijać powiązania bez automatycznego łączenia zakresów.</x:v>
      </x:c>
    </x:row>
    <x:row r="89" ht="38" customHeight="1">
      <x:c r="A89" s="59" t="str">
        <x:v>KSE-040</x:v>
      </x:c>
      <x:c r="B89" s="59" t="str">
        <x:v>Zadanie</x:v>
      </x:c>
      <x:c r="C89" s="59" t="str">
        <x:v>Zrobione</x:v>
      </x:c>
      <x:c r="D89" s="59" t="str">
        <x:v>OSM nie potwierdza kompletności, własności urządzeń, układu pracy ani wolnej mocy.</x:v>
      </x:c>
      <x:c r="E89" s="59" t="str">
        <x:v>Pozyskać regionalną geometrię OSM i zweryfikować kandydatów połączeń z dokumentami operatorów.</x:v>
      </x:c>
    </x:row>
    <x:row r="90" ht="38" customHeight="1">
      <x:c r="A90" s="59" t="str">
        <x:v>KSE-041</x:v>
      </x:c>
      <x:c r="B90" s="59" t="str">
        <x:v>Zadanie</x:v>
      </x:c>
      <x:c r="C90" s="59" t="str">
        <x:v>Zrobione</x:v>
      </x:c>
      <x:c r="D90" s="59" t="str">
        <x:v>Dostęp techniczny nie oznacza prawa redystrybucji; brak danych o rezerwie przyłączeniowej.</x:v>
      </x:c>
      <x:c r="E90" s="59" t="str">
        <x:v>Wyjaśnić NEED-015/016; przetestować krajowe usługi GUGiK dla obszaru pilota przed integracją.</x:v>
      </x:c>
    </x:row>
  </x:sheetData>
  <x:pageMargins left="0.7" right="0.7" top="0.75" bottom="0.75" header="0.3" footer="0.3"/>
  <x:tableParts count="1">
    <x:tablePart xmlns:r="http://schemas.openxmlformats.org/officeDocument/2006/relationships" r:id="R0bfdd6213c724aa9"/>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80" customHeight="1">
      <x:c r="A150" s="59" t="str">
        <x:v>docs/01_data_research.md</x:v>
      </x:c>
      <x:c r="B150" s="59" t="str">
        <x:v>17.09.2026 — daty inwestycji w źródłach PSE</x:v>
      </x:c>
      <x:c r="C150" s="59" t="str">
        <x:v>Zweryfikowano raport wpływu PSE za 2023 rok (https://api-raport.pse.pl/uploads/PSE-Zintegrowany_Raport_Wplywu_2023.pdf), s.47–48, oraz portal inwestycji (https://inwestycje.pse.pl/mapa_inwestycji_pse/). Raport zalicza wymianę transformatora Radkowice do zadań zakończonych w 2023; portal podaje 2025. Nie ustalono identyczności zakresu ani daty załączenia. Oba wskazania zachowano bez wyboru jednej daty i bez wnioskowania o dodatkowych MW. Katalog ma 65 źródeł; nie ponowiono przeglądu wszystkich pozycji.</x:v>
      </x:c>
    </x:row>
    <x:row r="151" ht="52" customHeight="1">
      <x:c r="A151" s="59" t="str">
        <x:v>docs/01_data_research.md</x:v>
      </x:c>
      <x:c r="B151" s="59" t="str">
        <x:v>17.09.2026 — daty inwestycji w źródłach PSE</x:v>
      </x:c>
      <x:c r="C151" s="59" t="str">
        <x:v>PDF i HTML pobrano bez konta, HTTP 200, zachowano SHA-256. Odczyt PDF wymaga kontekstu dwóch stron; HTML oddzielenia sekcji inwestycji. Nie ustalono API/GIS ani otwartej licencji tych publikacji. Ponowny odczyt PDF PGE przez narzędzie web zakończył się 502; wyniki wyszukiwania nie stały się danymi modelu i NEED-011 pozostaje otwarty.</x:v>
      </x:c>
    </x:row>
    <x:row r="152" ht="94" customHeight="1">
      <x:c r="A152" s="59" t="str">
        <x:v>docs/01_data_research.md</x:v>
      </x:c>
      <x:c r="B152" s="59" t="str">
        <x:v>17.09.2026 — nowszy projekt PRSP, dwa zadania Radkowic</x:v>
      </x:c>
      <x:c r="C152" s="59" t="str">
        <x:v>Zarejestrowano PSE_PRSP_2027_2036_POST_CONSULTATION: PDF PSE (https://www.pse.pl/documents/20182/7102190804/PRSP_2027-2036-dokument_glowny_projekt_po_konsultacji.pdf/de2f004f-8a80-4264-907a-a38d52c5d50f?safeargs=76657273696f6e3d312e30), wydanie kwiecień 2026; sprawdzono 17.09.2026. Dwa wpisy i objaśnienia dat opisuje docs/16_radkowice_public_followup.md. Katalog zawiera 66 źródeł. Dokument pobrano publicznie bez konta; zachowano oryginał i hash. Dostępna warstwa tekstowa pozwala na ograniczoną automatyzację z kontrolą układu. Nie ustalono API/GIS, gwarantowanego cyklu, limitów wywołań ani otwartej licencji. Użycie komercyjne i redystrybucja</x:v>
      </x:c>
    </x:row>
    <x:row r="153" ht="38" customHeight="1">
      <x:c r="A153" s="59" t="str">
        <x:v>docs/01_data_research.md</x:v>
      </x:c>
      <x:c r="B153" s="59" t="str">
        <x:v>17.09.2026 — nowszy projekt PRSP, dwa zadania Radkowic</x:v>
      </x:c>
      <x:c r="C153" s="59" t="str">
        <x:v>wymagają oceny praw. Projekt planu nie potwierdza bieżącego wykonania ani nowej rezerwy MW.</x:v>
      </x:c>
    </x:row>
    <x:row r="154" ht="52" customHeight="1">
      <x:c r="A154" s="59" t="str">
        <x:v>docs/01_data_research.md</x:v>
      </x:c>
      <x:c r="B154" s="59" t="str">
        <x:v>2026-09-17 — szczegółowa mapa OSM Radkowic</x:v>
      </x:c>
      <x:c r="C154" s="59" t="str">
        <x:v>Zweryfikowano mapę ebin.josm.pl oraz rzeczywistą próbkę OSM. Trzy nowe wpisy katalogowe (69 łącznie) obejmują wizualizację, obiekt stacji i odpowiedź obszarową. Szczegóły źródeł, dat, licencji i ograniczeń: GIS i OSM (18_gis_osm_integration.md). Geometria pól i tagi transformatorów wspierają budowę kandydatów topologii, lecz nie dostarczają obciążenia ani dostępnej mocy.</x:v>
      </x:c>
    </x:row>
    <x:row r="155" ht="52" customHeight="1">
      <x:c r="A155" s="59" t="str">
        <x:v>docs/01_data_research.md</x:v>
      </x:c>
      <x:c r="B155" s="59" t="str">
        <x:v>17.09.2026 — GRID OZE i EMP</x:v>
      </x:c>
      <x:c r="C155" s="59" t="str">
        <x:v>Zweryfikowano trzy źródła użytkownika oraz komunikat o krajowych usługach GUGiK. Katalog obejmuje 73 źródła. Odkryto działające ArcGIS REST i odczyt JSON EMP, lecz prawa wykorzystania pozostają otwarte. Szczegóły: przegląd źródeł OZE (19_oze_sources_review.md). Potencjał przestrzenny, katalog wytwórców i dostępna moc przyłączeniowa pozostają odrębnymi pojęciami.</x:v>
      </x:c>
    </x:row>
    <x:row r="156" ht="38" customHeight="1">
      <x:c r="A156" s="59" t="str">
        <x:v>docs/02_feasibility_matrix.md</x:v>
      </x:c>
      <x:c r="B156" s="59" t="str">
        <x:v>Wstępna macierz wykonalności</x:v>
      </x:c>
      <x:c r="C156" s="59" t="str">
        <x:v>10.09.2026 — wynik badań etapu 1; nie jest deklaracją wdrożonej funkcjonalności. Pełne dowody, daty i linki: raport (01_data_research.md) i katalog (data_sources.md). Identyfikatory poniżej odnoszą się do katalogu JSON.</x:v>
      </x:c>
    </x:row>
    <x:row r="157" ht="52" customHeight="1">
      <x:c r="A157" s="59" t="str">
        <x:v>docs/02_feasibility_matrix.md</x:v>
      </x:c>
      <x:c r="B157" s="59" t="str">
        <x:v>Wstępna macierz wykonalności</x:v>
      </x:c>
      <x:c r="C157"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8" ht="30" customHeight="1">
      <x:c r="A158" s="59" t="str">
        <x:v>docs/02_feasibility_matrix.md</x:v>
      </x:c>
      <x:c r="B158" s="59" t="str">
        <x:v>Wstępna macierz wykonalności</x:v>
      </x:c>
      <x:c r="C158" s="59" t="str">
        <x:v>Moduł / precyzyjnie określona wielkość / Klasa / Dowód i warunek / Ograniczenie / wynik przy braku wejść</x:v>
      </x:c>
    </x:row>
    <x:row r="159" ht="38" customHeight="1">
      <x:c r="A159" s="59" t="str">
        <x:v>docs/02_feasibility_matrix.md</x:v>
      </x:c>
      <x:c r="B159" s="59" t="str">
        <x:v>Wstępna macierz wykonalności</x:v>
      </x:c>
      <x:c r="C159" s="59" t="str">
        <x:v>Wskazane stacje, rozdzielnie i szyny w publikacji PSE / AVAILABLE_DIRECTLY / PSE_API: próbka specwezlow / Nie jest kompletnym grafem ani listą wszystkich GPZ</x:v>
      </x:c>
    </x:row>
    <x:row r="160" ht="38" customHeight="1">
      <x:c r="A160" s="59" t="str">
        <x:v>docs/02_feasibility_matrix.md</x:v>
      </x:c>
      <x:c r="B160" s="59" t="str">
        <x:v>Wstępna macierz wykonalności</x:v>
      </x:c>
      <x:c r="C160" s="59" t="str">
        <x:v>Opublikowane miejsce przyłączenia konkretnego projektu / AVAILABLE_DIRECTLY / PSE_PIPELINE, TAURON_PIPELINE; dokument wskazuje miejsce / Może być nieustalone; WP nie oznacza fizycznego przyłączenia</x:v>
      </x:c>
    </x:row>
    <x:row r="161" ht="38" customHeight="1">
      <x:c r="A161" s="59" t="str">
        <x:v>docs/02_feasibility_matrix.md</x:v>
      </x:c>
      <x:c r="B161" s="59" t="str">
        <x:v>Wstępna macierz wykonalności</x:v>
      </x:c>
      <x:c r="C161" s="59" t="str">
        <x:v>Pełna liczba wszystkich projektów na dowolnym GPZ / NOT_CURRENTLY_AVAILABLE / Nie wykazano kompletności publicznych wykazów i przypisań / Nie przedstawiać znanej części jako pełnej liczby</x:v>
      </x:c>
    </x:row>
    <x:row r="162" ht="38" customHeight="1">
      <x:c r="A162" s="59" t="str">
        <x:v>docs/02_feasibility_matrix.md</x:v>
      </x:c>
      <x:c r="B162" s="59" t="str">
        <x:v>Wstępna macierz wykonalności</x:v>
      </x:c>
      <x:c r="C162" s="59" t="str">
        <x:v>Liczba znanych projektów przypisanych dokumentem do punktu / CALCULABLE / Deduplikacja, spójny snapshot, status i pewność relacji / Raportować pokrycie i projekty nieprzypisane</x:v>
      </x:c>
    </x:row>
    <x:row r="163" ht="38" customHeight="1">
      <x:c r="A163" s="59" t="str">
        <x:v>docs/02_feasibility_matrix.md</x:v>
      </x:c>
      <x:c r="B163" s="59" t="str">
        <x:v>Wstępna macierz wykonalności</x:v>
      </x:c>
      <x:c r="C163" s="59" t="str">
        <x:v>Moc znanych projektów na tym samym punkcie / CALCULABLE / Jawne MW i definicja mocy; PSE_PIPELINE / wykazy OSD / Osobno kierunek, etap, zainstalowana moc i PCC; nie jest przepływem</x:v>
      </x:c>
    </x:row>
    <x:row r="164" ht="38" customHeight="1">
      <x:c r="A164" s="59" t="str">
        <x:v>docs/02_feasibility_matrix.md</x:v>
      </x:c>
      <x:c r="B164" s="59" t="str">
        <x:v>Wstępna macierz wykonalności</x:v>
      </x:c>
      <x:c r="C164" s="59" t="str">
        <x:v>Pełna istniejąca generacja danego GPZ / NOT_CURRENTLY_AVAILABLE / URE_REGISTERS i wykazy operatorów mają różne zakresy / Możliwy częściowy udokumentowany inwentarz</x:v>
      </x:c>
    </x:row>
    <x:row r="165" ht="38" customHeight="1">
      <x:c r="A165" s="59" t="str">
        <x:v>docs/02_feasibility_matrix.md</x:v>
      </x:c>
      <x:c r="B165" s="59" t="str">
        <x:v>Wstępna macierz wykonalności</x:v>
      </x:c>
      <x:c r="C165" s="59" t="str">
        <x:v>Wskazana przez operatora moc przyłączeniowa w jego jednostce raportowania / AVAILABLE_DIRECTLY / PSE_CAPACITY, ENERGA_EXPORT/IMPORT, STOEN_EXPORT/IMPORT / Horyzont, grupa ograniczeń, kierunek i założenia są częścią wartości</x:v>
      </x:c>
    </x:row>
    <x:row r="166" ht="38" customHeight="1">
      <x:c r="A166" s="59" t="str">
        <x:v>docs/02_feasibility_matrix.md</x:v>
      </x:c>
      <x:c r="B166" s="59" t="str">
        <x:v>Wstępna macierz wykonalności</x:v>
      </x:c>
      <x:c r="C166" s="59" t="str">
        <x:v>Niezależna bieżąca wolna moc dowolnego GPZ / NOT_CURRENTLY_AVAILABLE / Brak kompletnej topologii, lokalnych profili i parametrów / value=null, classification=UNKNOWN</x:v>
      </x:c>
    </x:row>
    <x:row r="167" ht="38" customHeight="1">
      <x:c r="A167" s="59" t="str">
        <x:v>docs/02_feasibility_matrix.md</x:v>
      </x:c>
      <x:c r="B167" s="59" t="str">
        <x:v>Wstępna macierz wykonalności</x:v>
      </x:c>
      <x:c r="C167" s="59" t="str">
        <x:v>Moc znamionowa konkretnego transformatora opisana w dokumencie / AVAILABLE_DIRECTLY / Tylko jeśli właściwy dokument podaje parametr i obiekt / Ten research nie zwalidował pełnego inwentarza; brak wartości = UNKNOWN</x:v>
      </x:c>
    </x:row>
    <x:row r="168" ht="38" customHeight="1">
      <x:c r="A168" s="59" t="str">
        <x:v>docs/02_feasibility_matrix.md</x:v>
      </x:c>
      <x:c r="B168" s="59" t="str">
        <x:v>Wstępna macierz wykonalności</x:v>
      </x:c>
      <x:c r="C168" s="59" t="str">
        <x:v>Krajowy kompletny rejestr mocy transformatorów GPZ / NOT_CURRENTLY_AVAILABLE / Nie znaleziono kompletnego otwartego zbioru w badanym zakresie / Nie wnioskować z napięcia, zdjęcia lub typowej konstrukcji</x:v>
      </x:c>
    </x:row>
    <x:row r="169" ht="38" customHeight="1">
      <x:c r="A169" s="59" t="str">
        <x:v>docs/02_feasibility_matrix.md</x:v>
      </x:c>
      <x:c r="B169" s="59" t="str">
        <x:v>Wstępna macierz wykonalności</x:v>
      </x:c>
      <x:c r="C169" s="59" t="str">
        <x:v>Rzeczywiste obciążenie dowolnego transformatora GPZ / NOT_CURRENTLY_AVAILABLE / Brak publicznego pełnego pokrycia telemetrią / Moc znamionowa i suma PV nie wystarczą</x:v>
      </x:c>
    </x:row>
    <x:row r="170" ht="38" customHeight="1">
      <x:c r="A170" s="59" t="str">
        <x:v>docs/02_feasibility_matrix.md</x:v>
      </x:c>
      <x:c r="B170" s="59" t="str">
        <x:v>Wstępna macierz wykonalności</x:v>
      </x:c>
      <x:c r="C170" s="59" t="str">
        <x:v>Obciążenie dowolnej linii 110 kV / NOT_CURRENTLY_AVAILABLE / Brak parametrów i bieżącego układu/profili / Mapy linii nie pozwalają tego wyliczyć</x:v>
      </x:c>
    </x:row>
    <x:row r="171" ht="38" customHeight="1">
      <x:c r="A171" s="59" t="str">
        <x:v>docs/02_feasibility_matrix.md</x:v>
      </x:c>
      <x:c r="B171" s="59" t="str">
        <x:v>Wstępna macierz wykonalności</x:v>
      </x:c>
      <x:c r="C171" s="59" t="str">
        <x:v>Dane o bilansie i generacji na poziomie KSE / AVAILABLE_DIRECTLY / PSE_API; Energy-Charts jako dodatkowe źródło / Nie przenosić na lokalny GPZ</x:v>
      </x:c>
    </x:row>
    <x:row r="172" ht="38" customHeight="1">
      <x:c r="A172" s="59" t="str">
        <x:v>docs/02_feasibility_matrix.md</x:v>
      </x:c>
      <x:c r="B172" s="59" t="str">
        <x:v>Wstępna macierz wykonalności</x:v>
      </x:c>
      <x:c r="C172" s="59" t="str">
        <x:v>Raportowane redysponowanie z rozróżnieniem przyczyny / AVAILABLE_DIRECTLY / PSE_API poze-redoze, schemat i próbka / Lokalizacja ograniczenia nie wynika z agregatu; null nie jest zerem</x:v>
      </x:c>
    </x:row>
    <x:row r="173" ht="38" customHeight="1">
      <x:c r="A173" s="59" t="str">
        <x:v>docs/02_feasibility_matrix.md</x:v>
      </x:c>
      <x:c r="B173" s="59" t="str">
        <x:v>Wstępna macierz wykonalności</x:v>
      </x:c>
      <x:c r="C173" s="59" t="str">
        <x:v>Congestion konkretnego elementu w dowolnej lokalizacji / NOT_CURRENTLY_AVAILABLE / Brak powszechnego lokalnego dowodu / Możliwy opis udokumentowanego ograniczenia, bez udawanej mapy przeciążeń</x:v>
      </x:c>
    </x:row>
    <x:row r="174" ht="38" customHeight="1">
      <x:c r="A174" s="59" t="str">
        <x:v>docs/02_feasibility_matrix.md</x:v>
      </x:c>
      <x:c r="B174" s="59" t="str">
        <x:v>Wstępna macierz wykonalności</x:v>
      </x:c>
      <x:c r="C174" s="59" t="str">
        <x:v>Moc eksportowa/importowa BESS jako osobne pola projektu / AVAILABLE_DIRECTLY / PSE_PIPELINE i kierunkowe wykazy w badanym zakresie / Dostępność konkretnego pola zależy od rekordu; brak MWh nie uzupełniać domysłem</x:v>
      </x:c>
    </x:row>
    <x:row r="175" ht="38" customHeight="1">
      <x:c r="A175" s="59" t="str">
        <x:v>docs/02_feasibility_matrix.md</x:v>
      </x:c>
      <x:c r="B175" s="59" t="str">
        <x:v>Wstępna macierz wykonalności</x:v>
      </x:c>
      <x:c r="C175" s="59" t="str">
        <x:v>Czas magazynowania przy znanych MWh i mocy rozładowania / CALCULABLE / MWh / MW, dodatni mianownik, jawne znaczenie mocy i pojemności / Wymaga zgodnych nominalnych/użytecznych wartości; nie oznacza profilu pracy</x:v>
      </x:c>
    </x:row>
    <x:row r="176" ht="38" customHeight="1">
      <x:c r="A176" s="59" t="str">
        <x:v>docs/02_feasibility_matrix.md</x:v>
      </x:c>
      <x:c r="B176" s="59" t="str">
        <x:v>Wstępna macierz wykonalności</x:v>
      </x:c>
      <x:c r="C176" s="59" t="str">
        <x:v>Techniczna możliwość przyłączenia dowolnego BESS / NOT_CURRENTLY_AVAILABLE / Osobne import/eksport nie zastępują pełnej analizy sieci / Możliwy screening przesłanek dla obu kierunków</x:v>
      </x:c>
    </x:row>
    <x:row r="177" ht="38" customHeight="1">
      <x:c r="A177" s="59" t="str">
        <x:v>docs/02_feasibility_matrix.md</x:v>
      </x:c>
      <x:c r="B177" s="59" t="str">
        <x:v>Wstępna macierz wykonalności</x:v>
      </x:c>
      <x:c r="C177" s="59" t="str">
        <x:v>Scenariuszowy profil generacji PV/Wind / ESTIMABLE / Potrzebne parametry instalacji, pogoda, metoda i walidacja / Jeszcze nie wdrożono ani nie zwalidowano lokalnego modelu profili</x:v>
      </x:c>
    </x:row>
    <x:row r="178" ht="38" customHeight="1">
      <x:c r="A178" s="59" t="str">
        <x:v>docs/02_feasibility_matrix.md</x:v>
      </x:c>
      <x:c r="B178" s="59" t="str">
        <x:v>Wstępna macierz wykonalności</x:v>
      </x:c>
      <x:c r="C178" s="59" t="str">
        <x:v>Zastępcza lokalizacja/relacja sieciowa / ESTIMABLE / Kilka zgodnych dowodów; wynik relacji oznaczony INFERRED / Samo najbliższe GPZ nie wystarcza; konflikt zachować</x:v>
      </x:c>
    </x:row>
    <x:row r="179" ht="38" customHeight="1">
      <x:c r="A179" s="59" t="str">
        <x:v>docs/02_feasibility_matrix.md</x:v>
      </x:c>
      <x:c r="B179" s="59" t="str">
        <x:v>Wstępna macierz wykonalności</x:v>
      </x:c>
      <x:c r="C179" s="59" t="str">
        <x:v>Pełny łańcuch project–feeder–GPZ–PSE dla każdego projektu / NOT_CURRENTLY_AVAILABLE / Fragmenty dokumentacyjne + pomocnicza geometria / Dopuszczalne nieznane odcinki grafu</x:v>
      </x:c>
    </x:row>
    <x:row r="180" ht="38" customHeight="1">
      <x:c r="A180" s="59" t="str">
        <x:v>docs/02_feasibility_matrix.md</x:v>
      </x:c>
      <x:c r="B180" s="59" t="str">
        <x:v>Wstępna macierz wykonalności</x:v>
      </x:c>
      <x:c r="C180" s="59" t="str">
        <x:v>Udokumentowane planowane inwestycje / AVAILABLE_DIRECTLY / PSE_PLAN, ENERGA_PLAN, ENEA_PLAN / Projekt/uzgodnienie/realizacja to odrębne statusy</x:v>
      </x:c>
    </x:row>
    <x:row r="181" ht="38" customHeight="1">
      <x:c r="A181" s="59" t="str">
        <x:v>docs/02_feasibility_matrix.md</x:v>
      </x:c>
      <x:c r="B181" s="59" t="str">
        <x:v>Wstępna macierz wykonalności</x:v>
      </x:c>
      <x:c r="C181" s="59" t="str">
        <x:v>Przyszła dostępna moc z konkretnego wariantu publikacji / AVAILABLE_DIRECTLY / Jeśli operator podał wartość, datę i założenia; PSE_CAPACITY / Nie wyliczać prostym dodaniem MVA inwestycji do obecnych MW</x:v>
      </x:c>
    </x:row>
    <x:row r="182" ht="38" customHeight="1">
      <x:c r="A182" s="59" t="str">
        <x:v>docs/02_feasibility_matrix.md</x:v>
      </x:c>
      <x:c r="B182" s="59" t="str">
        <x:v>Wstępna macierz wykonalności</x:v>
      </x:c>
      <x:c r="C182" s="59" t="str">
        <x:v>Przyszła fizyczna dostępność każdego punktu / NOT_CURRENTLY_AVAILABLE / Brak kompletnych przyszłych profili, topologii i realizacji planów / Możliwa narracja wariantowa, nie gwarancja</x:v>
      </x:c>
    </x:row>
    <x:row r="183" ht="38" customHeight="1">
      <x:c r="A183" s="59" t="str">
        <x:v>docs/02_feasibility_matrix.md</x:v>
      </x:c>
      <x:c r="B183" s="59" t="str">
        <x:v>Wstępna macierz wykonalności</x:v>
      </x:c>
      <x:c r="C183" s="59" t="str">
        <x:v>Potencjalne korytarze i przecięcia ograniczeń GIS / CALCULABLE / Zweryfikowana geometria, CRS i aktualne warstwy / Nie jest prawem do gruntu ani pełną wykonalnością trasy</x:v>
      </x:c>
    </x:row>
    <x:row r="184" ht="38" customHeight="1">
      <x:c r="A184" s="59" t="str">
        <x:v>docs/02_feasibility_matrix.md</x:v>
      </x:c>
      <x:c r="B184" s="59" t="str">
        <x:v>Wstępna macierz wykonalności</x:v>
      </x:c>
      <x:c r="C184" s="59" t="str">
        <x:v>Rzeczywista możliwość pozyskania trasy przyłącza / NOT_CURRENTLY_AVAILABLE / Potrzebne prawa do nieruchomości, uzgodnienia i projekt techniczny / Publiczne działki i WMS nie wystarczą</x:v>
      </x:c>
    </x:row>
    <x:row r="185" ht="38" customHeight="1">
      <x:c r="A185" s="59" t="str">
        <x:v>docs/02_feasibility_matrix.md</x:v>
      </x:c>
      <x:c r="B185" s="59" t="str">
        <x:v>Wstępna macierz wykonalności</x:v>
      </x:c>
      <x:c r="C185" s="59" t="str">
        <x:v>Grid Connection Score 0–100 o zwalidowanej trafności / NOT_CURRENTLY_AVAILABLE / Nie skalibrowano wag, celu i zbioru referencyjnego / Nie wyświetlać arbitralnej liczby</x:v>
      </x:c>
    </x:row>
    <x:row r="186" ht="38" customHeight="1">
      <x:c r="A186" s="59" t="str">
        <x:v>docs/02_feasibility_matrix.md</x:v>
      </x:c>
      <x:c r="B186" s="59" t="str">
        <x:v>Wstępna macierz wykonalności</x:v>
      </x:c>
      <x:c r="C186" s="59" t="str">
        <x:v>Procentowe prawdopodobieństwo uzyskania WP / NOT_CURRENTLY_AVAILABLE / Brak reprezentatywnych etykiet wyników i wystarczających predyktorów / Nie utożsamiać historycznego udziału odmów z szansą konkretnego projektu</x:v>
      </x:c>
    </x:row>
    <x:row r="187" ht="38" customHeight="1">
      <x:c r="A187" s="59" t="str">
        <x:v>docs/02_feasibility_matrix.md</x:v>
      </x:c>
      <x:c r="B187" s="59" t="str">
        <x:v>Wstępna macierz wykonalności</x:v>
      </x:c>
      <x:c r="C187" s="59" t="str">
        <x:v>Historia wiedzy od rozpoczęcia archiwizacji / CALCULABLE / Snapshoty, manifesty, wersje normalizacji i metody / Nie odtworzy brakujących historycznych źródeł sprzed archiwizacji</x:v>
      </x:c>
    </x:row>
    <x:row r="188" ht="38" customHeight="1">
      <x:c r="A188" s="59" t="str">
        <x:v>docs/02_feasibility_matrix.md</x:v>
      </x:c>
      <x:c r="B188" s="59" t="str">
        <x:v>Wstępna macierz wykonalności</x:v>
      </x:c>
      <x:c r="C188" s="59" t="str">
        <x:v>Najważniejsze rozróżnienie: wiarygodne przepisanie wartości operatora jest możliwe znacznie wcześniej niż wiarygodne obliczenie tej samej wielkości samodzielnie. Produkt powinien wyraźnie pokazywać, którą czynność wykonał.</x:v>
      </x:c>
    </x:row>
    <x:row r="189" ht="30" customHeight="1">
      <x:c r="A189" s="59" t="str">
        <x:v>docs/03_system_architecture.md</x:v>
      </x:c>
      <x:c r="B189" s="59" t="str">
        <x:v>Kierunek architektury po researchu</x:v>
      </x:c>
      <x:c r="C189" s="59" t="str">
        <x:v>10.09.2026 — propozycja do etapu 2, bez instalacji bazy i bez wyboru ostatecznego stosu.</x:v>
      </x:c>
    </x:row>
    <x:row r="190" ht="52" customHeight="1">
      <x:c r="A190" s="59" t="str">
        <x:v>docs/03_system_architecture.md</x:v>
      </x:c>
      <x:c r="B190" s="59" t="str">
        <x:v>Kierunek architektury po researchu</x:v>
      </x:c>
      <x:c r="C190"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91" ht="30" customHeight="1">
      <x:c r="A191" s="59" t="str">
        <x:v>docs/03_system_architecture.md</x:v>
      </x:c>
      <x:c r="B191" s="59" t="str">
        <x:v>Kierunek architektury po researchu</x:v>
      </x:c>
      <x:c r="C191" s="59" t="str">
        <x:v>Wariant / Korzyść dla projektu / Koszt / ograniczenie / Wstępna ocena</x:v>
      </x:c>
    </x:row>
    <x:row r="192" ht="38" customHeight="1">
      <x:c r="A192" s="59" t="str">
        <x:v>docs/03_system_architecture.md</x:v>
      </x:c>
      <x:c r="B192" s="59" t="str">
        <x:v>Kierunek architektury po researchu</x:v>
      </x:c>
      <x:c r="C192" s="59" t="str">
        <x:v>PostgreSQL + PostGIS / Jeden magazyn danych domenowych, źródeł, historii i geometrii; graf jako węzły/krawędzie / Złożone przejścia grafowe trzeba świadomie zaprojektować / Preferowany kandydat MVP</x:v>
      </x:c>
    </x:row>
    <x:row r="193" ht="38" customHeight="1">
      <x:c r="A193" s="59" t="str">
        <x:v>docs/03_system_architecture.md</x:v>
      </x:c>
      <x:c r="B193" s="59" t="str">
        <x:v>Kierunek architektury po researchu</x:v>
      </x:c>
      <x:c r="C193" s="59" t="str">
        <x:v>PostgreSQL + PostGIS + pgRouting / Algorytmy trasowania/analizy grafowej w tym samym środowisku / Kolejne rozszerzenie; koszt grafu nie jest modelem przepływu energii / Dodać tylko dla uzasadnionego zapytania lub warstwy trasowej</x:v>
      </x:c>
    </x:row>
    <x:row r="194" ht="38" customHeight="1">
      <x:c r="A194" s="59" t="str">
        <x:v>docs/03_system_architecture.md</x:v>
      </x:c>
      <x:c r="B194" s="59" t="str">
        <x:v>Kierunek architektury po researchu</x:v>
      </x:c>
      <x:c r="C194" s="59" t="str">
        <x:v>Neo4j / Naturalna reprezentacja węzłów i relacji z właściwościami / Wymaga oceny obsługi historii, GIS, edycji/licencji i utrzymania / Brak potrzeby wykazanej badaniem danych</x:v>
      </x:c>
    </x:row>
    <x:row r="195" ht="38" customHeight="1">
      <x:c r="A195" s="59" t="str">
        <x:v>docs/03_system_architecture.md</x:v>
      </x:c>
      <x:c r="B195" s="59" t="str">
        <x:v>Kierunek architektury po researchu</x:v>
      </x:c>
      <x:c r="C195" s="59" t="str">
        <x:v>PostgreSQL/PostGIS + Neo4j / Osobna projekcja do intensywnej eksploracji grafu / Synchronizacja dwóch magazynów, ryzyko niespójności i trudniejszy audyt / Odłożyć do czasu mierzalnej potrzeby</x:v>
      </x:c>
    </x:row>
    <x:row r="196" ht="66" customHeight="1">
      <x:c r="A196" s="59" t="str">
        <x:v>docs/03_system_architecture.md</x:v>
      </x:c>
      <x:c r="B196" s="59" t="str">
        <x:v>Kierunek architektury po researchu</x:v>
      </x:c>
      <x:c r="C196"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7" ht="52" customHeight="1">
      <x:c r="A197" s="59" t="str">
        <x:v>docs/03_system_architecture.md</x:v>
      </x:c>
      <x:c r="B197" s="59" t="str">
        <x:v>Przepływ danych do zaprojektowania</x:v>
      </x:c>
      <x:c r="C197"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8" ht="52" customHeight="1">
      <x:c r="A198" s="59" t="str">
        <x:v>docs/03_system_architecture.md</x:v>
      </x:c>
      <x:c r="B198" s="59" t="str">
        <x:v>Przepływ danych do zaprojektowania</x:v>
      </x:c>
      <x:c r="C198"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9" ht="52" customHeight="1">
      <x:c r="A199" s="59" t="str">
        <x:v>docs/03_system_architecture.md</x:v>
      </x:c>
      <x:c r="B199" s="59" t="str">
        <x:v>Przepływ danych do zaprojektowania</x:v>
      </x:c>
      <x:c r="C199"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200" ht="52" customHeight="1">
      <x:c r="A200" s="59" t="str">
        <x:v>docs/04_data_model.md</x:v>
      </x:c>
      <x:c r="B200" s="59" t="str">
        <x:v>Wymagania dla przyszłego modelu danych</x:v>
      </x:c>
      <x:c r="C200"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201" ht="30" customHeight="1">
      <x:c r="A201" s="59" t="str">
        <x:v>docs/04_data_model.md</x:v>
      </x:c>
      <x:c r="B201" s="59" t="str">
        <x:v>Wymagania dla przyszłego modelu danych</x:v>
      </x:c>
      <x:c r="C201" s="59" t="str">
        <x:v>10.09.2026 — notatka z etapu 1. To nie jest wdrożony schemat bazy.</x:v>
      </x:c>
    </x:row>
    <x:row r="202" ht="66" customHeight="1">
      <x:c r="A202" s="59" t="str">
        <x:v>docs/04_data_model.md</x:v>
      </x:c>
      <x:c r="B202" s="59" t="str">
        <x:v>Wymagania dla przyszłego modelu danych</x:v>
      </x:c>
      <x:c r="C202"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203" ht="30" customHeight="1">
      <x:c r="A203" s="59" t="str">
        <x:v>docs/04_data_model.md</x:v>
      </x:c>
      <x:c r="B203" s="59" t="str">
        <x:v>Wymagania dla przyszłego modelu danych</x:v>
      </x:c>
      <x:c r="C203" s="59" t="str">
        <x:v>Obszar / Wymaganie wynikające z badań</x:v>
      </x:c>
    </x:row>
    <x:row r="204" ht="38" customHeight="1">
      <x:c r="A204" s="59" t="str">
        <x:v>docs/04_data_model.md</x:v>
      </x:c>
      <x:c r="B204" s="59" t="str">
        <x:v>Wymagania dla przyszłego modelu danych</x:v>
      </x:c>
      <x:c r="C204" s="59" t="str">
        <x:v>Tożsamość / Własny stabilny ID, identyfikatory operatora, aliasy, operator, napięcie, geometria; brak scalenia wyłącznie po podobieństwie nazwy</x:v>
      </x:c>
    </x:row>
    <x:row r="205" ht="38" customHeight="1">
      <x:c r="A205" s="59" t="str">
        <x:v>docs/04_data_model.md</x:v>
      </x:c>
      <x:c r="B205" s="59" t="str">
        <x:v>Wymagania dla przyszłego modelu danych</x:v>
      </x:c>
      <x:c r="C205" s="59" t="str">
        <x:v>Obserwacja / Wartość i jednostka, klasyfikacja REPORTED/MEASURED/CALCULATED/ESTIMATED/INFERRED/UNKNOWN, źródło i snapshot, strona/arkusz/wiersz/pole, daty</x:v>
      </x:c>
    </x:row>
    <x:row r="206" ht="38" customHeight="1">
      <x:c r="A206" s="59" t="str">
        <x:v>docs/04_data_model.md</x:v>
      </x:c>
      <x:c r="B206" s="59" t="str">
        <x:v>Wymagania dla przyszłego modelu danych</x:v>
      </x:c>
      <x:c r="C206" s="59" t="str">
        <x:v>Czas / Osobno publication_date, observation_date/source_date, retrieval_date, valid_from/to oraz moment rejestracji wiedzy; nieznane daty pozostają null</x:v>
      </x:c>
    </x:row>
    <x:row r="207" ht="30" customHeight="1">
      <x:c r="A207" s="59" t="str">
        <x:v>docs/04_data_model.md</x:v>
      </x:c>
      <x:c r="B207" s="59" t="str">
        <x:v>Wymagania dla przyszłego modelu danych</x:v>
      </x:c>
      <x:c r="C207" s="59" t="str">
        <x:v>Konflikt / Obie wersje wartości lub daty, dowody, status rozstrzygnięcia; nie nadpisywać jednej drugą</x:v>
      </x:c>
    </x:row>
    <x:row r="208" ht="30" customHeight="1">
      <x:c r="A208" s="59" t="str">
        <x:v>docs/04_data_model.md</x:v>
      </x:c>
      <x:c r="B208" s="59" t="str">
        <x:v>Wymagania dla przyszłego modelu danych</x:v>
      </x:c>
      <x:c r="C208" s="59" t="str">
        <x:v>Relacja / Obiekt początkowy/końcowy, typ, confirmed/probable/inferred/unknown, dowody, okres, stan planowany/istniejący</x:v>
      </x:c>
    </x:row>
    <x:row r="209" ht="38" customHeight="1">
      <x:c r="A209" s="59" t="str">
        <x:v>docs/04_data_model.md</x:v>
      </x:c>
      <x:c r="B209" s="59" t="str">
        <x:v>Wymagania dla przyszłego modelu danych</x:v>
      </x:c>
      <x:c r="C209" s="59" t="str">
        <x:v>Projekt / Technologie jako składniki, SPV/inwestor z dowodami, etapy procedury jako historia; nie wszystkie wpisy są osobnymi projektami</x:v>
      </x:c>
    </x:row>
    <x:row r="210" ht="38" customHeight="1">
      <x:c r="A210" s="59" t="str">
        <x:v>docs/04_data_model.md</x:v>
      </x:c>
      <x:c r="B210" s="59" t="str">
        <x:v>Wymagania dla przyszłego modelu danych</x:v>
      </x:c>
      <x:c r="C210" s="59" t="str">
        <x:v>BESS / P_export_MW, P_import_MW, energy_capacity_MWh, duration_h, PCC_export_limit_MW, PCC_import_limit_MW; brakujące pola null</x:v>
      </x:c>
    </x:row>
    <x:row r="211" ht="30" customHeight="1">
      <x:c r="A211" s="59" t="str">
        <x:v>docs/04_data_model.md</x:v>
      </x:c>
      <x:c r="B211" s="59" t="str">
        <x:v>Wymagania dla przyszłego modelu danych</x:v>
      </x:c>
      <x:c r="C211" s="59" t="str">
        <x:v>Hybryda / Składniki zainstalowane niezależnie od limitów PCC i scenariusza pracy</x:v>
      </x:c>
    </x:row>
    <x:row r="212" ht="30" customHeight="1">
      <x:c r="A212" s="59" t="str">
        <x:v>docs/04_data_model.md</x:v>
      </x:c>
      <x:c r="B212" s="59" t="str">
        <x:v>Wymagania dla przyszłego modelu danych</x:v>
      </x:c>
      <x:c r="C212" s="59" t="str">
        <x:v>Dostępność operatora / Kierunek, napięcie, grupa/stacja, horyzont, wariant WP, ograniczenia i definicja raportu</x:v>
      </x:c>
    </x:row>
    <x:row r="213" ht="38" customHeight="1">
      <x:c r="A213" s="59" t="str">
        <x:v>docs/04_data_model.md</x:v>
      </x:c>
      <x:c r="B213" s="59" t="str">
        <x:v>Wymagania dla przyszłego modelu danych</x:v>
      </x:c>
      <x:c r="C213" s="59" t="str">
        <x:v>Inwestycja / planned/under_construction/commissioned/cancelled/unknown, status dokumentu i daty oczekiwane oddzielone od rzeczywistych</x:v>
      </x:c>
    </x:row>
    <x:row r="214" ht="38" customHeight="1">
      <x:c r="A214" s="59" t="str">
        <x:v>docs/04_data_model.md</x:v>
      </x:c>
      <x:c r="B214" s="59" t="str">
        <x:v>Wymagania dla przyszłego modelu danych</x:v>
      </x:c>
      <x:c r="C214" s="59" t="str">
        <x:v>Wynik analizy / Snapshot, parametry projektu, wersja metody, konfiguracja, czas analizy, źródła wejściowe i wyjaśnienie; score i confidence odrębne</x:v>
      </x:c>
    </x:row>
    <x:row r="215" ht="38" customHeight="1">
      <x:c r="A215" s="59" t="str">
        <x:v>docs/04_data_model.md</x:v>
      </x:c>
      <x:c r="B215" s="59" t="str">
        <x:v>Wymagania dla przyszłego modelu danych</x:v>
      </x:c>
      <x:c r="C215" s="59" t="str">
        <x:v>Szczegółowy projekt SQL/API oraz walidacja kontraktów należą do etapu 2. Katalog źródeł w etapie 1 nie jest zamiennikiem modelu obserwacji technicznych.</x:v>
      </x:c>
    </x:row>
    <x:row r="216" ht="66" customHeight="1">
      <x:c r="A216" s="59" t="str">
        <x:v>docs/04_data_model.md</x:v>
      </x:c>
      <x:c r="B216" s="59" t="str">
        <x:v>Wymagania dla przyszłego modelu danych</x:v>
      </x:c>
      <x:c r="C216"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7" ht="52" customHeight="1">
      <x:c r="A217" s="59" t="str">
        <x:v>docs/04_data_model.md</x:v>
      </x:c>
      <x:c r="B217" s="59" t="str">
        <x:v>Prototyp wspólnego przyłącza — 11.09.2026</x:v>
      </x:c>
      <x:c r="C217"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8" ht="38" customHeight="1">
      <x:c r="A218" s="59" t="str">
        <x:v>docs/04_data_model.md</x:v>
      </x:c>
      <x:c r="B218" s="59" t="str">
        <x:v>Uzupełnienie historii — 2026-09-15</x:v>
      </x:c>
      <x:c r="C218" s="59" t="str">
        <x:v>Prototyp dwóch osi czasu, korekt i konfliktów opisano w historii obserwacji (14_observation_history.md). Nie zastępuje pełnego modelu bazy. Data publikacji ani pobrania nie wyznacza automatycznie okresu ważności.</x:v>
      </x:c>
    </x:row>
    <x:row r="219" ht="30" customHeight="1">
      <x:c r="A219" s="59" t="str">
        <x:v>docs/05_grid_capacity_methodology.md</x:v>
      </x:c>
      <x:c r="B219" s="59" t="str">
        <x:v>Granice metody oceny dostępności</x:v>
      </x:c>
      <x:c r="C219" s="59" t="str">
        <x:v>10.09.2026 — wymagania badawcze, brak zaimplementowanego silnika mocy.</x:v>
      </x:c>
    </x:row>
    <x:row r="220" ht="30" customHeight="1">
      <x:c r="A220" s="59" t="str">
        <x:v>docs/05_grid_capacity_methodology.md</x:v>
      </x:c>
      <x:c r="B220" s="59" t="str">
        <x:v>Granice metody oceny dostępności</x:v>
      </x:c>
      <x:c r="C220" s="59" t="str">
        <x:v>Pierwszy raport powinien oddzielać:</x:v>
      </x:c>
    </x:row>
    <x:row r="221" ht="66" customHeight="1">
      <x:c r="A221" s="59" t="str">
        <x:v>docs/05_grid_capacity_methodology.md</x:v>
      </x:c>
      <x:c r="B221" s="59" t="str">
        <x:v>Granice metody oceny dostępności</x:v>
      </x:c>
      <x:c r="C221"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22" ht="52" customHeight="1">
      <x:c r="A222" s="59" t="str">
        <x:v>docs/05_grid_capacity_methodology.md</x:v>
      </x:c>
      <x:c r="B222" s="59" t="str">
        <x:v>Granice metody oceny dostępności</x:v>
      </x:c>
      <x:c r="C222"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23" ht="52" customHeight="1">
      <x:c r="A223" s="59" t="str">
        <x:v>docs/05_grid_capacity_methodology.md</x:v>
      </x:c>
      <x:c r="B223" s="59" t="str">
        <x:v>Granice metody oceny dostępności</x:v>
      </x:c>
      <x:c r="C223"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24" ht="52" customHeight="1">
      <x:c r="A224" s="59" t="str">
        <x:v>docs/05_grid_capacity_methodology.md</x:v>
      </x:c>
      <x:c r="B224" s="59" t="str">
        <x:v>Granice metody oceny dostępności</x:v>
      </x:c>
      <x:c r="C224"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25" ht="38" customHeight="1">
      <x:c r="A225" s="59" t="str">
        <x:v>docs/05_grid_capacity_methodology.md</x:v>
      </x:c>
      <x:c r="B225" s="59" t="str">
        <x:v>Granice metody oceny dostępności</x:v>
      </x:c>
      <x:c r="C225" s="59" t="str">
        <x:v>W badaniu nie ustalono parametrów pozwalających wyznaczyć wiarygodny przedział wolnej mocy dla dowolnego GPZ. Nie utworzono sztucznych zakresów MW ani współczynników zastępczych. Dowody: raport, rozdziały 3–4 i 8–9 (01_data_research.md).</x:v>
      </x:c>
    </x:row>
    <x:row r="226" ht="30" customHeight="1">
      <x:c r="A226" s="59" t="str">
        <x:v>docs/06_scoring_methodology.md</x:v>
      </x:c>
      <x:c r="B226" s="59" t="str">
        <x:v>Status Grid Connection Score</x:v>
      </x:c>
      <x:c r="C226" s="59" t="str">
        <x:v>10.09.2026 — metoda nie jest jeszcze zdefiniowana ani wdrożona.</x:v>
      </x:c>
    </x:row>
    <x:row r="227" ht="52" customHeight="1">
      <x:c r="A227" s="59" t="str">
        <x:v>docs/06_scoring_methodology.md</x:v>
      </x:c>
      <x:c r="B227" s="59" t="str">
        <x:v>Status Grid Connection Score</x:v>
      </x:c>
      <x:c r="C227"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8" ht="30" customHeight="1">
      <x:c r="A228" s="59" t="str">
        <x:v>docs/06_scoring_methodology.md</x:v>
      </x:c>
      <x:c r="B228" s="59" t="str">
        <x:v>Status Grid Connection Score</x:v>
      </x:c>
      <x:c r="C228" s="59" t="str">
        <x:v>Potencjalna zmienna / Stan dowodów</x:v>
      </x:c>
    </x:row>
    <x:row r="229" ht="30" customHeight="1">
      <x:c r="A229" s="59" t="str">
        <x:v>docs/06_scoring_methodology.md</x:v>
      </x:c>
      <x:c r="B229" s="59" t="str">
        <x:v>Status Grid Connection Score</x:v>
      </x:c>
      <x:c r="C229" s="59" t="str">
        <x:v>Raportowana dostępność kierunkowa / Dostępna dla określonych jednostek i założeń operatorów</x:v>
      </x:c>
    </x:row>
    <x:row r="230" ht="30" customHeight="1">
      <x:c r="A230" s="59" t="str">
        <x:v>docs/06_scoring_methodology.md</x:v>
      </x:c>
      <x:c r="B230" s="59" t="str">
        <x:v>Status Grid Connection Score</x:v>
      </x:c>
      <x:c r="C230" s="59" t="str">
        <x:v>Znany pipeline i etap / Częściowo dostępny; wymaga deduplikacji i relacji infrastrukturalnych</x:v>
      </x:c>
    </x:row>
    <x:row r="231" ht="30" customHeight="1">
      <x:c r="A231" s="59" t="str">
        <x:v>docs/06_scoring_methodology.md</x:v>
      </x:c>
      <x:c r="B231" s="59" t="str">
        <x:v>Status Grid Connection Score</x:v>
      </x:c>
      <x:c r="C231" s="59" t="str">
        <x:v>Planowane wzmocnienia / Dostępne dokumentacyjnie; terminy i realizacja nie są pewne</x:v>
      </x:c>
    </x:row>
    <x:row r="232" ht="30" customHeight="1">
      <x:c r="A232" s="59" t="str">
        <x:v>docs/06_scoring_methodology.md</x:v>
      </x:c>
      <x:c r="B232" s="59" t="str">
        <x:v>Status Grid Connection Score</x:v>
      </x:c>
      <x:c r="C232" s="59" t="str">
        <x:v>Napięcie i odległość / Dostępne/obliczalne przy znanym obiekcie i geometrii; sama odległość nie rozstrzyga</x:v>
      </x:c>
    </x:row>
    <x:row r="233" ht="30" customHeight="1">
      <x:c r="A233" s="59" t="str">
        <x:v>docs/06_scoring_methodology.md</x:v>
      </x:c>
      <x:c r="B233" s="59" t="str">
        <x:v>Status Grid Connection Score</x:v>
      </x:c>
      <x:c r="C233" s="59" t="str">
        <x:v>Obciążenia i topologia ruchowa / Brak pełnego publicznego pokrycia</x:v>
      </x:c>
    </x:row>
    <x:row r="234" ht="30" customHeight="1">
      <x:c r="A234" s="59" t="str">
        <x:v>docs/06_scoring_methodology.md</x:v>
      </x:c>
      <x:c r="B234" s="59" t="str">
        <x:v>Status Grid Connection Score</x:v>
      </x:c>
      <x:c r="C234" s="59" t="str">
        <x:v>Elastyczność BESS / Parametry kierunkowe częściowo dostępne; strategia pracy i akceptacja warunków często nieznane</x:v>
      </x:c>
    </x:row>
    <x:row r="235" ht="38" customHeight="1">
      <x:c r="A235" s="59" t="str">
        <x:v>docs/06_scoring_methodology.md</x:v>
      </x:c>
      <x:c r="B235" s="59" t="str">
        <x:v>Status Grid Connection Score</x:v>
      </x:c>
      <x:c r="C235" s="59" t="str">
        <x:v>Odmowy, curtailment i redysponowanie / Konieczny właściwy zakres przestrzenny i przyczyna; brak podstaw do automatycznej lokalnej kary</x:v>
      </x:c>
    </x:row>
    <x:row r="236" ht="52" customHeight="1">
      <x:c r="A236" s="59" t="str">
        <x:v>docs/06_scoring_methodology.md</x:v>
      </x:c>
      <x:c r="B236" s="59" t="str">
        <x:v>Status Grid Connection Score</x:v>
      </x:c>
      <x:c r="C236"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7" ht="52" customHeight="1">
      <x:c r="A237" s="59" t="str">
        <x:v>docs/06_scoring_methodology.md</x:v>
      </x:c>
      <x:c r="B237" s="59" t="str">
        <x:v>Status Grid Connection Score</x:v>
      </x:c>
      <x:c r="C237"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8" ht="38" customHeight="1">
      <x:c r="A238" s="59" t="str">
        <x:v>docs/07_data_quality.md</x:v>
      </x:c>
      <x:c r="B238" s="59" t="str">
        <x:v>Jakość danych — ustalenia i kontrola etapu 1</x:v>
      </x:c>
      <x:c r="C238" s="59" t="str">
        <x:v>10.09.2026. Autorytet źródła A–H według AGENTS.md jest oddzielony od kompletności, świeżości, pewności relacji i praw do wykorzystania. Katalog nie zawiera arbitralnych liczbowych ocen jakości.</x:v>
      </x:c>
    </x:row>
    <x:row r="239" ht="30" customHeight="1">
      <x:c r="A239" s="59" t="str">
        <x:v>docs/07_data_quality.md</x:v>
      </x:c>
      <x:c r="B239" s="59" t="str">
        <x:v>Znalezione przypadki wymagające ostrożności</x:v>
      </x:c>
      <x:c r="C239" s="59" t="str">
        <x:v>Przypadek / Dowód / Obsługa</x:v>
      </x:c>
    </x:row>
    <x:row r="240" ht="30" customHeight="1">
      <x:c r="A240" s="59" t="str">
        <x:v>docs/07_data_quality.md</x:v>
      </x:c>
      <x:c r="B240" s="59" t="str">
        <x:v>Znalezione przypadki wymagające ostrożności</x:v>
      </x:c>
      <x:c r="C240" s="59" t="str">
        <x:v>HTTP 200 bez danych / PGE: zachowany HTML odrzucenia, 346 bajtów / BLOCKED; nie sukces parsera</x:v>
      </x:c>
    </x:row>
    <x:row r="241" ht="30" customHeight="1">
      <x:c r="A241" s="59" t="str">
        <x:v>docs/07_data_quality.md</x:v>
      </x:c>
      <x:c r="B241" s="59" t="str">
        <x:v>Znalezione przypadki wymagające ostrożności</x:v>
      </x:c>
      <x:c r="C241" s="59" t="str">
        <x:v>Sprzeczne daty / Energa pipeline: nazwa 31.08, nagłówek i metadane 30.06 / Zachować konflikt, source_date nierozstrzygnięta</x:v>
      </x:c>
    </x:row>
    <x:row r="242" ht="30" customHeight="1">
      <x:c r="A242" s="59" t="str">
        <x:v>docs/07_data_quality.md</x:v>
      </x:c>
      <x:c r="B242" s="59" t="str">
        <x:v>Znalezione przypadki wymagające ostrożności</x:v>
      </x:c>
      <x:c r="C242" s="59" t="str">
        <x:v>Inna data strony i arkusza / PSE: aktualizacja strony 01.09, XLSX stan 31.07 / Dwa odrębne pola, bez „odmładzania” danych</x:v>
      </x:c>
    </x:row>
    <x:row r="243" ht="30" customHeight="1">
      <x:c r="A243" s="59" t="str">
        <x:v>docs/07_data_quality.md</x:v>
      </x:c>
      <x:c r="B243" s="59" t="str">
        <x:v>Znalezione przypadki wymagające ostrożności</x:v>
      </x:c>
      <x:c r="C243" s="59" t="str">
        <x:v>Przyszłe zamiast obecnych mocy / PSE: tabela importowa nowych planowanych stacji / FUTURE_GRID; nie bieżąca rezerwa</x:v>
      </x:c>
    </x:row>
    <x:row r="244" ht="38" customHeight="1">
      <x:c r="A244" s="59" t="str">
        <x:v>docs/07_data_quality.md</x:v>
      </x:c>
      <x:c r="B244" s="59" t="str">
        <x:v>Znalezione przypadki wymagające ostrożności</x:v>
      </x:c>
      <x:c r="C244" s="59" t="str">
        <x:v>Starsze wejścia w nowej publikacji / Stoen: część informacji o małych źródłach z IV kw.2025 / Wiek wejść odrębny od daty wydania</x:v>
      </x:c>
    </x:row>
    <x:row r="245" ht="30" customHeight="1">
      <x:c r="A245" s="59" t="str">
        <x:v>docs/07_data_quality.md</x:v>
      </x:c>
      <x:c r="B245" s="59" t="str">
        <x:v>Znalezione przypadki wymagające ostrożności</x:v>
      </x:c>
      <x:c r="C245" s="59" t="str">
        <x:v>Null w API / PSE poze-redoze: brak wartości w próbce / UNKNOWN, bez zamiany na 0</x:v>
      </x:c>
    </x:row>
    <x:row r="246" ht="30" customHeight="1">
      <x:c r="A246" s="59" t="str">
        <x:v>docs/07_data_quality.md</x:v>
      </x:c>
      <x:c r="B246" s="59" t="str">
        <x:v>Znalezione przypadki wymagające ostrożności</x:v>
      </x:c>
      <x:c r="C246" s="59" t="str">
        <x:v>Najstarsze wyniki bez filtra / PSE $first=2: obserwacje z 2024 / Próba interfejsu, nie snapshot bieżącego KSE</x:v>
      </x:c>
    </x:row>
    <x:row r="247" ht="30" customHeight="1">
      <x:c r="A247" s="59" t="str">
        <x:v>docs/07_data_quality.md</x:v>
      </x:c>
      <x:c r="B247" s="59" t="str">
        <x:v>Znalezione przypadki wymagające ostrożności</x:v>
      </x:c>
      <x:c r="C247" s="59" t="str">
        <x:v>Anonimizacja i nieustalone punkty / TAURON: wybrane wiersze próbki / Brak scalenia „Osoba prawna” do jednego inwestora</x:v>
      </x:c>
    </x:row>
    <x:row r="248" ht="30" customHeight="1">
      <x:c r="A248" s="59" t="str">
        <x:v>docs/07_data_quality.md</x:v>
      </x:c>
      <x:c r="B248" s="59" t="str">
        <x:v>Znalezione przypadki wymagające ostrożności</x:v>
      </x:c>
      <x:c r="C248" s="59" t="str">
        <x:v>Mapowy podgląd bez eksportu / ENEA Power BI / Nie deklarować działającego API danych</x:v>
      </x:c>
    </x:row>
    <x:row r="249" ht="66" customHeight="1">
      <x:c r="A249" s="59" t="str">
        <x:v>docs/07_data_quality.md</x:v>
      </x:c>
      <x:c r="B249" s="59" t="str">
        <x:v>Wykonana kontrola</x:v>
      </x:c>
      <x:c r="C249"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50" ht="52" customHeight="1">
      <x:c r="A250" s="59" t="str">
        <x:v>docs/07_data_quality.md</x:v>
      </x:c>
      <x:c r="B250" s="59" t="str">
        <x:v>Wykonana kontrola</x:v>
      </x:c>
      <x:c r="C250"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51" ht="66" customHeight="1">
      <x:c r="A251" s="59" t="str">
        <x:v>docs/07_data_quality.md</x:v>
      </x:c>
      <x:c r="B251" s="59" t="str">
        <x:v>Wykonana kontrola</x:v>
      </x:c>
      <x:c r="C251"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52" ht="66" customHeight="1">
      <x:c r="A252" s="59" t="str">
        <x:v>docs/07_data_quality.md</x:v>
      </x:c>
      <x:c r="B252" s="59" t="str">
        <x:v>Kontrola dat Energi — 11.09.2026</x:v>
      </x:c>
      <x:c r="C252"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53" ht="52" customHeight="1">
      <x:c r="A253" s="59" t="str">
        <x:v>docs/07_data_quality.md</x:v>
      </x:c>
      <x:c r="B253" s="59" t="str">
        <x:v>Kontrola dat Energi — 11.09.2026</x:v>
      </x:c>
      <x:c r="C253"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54" ht="52" customHeight="1">
      <x:c r="A254" s="59" t="str">
        <x:v>docs/07_data_quality.md</x:v>
      </x:c>
      <x:c r="B254" s="59" t="str">
        <x:v>Kontrola dat Energi — 11.09.2026</x:v>
      </x:c>
      <x:c r="C254"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55" ht="30" customHeight="1">
      <x:c r="A255" s="59" t="str">
        <x:v>docs/07_data_quality.md</x:v>
      </x:c>
      <x:c r="B255" s="59" t="str">
        <x:v>Kontrola dat Energi — 11.09.2026</x:v>
      </x:c>
      <x:c r="C255" s="59" t="str">
        <x:v>Odtworzenie po przywróceniu archiwum (Python z requirements-research.txt; nowa nazwa wyjścia chroni historię):</x:v>
      </x:c>
    </x:row>
    <x:row r="256" ht="52" customHeight="1">
      <x:c r="A256" s="59" t="str">
        <x:v>docs/07_data_quality.md</x:v>
      </x:c>
      <x:c r="B256" s="59" t="str">
        <x:v>Kontrola dat Energi — 11.09.2026</x:v>
      </x:c>
      <x:c r="C256"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7" ht="38" customHeight="1">
      <x:c r="A257" s="59" t="str">
        <x:v>docs/07_data_quality.md</x:v>
      </x:c>
      <x:c r="B257" s="59" t="str">
        <x:v>Kontrola dat Energi — 11.09.2026</x:v>
      </x:c>
      <x:c r="C257" s="59" t="str">
        <x:v>Wykonano 7 testów, w tym rzeczywistego PDF; wszystkie przeszły. Metoda rozpoznaje wyłącznie wskazany wzorzec dat, więc zmieniony nagłówek powoduje zatrzymanie, a nie zgadywanie daty z wierszy projektów.</x:v>
      </x:c>
    </x:row>
    <x:row r="258" ht="66" customHeight="1">
      <x:c r="A258" s="59" t="str">
        <x:v>docs/07_data_quality.md</x:v>
      </x:c>
      <x:c r="B258" s="59" t="str">
        <x:v>Kontrola dat Energi — 11.09.2026</x:v>
      </x:c>
      <x:c r="C258"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9" ht="52" customHeight="1">
      <x:c r="A259" s="59" t="str">
        <x:v>docs/07_data_quality.md</x:v>
      </x:c>
      <x:c r="B259" s="59" t="str">
        <x:v>Kontrola dat Energi — 11.09.2026</x:v>
      </x:c>
      <x:c r="C259"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60" ht="52" customHeight="1">
      <x:c r="A260" s="59" t="str">
        <x:v>docs/08_roadmap.md</x:v>
      </x:c>
      <x:c r="B260" s="59" t="str">
        <x:v>Kierunek rozwoju aplikacji</x:v>
      </x:c>
      <x:c r="C260" s="59" t="str">
        <x:v>Aktualizacja: 2026-09-17. Plan oparty na wynikach projektu; opisuje także funkcje jeszcze niewdrożone. Zastępuje rekomendację z 10.09.2026 zachowaną w Git. Radkowice są pilotem, lokalna aplikacja dokumentacyjna działa, a użytkownik wybrał ocenę przesłanek i ryzyk przed porównywaniem stacji.</x:v>
      </x:c>
    </x:row>
    <x:row r="261" ht="52" customHeight="1">
      <x:c r="A261" s="59" t="str">
        <x:v>docs/08_roadmap.md</x:v>
      </x:c>
      <x:c r="B261" s="59" t="str">
        <x:v>Cel produktu</x:v>
      </x:c>
      <x:c r="C261" s="59" t="str">
        <x:v>Aplikacja ma być warsztatem oceny lokalizacji inwestycji. Użytkownik wskazuje lokalizację, parametry i termin projektu, a otrzymuje kartę potencjalnego punktu przyłączenia: infrastrukturę, znane projekty, inwestycje sieciowe, przesłanki, ryzyka i brakujące dowody. Każdy wniosek prowadzi do źródła z datą i zakresem.</x:v>
      </x:c>
    </x:row>
    <x:row r="262" ht="38" customHeight="1">
      <x:c r="A262" s="59" t="str">
        <x:v>docs/08_roadmap.md</x:v>
      </x:c>
      <x:c r="B262" s="59" t="str">
        <x:v>Cel produktu</x:v>
      </x:c>
      <x:c r="C262" s="59" t="str">
        <x:v>Rezultat: użytkownik rozumie, które warianty warto dalej badać oraz jakie informacje mogą zmienić ocenę. Obecne dane nie uzasadniają liczbowego prawdopodobieństwa otrzymania WP ani automatycznej rezerwy MW.</x:v>
      </x:c>
    </x:row>
    <x:row r="263" ht="30" customHeight="1">
      <x:c r="A263" s="59" t="str">
        <x:v>docs/08_roadmap.md</x:v>
      </x:c>
      <x:c r="B263" s="59" t="str">
        <x:v>Dostępna podstawa i wartość dla użytkownika</x:v>
      </x:c>
      <x:c r="C263" s="59" t="str">
        <x:v>Podstawa / Kierunek rozwoju / Granica</x:v>
      </x:c>
    </x:row>
    <x:row r="264" ht="38" customHeight="1">
      <x:c r="A264" s="59" t="str">
        <x:v>docs/08_roadmap.md</x:v>
      </x:c>
      <x:c r="B264" s="59" t="str">
        <x:v>Dostępna podstawa i wartość dla użytkownika</x:v>
      </x:c>
      <x:c r="C264" s="59" t="str">
        <x:v>Kompilacja GIS deklarowana jako stan 2024 / Wyszukiwanie stacji, nazwy i aliasy, historia oraz kolejka inwestycji do weryfikacji / Dane historyczne; prawa kompilacji nadal NEED-012; prywatne rekordy pozostają odseparowane</x:v>
      </x:c>
    </x:row>
    <x:row r="265" ht="38" customHeight="1">
      <x:c r="A265" s="59" t="str">
        <x:v>docs/08_roadmap.md</x:v>
      </x:c>
      <x:c r="B265" s="59" t="str">
        <x:v>Dostępna podstawa i wartość dla użytkownika</x:v>
      </x:c>
      <x:c r="C265" s="59" t="str">
        <x:v>Zachowana próbka OSM Radkowic / Mapa infrastruktury, pola, transformatory i kandydaci relacji / Źródło społecznościowe; brak potwierdzonego układu pracy i kompletności</x:v>
      </x:c>
    </x:row>
    <x:row r="266" ht="38" customHeight="1">
      <x:c r="A266" s="59" t="str">
        <x:v>docs/08_roadmap.md</x:v>
      </x:c>
      <x:c r="B266" s="59" t="str">
        <x:v>Dostępna podstawa i wartość dla użytkownika</x:v>
      </x:c>
      <x:c r="C266" s="59" t="str">
        <x:v>Pipeline i dokumenty PSE / Karta znanych projektów przy stacji / Niepełne pokrycie; wiersz dokumentu nie zawsze jest unikalnym projektem</x:v>
      </x:c>
    </x:row>
    <x:row r="267" ht="38" customHeight="1">
      <x:c r="A267" s="59" t="str">
        <x:v>docs/08_roadmap.md</x:v>
      </x:c>
      <x:c r="B267" s="59" t="str">
        <x:v>Dostępna podstawa i wartość dla użytkownika</x:v>
      </x:c>
      <x:c r="C267" s="59" t="str">
        <x:v>Plany inwestycji operatora / Oś czasu i wariant przyszłej sieci / Plan nie jest odbiorem, a termin nie gwarantuje dodatkowych MW</x:v>
      </x:c>
    </x:row>
    <x:row r="268" ht="38" customHeight="1">
      <x:c r="A268" s="59" t="str">
        <x:v>docs/08_roadmap.md</x:v>
      </x:c>
      <x:c r="B268" s="59" t="str">
        <x:v>Dostępna podstawa i wartość dla użytkownika</x:v>
      </x:c>
      <x:c r="C268" s="59" t="str">
        <x:v>Dokumentacja przyłączeniowa użytkownika / Dokładniejsza analiza konkretnego punktu i wspólnej infrastruktury / Osobny tryb prywatny, konieczność rozstrzygnięcia rewizji i sprzeczności</x:v>
      </x:c>
    </x:row>
    <x:row r="269" ht="38" customHeight="1">
      <x:c r="A269" s="59" t="str">
        <x:v>docs/08_roadmap.md</x:v>
      </x:c>
      <x:c r="B269" s="59" t="str">
        <x:v>Dostępna podstawa i wartość dla użytkownika</x:v>
      </x:c>
      <x:c r="C269" s="59" t="str">
        <x:v>Źródła, historia i rejestr potrzeb / Audytowalna opinia oraz lista następnych działań / Ocena jakościowa bez niezweryfikowanych wag i procentów</x:v>
      </x:c>
    </x:row>
    <x:row r="270" ht="94" customHeight="1">
      <x:c r="A270" s="59" t="str">
        <x:v>docs/08_roadmap.md</x:v>
      </x:c>
      <x:c r="B270" s="59" t="str">
        <x:v>Przebieg pracy użytkownika</x:v>
      </x:c>
      <x:c r="C270" s="59" t="str">
        <x:v>1. Wskazanie lokalizacji, technologii, napięcia, eksportu i importu na PCC, MWh oraz terminu. 2. Wybór stacji lub przegląd kandydatów. Odległość geometryczna jest opisana wprost; nie jest długością dopuszczalnej trasy kabla. 3. Karta stacji z rozdziałem napięć i dowodów. Wnioski z części 220 kV Radkowic nie przechodzą automatycznie na część 110 kV. 4. Znane projekty: operacyjne, planowane z określonym statusem, oczekujące wnioski tylko przy dowodzie złożenia i aktualnego stanu. Osobno status nieustalony i pokrycie źródeł. Brak wpisu nie oznacza braku projektu. 5. Scenariusz bieżący lub planowany. Dla BESS osobno ładowanie i rozładowanie; dla</x:v>
      </x:c>
    </x:row>
    <x:row r="271" ht="52" customHeight="1">
      <x:c r="A271" s="59" t="str">
        <x:v>docs/08_roadmap.md</x:v>
      </x:c>
      <x:c r="B271" s="59" t="str">
        <x:v>Przebieg pracy użytkownika</x:v>
      </x:c>
      <x:c r="C271" s="59" t="str">
        <x:v>hybryd limity PCC zamiast sumowania mocy urządzeń. 6. Opinia: fakty, przesłanki korzystne, ryzyka, sprzeczności i niewiadome. Każde stwierdzenie wskazuje podstawę, znaczenie dla projektu i dowód, który może zmienić ocenę. 7. Eksport z parametrami, wersją metody, snapshotami i listą dokumentów do pozyskania.</x:v>
      </x:c>
    </x:row>
    <x:row r="272" ht="30" customHeight="1">
      <x:c r="A272" s="59" t="str">
        <x:v>docs/08_roadmap.md</x:v>
      </x:c>
      <x:c r="B272" s="59" t="str">
        <x:v>Kolejność rozwoju</x:v>
      </x:c>
      <x:c r="C272" s="59" t="str">
        <x:v>Przyrost / Rezultat / Kryterium ukończenia / Zadania</x:v>
      </x:c>
    </x:row>
    <x:row r="273" ht="38" customHeight="1">
      <x:c r="A273" s="59" t="str">
        <x:v>docs/08_roadmap.md</x:v>
      </x:c>
      <x:c r="B273" s="59" t="str">
        <x:v>Kolejność rozwoju</x:v>
      </x:c>
      <x:c r="C273" s="59" t="str">
        <x:v>1. Geometria pilota / Mapa Radkowic z elementami OSM i źródłami / ID, CRS, wersje, daty i atrybucja; geometria oddzielona od relacji elektrycznej; przecięcia nie tworzą automatycznie połączeń / KSE-020, KSE-024</x:v>
      </x:c>
    </x:row>
    <x:row r="274" ht="38" customHeight="1">
      <x:c r="A274" s="59" t="str">
        <x:v>docs/08_roadmap.md</x:v>
      </x:c>
      <x:c r="B274" s="59" t="str">
        <x:v>Kolejność rozwoju</x:v>
      </x:c>
      <x:c r="C274" s="59" t="str">
        <x:v>2. Relacje i karta stacji / Obiekty mapy powiązane z dokumentami i znanymi projektami / Stabilne ID i przegląd niejednoznacznych dopasowań; projekty pobliskie oddzielone od przypisanych do stacji / KSE-017, KSE-018, KSE-021</x:v>
      </x:c>
    </x:row>
    <x:row r="275" ht="38" customHeight="1">
      <x:c r="A275" s="59" t="str">
        <x:v>docs/08_roadmap.md</x:v>
      </x:c>
      <x:c r="B275" s="59" t="str">
        <x:v>Kolejność rozwoju</x:v>
      </x:c>
      <x:c r="C275" s="59" t="str">
        <x:v>3. Ocena konkretnego projektu / Wyjaśnione przesłanki dla importu, eksportu i terminu / Wniosek ograniczony do napięcia, daty i zakresu dowodów; bez sztucznego score / KSE-022, KSE-023</x:v>
      </x:c>
    </x:row>
    <x:row r="276" ht="38" customHeight="1">
      <x:c r="A276" s="59" t="str">
        <x:v>docs/08_roadmap.md</x:v>
      </x:c>
      <x:c r="B276" s="59" t="str">
        <x:v>Kolejność rozwoju</x:v>
      </x:c>
      <x:c r="C276" s="59" t="str">
        <x:v>4. Historia i przyszła sieć / Co się zmieniło i które inwestycje mogą mieć znaczenie / Zachowane wersje, wykrywanie zmian i usunięć, jawne statusy planu i odbioru; bez automatycznego przyrostu MW / KSE-025, KSE-027</x:v>
      </x:c>
    </x:row>
    <x:row r="277" ht="38" customHeight="1">
      <x:c r="A277" s="59" t="str">
        <x:v>docs/08_roadmap.md</x:v>
      </x:c>
      <x:c r="B277" s="59" t="str">
        <x:v>Kolejność rozwoju</x:v>
      </x:c>
      <x:c r="C277" s="59" t="str">
        <x:v>5. Porównanie stacji / Zestawienie wariantów z widocznymi brakami / Wspólne definicje, okresy i napięcia; brak danych nie daje przewagi w rankingu / KSE-026, KSE-028</x:v>
      </x:c>
    </x:row>
    <x:row r="278" ht="52" customHeight="1">
      <x:c r="A278" s="59" t="str">
        <x:v>docs/08_roadmap.md</x:v>
      </x:c>
      <x:c r="B278" s="59" t="str">
        <x:v>Kolejność rozwoju</x:v>
      </x:c>
      <x:c r="C278" s="59" t="str">
        <x:v>Najbliższy zakres to geometria Radkowic. Najpierw wykorzystać zachowaną próbkę do normalizacji geometrii i identyfikatorów, następnie zwiększać obszar przez odpowiednie źródło wyciągów. Nie stosować cyklicznie głównego API OSM ani masowego pobierania kafli mapy. Nie wprowadzać nowej bazy lub frameworka tylko dla pokazania próbki.</x:v>
      </x:c>
    </x:row>
    <x:row r="279" ht="30" customHeight="1">
      <x:c r="A279" s="59" t="str">
        <x:v>docs/08_roadmap.md</x:v>
      </x:c>
      <x:c r="B279" s="59" t="str">
        <x:v>Realistyczne możliwości</x:v>
      </x:c>
      <x:c r="C279" s="59" t="str">
        <x:v>Funkcja / Wykonalność</x:v>
      </x:c>
    </x:row>
    <x:row r="280" ht="30" customHeight="1">
      <x:c r="A280" s="59" t="str">
        <x:v>docs/08_roadmap.md</x:v>
      </x:c>
      <x:c r="B280" s="59" t="str">
        <x:v>Realistyczne możliwości</x:v>
      </x:c>
      <x:c r="C280" s="59" t="str">
        <x:v>Zachowana geometria OSM / AVAILABLE_DIRECTLY w zakresie próbki; widok wymaga implementacji</x:v>
      </x:c>
    </x:row>
    <x:row r="281" ht="30" customHeight="1">
      <x:c r="A281" s="59" t="str">
        <x:v>docs/08_roadmap.md</x:v>
      </x:c>
      <x:c r="B281" s="59" t="str">
        <x:v>Realistyczne możliwości</x:v>
      </x:c>
      <x:c r="C281" s="59" t="str">
        <x:v>Odległość w linii prostej / CALCULABLE po walidacji współrzędnych i jednostek; nie dowodzi wykonalności trasy</x:v>
      </x:c>
    </x:row>
    <x:row r="282" ht="30" customHeight="1">
      <x:c r="A282" s="59" t="str">
        <x:v>docs/08_roadmap.md</x:v>
      </x:c>
      <x:c r="B282" s="59" t="str">
        <x:v>Realistyczne możliwości</x:v>
      </x:c>
      <x:c r="C282" s="59" t="str">
        <x:v>Znane projekty z publikacji pilota / AVAILABLE_DIRECTLY w zakresie źródeł; pełna lista konkurencji niedostępna</x:v>
      </x:c>
    </x:row>
    <x:row r="283" ht="30" customHeight="1">
      <x:c r="A283" s="59" t="str">
        <x:v>docs/08_roadmap.md</x:v>
      </x:c>
      <x:c r="B283" s="59" t="str">
        <x:v>Realistyczne możliwości</x:v>
      </x:c>
      <x:c r="C283" s="59" t="str">
        <x:v>Kandydaci powiązań sieci / ESTIMABLE jako jawne INFERRED po analizie topologii; potwierdzenie wymaga dowodów</x:v>
      </x:c>
    </x:row>
    <x:row r="284" ht="30" customHeight="1">
      <x:c r="A284" s="59" t="str">
        <x:v>docs/08_roadmap.md</x:v>
      </x:c>
      <x:c r="B284" s="59" t="str">
        <x:v>Realistyczne możliwości</x:v>
      </x:c>
      <x:c r="C284" s="59" t="str">
        <x:v>Zakres planowanej inwestycji / AVAILABLE_DIRECTLY gdy udokumentowany; przyrost MW NOT_CURRENTLY_AVAILABLE</x:v>
      </x:c>
    </x:row>
    <x:row r="285" ht="30" customHeight="1">
      <x:c r="A285" s="59" t="str">
        <x:v>docs/08_roadmap.md</x:v>
      </x:c>
      <x:c r="B285" s="59" t="str">
        <x:v>Realistyczne możliwości</x:v>
      </x:c>
      <x:c r="C285" s="59" t="str">
        <x:v>Aktualne obciążenie linii i transformatorów / NOT_CURRENTLY_AVAILABLE</x:v>
      </x:c>
    </x:row>
    <x:row r="286" ht="30" customHeight="1">
      <x:c r="A286" s="59" t="str">
        <x:v>docs/08_roadmap.md</x:v>
      </x:c>
      <x:c r="B286" s="59" t="str">
        <x:v>Realistyczne możliwości</x:v>
      </x:c>
      <x:c r="C286" s="59" t="str">
        <x:v>Wiarygodna rezerwa importu/eksportu i prawdopodobieństwo WP / NOT_CURRENTLY_AVAILABLE na podstawie obecnej próbki</x:v>
      </x:c>
    </x:row>
    <x:row r="287" ht="52" customHeight="1">
      <x:c r="A287" s="59" t="str">
        <x:v>docs/08_roadmap.md</x:v>
      </x:c>
      <x:c r="B287" s="59" t="str">
        <x:v>Realistyczne możliwości</x:v>
      </x:c>
      <x:c r="C287" s="59" t="str">
        <x:v>Dla SN można rozwijać rozpoznanie stacji i otoczenia; relacja feeder–projekt nadal wymaga źródeł. Dla 110 kV geometria wspiera analizę kandydatów powiązań i inwestycji, lecz nie dowodzi wspólnego ograniczenia. Dla 220/400 kV publikacje PSE wspierają analizę dokumentacyjną, ale nie zastępują stanu pracy KSE ani studium przyłączenia.</x:v>
      </x:c>
    </x:row>
    <x:row r="288" ht="52" customHeight="1">
      <x:c r="A288" s="59" t="str">
        <x:v>docs/08_roadmap.md</x:v>
      </x:c>
      <x:c r="B288" s="59" t="str">
        <x:v>Co może dostarczyć użytkownik</x:v>
      </x:c>
      <x:c r="C288" s="59" t="str">
        <x:v>Rejestr potrzeb data/project/information_requests.json pozostaje źródłem prawdy. Przydatne są aktualny schemat z oznaczeniami pól i granicami własności, jednoznaczna rewizja dokumentacji mostu, potwierdzenia odbioru inwestycji i aktualne publikacje PGE. Nie ponawiamy oczekiwania na niedostępną analizę wpływu. Braki nie blokują mapy dowodów, ale ograniczają wnioski techniczne.</x:v>
      </x:c>
    </x:row>
    <x:row r="289" ht="52" customHeight="1">
      <x:c r="A289" s="59" t="str">
        <x:v>docs/08_roadmap.md</x:v>
      </x:c>
      <x:c r="B289" s="59" t="str">
        <x:v>Co może dostarczyć użytkownik</x:v>
      </x:c>
      <x:c r="C289" s="59" t="str">
        <x:v>Podstawa: audyt GIS i OSM (18_gis_osm_integration.md), działająca aplikacja (17_local_application.md), wykonalność (02_feasibility_matrix.md), pipeline GPZ (gpz_pipeline.md). Dokument nie zmienia metodologii scoringu i nie deklaruje wdrożenia nowych funkcji. Jest wejściem kolejnej wersji automatycznego raportu Excel; wcześniejszy Excel pozostaje historycznym snapshotem.</x:v>
      </x:c>
    </x:row>
    <x:row r="290" ht="38" customHeight="1">
      <x:c r="A290" s="59" t="str">
        <x:v>docs/gpz_pipeline.md</x:v>
      </x:c>
      <x:c r="B290" s="59" t="str">
        <x:v>Widok GPZ — projekty istniejące i pipeline</x:v>
      </x:c>
      <x:c r="C290" s="59" t="str">
        <x:v>Wymaganie użytkownika z 10.09.2026. Status: specyfikacja do pilota, bez wdrożonego interfejsu i bez wprowadzania danych projektowych.</x:v>
      </x:c>
    </x:row>
    <x:row r="291" ht="30" customHeight="1">
      <x:c r="A291" s="59" t="str">
        <x:v>docs/gpz_pipeline.md</x:v>
      </x:c>
      <x:c r="B291" s="59" t="str">
        <x:v>Widok GPZ — projekty istniejące i pipeline</x:v>
      </x:c>
      <x:c r="C291" s="59" t="str">
        <x:v>Po wybraniu GPZ użytkownik powinien zobaczyć projekty w trzech grupach, z datą stanu źródeł i możliwością obejrzenia dowodów:</x:v>
      </x:c>
    </x:row>
    <x:row r="292" ht="30" customHeight="1">
      <x:c r="A292" s="59" t="str">
        <x:v>docs/gpz_pipeline.md</x:v>
      </x:c>
      <x:c r="B292" s="59" t="str">
        <x:v>Widok GPZ — projekty istniejące i pipeline</x:v>
      </x:c>
      <x:c r="C292" s="59" t="str">
        <x:v>Grupa / Warunek zakwalifikowania / Szczegóły widoczne dla użytkownika</x:v>
      </x:c>
    </x:row>
    <x:row r="293" ht="38" customHeight="1">
      <x:c r="A293" s="59" t="str">
        <x:v>docs/gpz_pipeline.md</x:v>
      </x:c>
      <x:c r="B293" s="59" t="str">
        <x:v>Widok GPZ — projekty istniejące i pipeline</x:v>
      </x:c>
      <x:c r="C293" s="59" t="str">
        <x:v>A. Przyłączone / Źródło potwierdza wykonane przyłączenie do tej stacji / Data przyłączenia, status eksploatacji, jeśli osobno znany; sama umowa lub WP nie wystarcza</x:v>
      </x:c>
    </x:row>
    <x:row r="294" ht="38" customHeight="1">
      <x:c r="A294" s="59" t="str">
        <x:v>docs/gpz_pipeline.md</x:v>
      </x:c>
      <x:c r="B294" s="59" t="str">
        <x:v>Widok GPZ — projekty istniejące i pipeline</x:v>
      </x:c>
      <x:c r="C294" s="59" t="str">
        <x:v>B. Planowane do przyłączenia / Udokumentowane planowane przyłączenie, bez potwierdzenia wykonania / Osobno: plan wstępny, wydane WP, umowa, budowa; plan bez wniosku nie jest rezerwacją mocy</x:v>
      </x:c>
    </x:row>
    <x:row r="295" ht="38" customHeight="1">
      <x:c r="A295" s="59" t="str">
        <x:v>docs/gpz_pipeline.md</x:v>
      </x:c>
      <x:c r="B295" s="59" t="str">
        <x:v>Widok GPZ — projekty istniejące i pipeline</x:v>
      </x:c>
      <x:c r="C295"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96" ht="52" customHeight="1">
      <x:c r="A296" s="59" t="str">
        <x:v>docs/gpz_pipeline.md</x:v>
      </x:c>
      <x:c r="B296" s="59" t="str">
        <x:v>Widok GPZ — projekty istniejące i pipeline</x:v>
      </x:c>
      <x:c r="C296"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97" ht="52" customHeight="1">
      <x:c r="A297" s="59" t="str">
        <x:v>docs/gpz_pipeline.md</x:v>
      </x:c>
      <x:c r="B297" s="59" t="str">
        <x:v>Widok GPZ — projekty istniejące i pipeline</x:v>
      </x:c>
      <x:c r="C297"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98" ht="52" customHeight="1">
      <x:c r="A298" s="59" t="str">
        <x:v>docs/gpz_pipeline.md</x:v>
      </x:c>
      <x:c r="B298" s="59" t="str">
        <x:v>Powiązanie projektu ze stacją</x:v>
      </x:c>
      <x:c r="C298"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99" ht="52" customHeight="1">
      <x:c r="A299" s="59" t="str">
        <x:v>docs/gpz_pipeline.md</x:v>
      </x:c>
      <x:c r="B299" s="59" t="str">
        <x:v>Powiązanie projektu ze stacją</x:v>
      </x:c>
      <x:c r="C299"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300" ht="52" customHeight="1">
      <x:c r="A300" s="59" t="str">
        <x:v>docs/gpz_pipeline.md</x:v>
      </x:c>
      <x:c r="B300" s="59" t="str">
        <x:v>Informacje i podsumowania</x:v>
      </x:c>
      <x:c r="C300"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301" ht="52" customHeight="1">
      <x:c r="A301" s="59" t="str">
        <x:v>docs/gpz_pipeline.md</x:v>
      </x:c>
      <x:c r="B301" s="59" t="str">
        <x:v>Informacje i podsumowania</x:v>
      </x:c>
      <x:c r="C301"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302" ht="52" customHeight="1">
      <x:c r="A302" s="59" t="str">
        <x:v>docs/gpz_pipeline.md</x:v>
      </x:c>
      <x:c r="B302" s="59" t="str">
        <x:v>Informacje i podsumowania</x:v>
      </x:c>
      <x:c r="C302"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303" ht="52" customHeight="1">
      <x:c r="A303" s="59" t="str">
        <x:v>docs/gpz_pipeline.md</x:v>
      </x:c>
      <x:c r="B303" s="59" t="str">
        <x:v>Informacje i podsumowania</x:v>
      </x:c>
      <x:c r="C303"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304" ht="80" customHeight="1">
      <x:c r="A304" s="59" t="str">
        <x:v>docs/gpz_pipeline.md</x:v>
      </x:c>
      <x:c r="B304" s="59" t="str">
        <x:v>Warunki gotowości pilota</x:v>
      </x:c>
      <x:c r="C304"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305" ht="38" customHeight="1">
      <x:c r="A305" s="59" t="str">
        <x:v>docs/gpz_pipeline.md</x:v>
      </x:c>
      <x:c r="B305" s="59" t="str">
        <x:v>Warunki gotowości pilota</x:v>
      </x:c>
      <x:c r="C305" s="59" t="str">
        <x:v>Źródła kandydackie i ich ograniczenia są już opisane w katalogu (data_sources.md) oraz macierzy wykonalności (02_feasibility_matrix.md). Specyfikacja nie potwierdza kompletności takich list dla wszystkich GPZ w Polsce.</x:v>
      </x:c>
    </x:row>
    <x:row r="306" ht="52" customHeight="1">
      <x:c r="A306" s="59" t="str">
        <x:v>docs/gpz_pipeline.md</x:v>
      </x:c>
      <x:c r="B306" s="59" t="str">
        <x:v>Działający widok badawczy Radkowic — 16.09.2026</x:v>
      </x:c>
      <x:c r="C306"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307" ht="30" customHeight="1">
      <x:c r="A307" s="59" t="str">
        <x:v>docs/gpz_pipeline.md</x:v>
      </x:c>
      <x:c r="B307" s="59" t="str">
        <x:v>Działający widok badawczy Radkowic — 16.09.2026</x:v>
      </x:c>
      <x:c r="C307" s="59" t="str">
        <x:v>Wpis PSE / Eksport przyłączeniowy MW / Import przyłączeniowy MW / Wiersz</x:v>
      </x:c>
    </x:row>
    <x:row r="308" ht="30" customHeight="1">
      <x:c r="A308" s="59" t="str">
        <x:v>docs/gpz_pipeline.md</x:v>
      </x:c>
      <x:c r="B308" s="59" t="str">
        <x:v>Działający widok badawczy Radkowic — 16.09.2026</x:v>
      </x:c>
      <x:c r="C308" s="59" t="str">
        <x:v>MEE Chałupki / 96,96 / 98,8992 / 787</x:v>
      </x:c>
    </x:row>
    <x:row r="309" ht="30" customHeight="1">
      <x:c r="A309" s="59" t="str">
        <x:v>docs/gpz_pipeline.md</x:v>
      </x:c>
      <x:c r="B309" s="59" t="str">
        <x:v>Działający widok badawczy Radkowic — 16.09.2026</x:v>
      </x:c>
      <x:c r="C309" s="59" t="str">
        <x:v>MEE Radkowice / 50 / 50 / 843</x:v>
      </x:c>
    </x:row>
    <x:row r="310" ht="30" customHeight="1">
      <x:c r="A310" s="59" t="str">
        <x:v>docs/gpz_pipeline.md</x:v>
      </x:c>
      <x:c r="B310" s="59" t="str">
        <x:v>Działający widok badawczy Radkowic — 16.09.2026</x:v>
      </x:c>
      <x:c r="C310" s="59" t="str">
        <x:v>MEE Chęciny / 100 / 102 / 847</x:v>
      </x:c>
    </x:row>
    <x:row r="311" ht="80" customHeight="1">
      <x:c r="A311" s="59" t="str">
        <x:v>docs/gpz_pipeline.md</x:v>
      </x:c>
      <x:c r="B311" s="59" t="str">
        <x:v>Działający widok badawczy Radkowic — 16.09.2026</x:v>
      </x:c>
      <x:c r="C311"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312" ht="66" customHeight="1">
      <x:c r="A312" s="59" t="str">
        <x:v>docs/gpz_pipeline.md</x:v>
      </x:c>
      <x:c r="B312" s="59" t="str">
        <x:v>Działający widok badawczy Radkowic — 16.09.2026</x:v>
      </x:c>
      <x:c r="C312"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313" ht="52" customHeight="1">
      <x:c r="A313" s="59" t="str">
        <x:v>docs/gpz_pipeline.md</x:v>
      </x:c>
      <x:c r="B313" s="59" t="str">
        <x:v>Działający widok badawczy Radkowic — 16.09.2026</x:v>
      </x:c>
      <x:c r="C313"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314" ht="66" customHeight="1">
      <x:c r="A314" s="59" t="str">
        <x:v>docs/gpz_pipeline.md</x:v>
      </x:c>
      <x:c r="B314" s="59" t="str">
        <x:v>Działający widok badawczy Radkowic — 16.09.2026</x:v>
      </x:c>
      <x:c r="C314"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315" ht="66" customHeight="1">
      <x:c r="A315" s="59" t="str">
        <x:v>docs/gpz_pipeline.md</x:v>
      </x:c>
      <x:c r="B315" s="59" t="str">
        <x:v>Kontrola ponownego uruchomienia — 16.09.2026</x:v>
      </x:c>
      <x:c r="C315"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316" ht="80" customHeight="1">
      <x:c r="A316" s="59" t="str">
        <x:v>docs/decision_log.md</x:v>
      </x:c>
      <x:c r="B316" s="59" t="str">
        <x:v>2026-09-10 — Zakres etapu 1</x:v>
      </x:c>
      <x:c r="C316"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317" ht="80" customHeight="1">
      <x:c r="A317" s="59" t="str">
        <x:v>docs/decision_log.md</x:v>
      </x:c>
      <x:c r="B317" s="59" t="str">
        <x:v>2026-09-10 — Proweniencja i status weryfikacji</x:v>
      </x:c>
      <x:c r="C317"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318" ht="80" customHeight="1">
      <x:c r="A318" s="59" t="str">
        <x:v>docs/decision_log.md</x:v>
      </x:c>
      <x:c r="B318" s="59" t="str">
        <x:v>2026-09-10 — Brak sztucznej dokładności i scoringu</x:v>
      </x:c>
      <x:c r="C318"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319" ht="94" customHeight="1">
      <x:c r="A319" s="59" t="str">
        <x:v>docs/decision_log.md</x:v>
      </x:c>
      <x:c r="B319" s="59" t="str">
        <x:v>2026-09-10 — Daty i grupy raportowania są częścią danych</x:v>
      </x:c>
      <x:c r="C319"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320" ht="38" customHeight="1">
      <x:c r="A320" s="59" t="str">
        <x:v>docs/decision_log.md</x:v>
      </x:c>
      <x:c r="B320" s="59" t="str">
        <x:v>2026-09-10 — Daty i grupy raportowania są częścią danych</x:v>
      </x:c>
      <x:c r="C320" s="59" t="str">
        <x:v>Consequences: Rozstrzygnięcie konfliktu i interpretacja tabel są warunkami normalizacji.</x:v>
      </x:c>
    </x:row>
    <x:row r="321" ht="80" customHeight="1">
      <x:c r="A321" s="59" t="str">
        <x:v>docs/decision_log.md</x:v>
      </x:c>
      <x:c r="B321" s="59" t="str">
        <x:v>2026-09-10 — Architektura pozostaje propozycją</x:v>
      </x:c>
      <x:c r="C321"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322" ht="94" customHeight="1">
      <x:c r="A322" s="59" t="str">
        <x:v>docs/decision_log.md</x:v>
      </x:c>
      <x:c r="B322" s="59" t="str">
        <x:v>2026-09-10 — Git i odtwarzalne snapshoty</x:v>
      </x:c>
      <x:c r="C322"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323" ht="38" customHeight="1">
      <x:c r="A323" s="59" t="str">
        <x:v>docs/decision_log.md</x:v>
      </x:c>
      <x:c r="B323" s="59" t="str">
        <x:v>2026-09-10 — Git i odtwarzalne snapshoty</x:v>
      </x:c>
      <x:c r="C323" s="59" t="str">
        <x:v>ZIP; nie skonfigurowano zewnętrznego magazynu danych. Consequences: Autor z adresem GitHub noreply, lokalne commity po sprawdzeniu, push odrębny od zapisu lokalnego; zależności badawcze przypięte do wersji.</x:v>
      </x:c>
    </x:row>
    <x:row r="324" ht="30" customHeight="1">
      <x:c r="A324" s="59" t="str">
        <x:v>docs/decision_log.md</x:v>
      </x:c>
      <x:c r="B324" s="59" t="str">
        <x:v>2026-09-10 — Lokalne sekrety i widok pipeline GPZ</x:v>
      </x:c>
      <x:c r="C324" s="59" t="str">
        <x:v>Date: 2026-09-10</x:v>
      </x:c>
    </x:row>
    <x:row r="325" ht="30" customHeight="1">
      <x:c r="A325" s="59" t="str">
        <x:v>docs/decision_log.md</x:v>
      </x:c>
      <x:c r="B325" s="59" t="str">
        <x:v>2026-09-10 — Lokalne sekrety i widok pipeline GPZ</x:v>
      </x:c>
      <x:c r="C325" s="59" t="str">
        <x:v>Decision: Wykluczyć _secrets/ z Git i opisać trzy grupy projektów wybranego GPZ.</x:v>
      </x:c>
    </x:row>
    <x:row r="326" ht="38" customHeight="1">
      <x:c r="A326" s="59" t="str">
        <x:v>docs/decision_log.md</x:v>
      </x:c>
      <x:c r="B326" s="59" t="str">
        <x:v>2026-09-10 — Lokalne sekrety i widok pipeline GPZ</x:v>
      </x:c>
      <x:c r="C326" s="59" t="str">
        <x:v>Context: Użytkownik dodał lokalne poświadczenie ENTSO-E oraz wskazał potrzebę rozróżnienia projektów przyłączonych, planowanych i wniosków bez odpowiedzi.</x:v>
      </x:c>
    </x:row>
    <x:row r="327" ht="38" customHeight="1">
      <x:c r="A327" s="59" t="str">
        <x:v>docs/decision_log.md</x:v>
      </x:c>
      <x:c r="B327" s="59" t="str">
        <x:v>2026-09-10 — Lokalne sekrety i widok pipeline GPZ</x:v>
      </x:c>
      <x:c r="C327" s="59" t="str">
        <x:v>Options considered: Sam status projektu; odrębne wykonanie przyłączenia, eksploatacja i procedury wniosków. Interpretowanie pustej daty odpowiedzi jako oczekiwania albo jawne UNKNOWN.</x:v>
      </x:c>
    </x:row>
    <x:row r="328" ht="38" customHeight="1">
      <x:c r="A328" s="59" t="str">
        <x:v>docs/decision_log.md</x:v>
      </x:c>
      <x:c r="B328" s="59" t="str">
        <x:v>2026-09-10 — Lokalne sekrety i widok pipeline GPZ</x:v>
      </x:c>
      <x:c r="C328" s="59" t="str">
        <x:v>Selected option: Specyfikacja gpz_pipeline.md, odrębne wnioski i dowody statusu; brak potwierdzenia odpowiedzi nie jest potwierdzonym oczekiwaniem. Folder sekretów ignorowany rekurencyjnie, bez odczytu zawartości.</x:v>
      </x:c>
    </x:row>
    <x:row r="329" ht="30" customHeight="1">
      <x:c r="A329" s="59" t="str">
        <x:v>docs/decision_log.md</x:v>
      </x:c>
      <x:c r="B329" s="59" t="str">
        <x:v>2026-09-10 — Lokalne sekrety i widok pipeline GPZ</x:v>
      </x:c>
      <x:c r="C329" s="59" t="str">
        <x:v>Reason: Użyteczność raportu GPZ przy zachowaniu poprawnych statusów, deduplikacji i ochrony poświadczeń.</x:v>
      </x:c>
    </x:row>
    <x:row r="330" ht="30" customHeight="1">
      <x:c r="A330" s="59" t="str">
        <x:v>docs/decision_log.md</x:v>
      </x:c>
      <x:c r="B330" s="59" t="str">
        <x:v>2026-09-10 — Lokalne sekrety i widok pipeline GPZ</x:v>
      </x:c>
      <x:c r="C330" s="59" t="str">
        <x:v>Trade-offs: Nie każdy publiczny rekord pozwala wypełnić jedną z trzech grup; potrzebna kategoria nieznana/konfliktowa.</x:v>
      </x:c>
    </x:row>
    <x:row r="331" ht="30" customHeight="1">
      <x:c r="A331" s="59" t="str">
        <x:v>docs/decision_log.md</x:v>
      </x:c>
      <x:c r="B331" s="59" t="str">
        <x:v>2026-09-10 — Lokalne sekrety i widok pipeline GPZ</x:v>
      </x:c>
      <x:c r="C331" s="59" t="str">
        <x:v>Consequences: Rozszerzono wymagania pilota i modelu danych; nie wdrożono jeszcze funkcji ani nie użyto klucza API.</x:v>
      </x:c>
    </x:row>
    <x:row r="332" ht="30" customHeight="1">
      <x:c r="A332" s="59" t="str">
        <x:v>docs/decision_log.md</x:v>
      </x:c>
      <x:c r="B332" s="59" t="str">
        <x:v>2026-09-10 — Stały TODO i generowany raport Excel</x:v>
      </x:c>
      <x:c r="C332" s="59" t="str">
        <x:v>Date: 2026-09-10</x:v>
      </x:c>
    </x:row>
    <x:row r="333" ht="30" customHeight="1">
      <x:c r="A333" s="59" t="str">
        <x:v>docs/decision_log.md</x:v>
      </x:c>
      <x:c r="B333" s="59" t="str">
        <x:v>2026-09-10 — Stały TODO i generowany raport Excel</x:v>
      </x:c>
      <x:c r="C333" s="59" t="str">
        <x:v>Decision: Utrzymywać jeden strukturalny rejestr zadań i generować z plików projektu szczegółowy raport XLSX.</x:v>
      </x:c>
    </x:row>
    <x:row r="334" ht="30" customHeight="1">
      <x:c r="A334" s="59" t="str">
        <x:v>docs/decision_log.md</x:v>
      </x:c>
      <x:c r="B334" s="59" t="str">
        <x:v>2026-09-10 — Stały TODO i generowany raport Excel</x:v>
      </x:c>
      <x:c r="C334" s="59" t="str">
        <x:v>Context: Użytkownik poprosił o prowadzenie TODO oraz skrypt do pełnego raportowania projektu; wybrał szablon Project Tracker.</x:v>
      </x:c>
    </x:row>
    <x:row r="335" ht="38" customHeight="1">
      <x:c r="A335" s="59" t="str">
        <x:v>docs/decision_log.md</x:v>
      </x:c>
      <x:c r="B335" s="59" t="str">
        <x:v>2026-09-10 — Stały TODO i generowany raport Excel</x:v>
      </x:c>
      <x:c r="C335" s="59" t="str">
        <x:v>Options considered: Ręcznie aktualizowany Excel; osobne niesynchronizowane listy; JSON jako źródło i generowane widoki Markdown/Excel.</x:v>
      </x:c>
    </x:row>
    <x:row r="336" ht="38" customHeight="1">
      <x:c r="A336" s="59" t="str">
        <x:v>docs/decision_log.md</x:v>
      </x:c>
      <x:c r="B336" s="59" t="str">
        <x:v>2026-09-10 — Stały TODO i generowany raport Excel</x:v>
      </x:c>
      <x:c r="C336" s="59" t="str">
        <x:v>Selected option: data/project/todo.json, stałe ID, zależności i kryteria; generator Node.js z dołączonym artifact-tool oraz zachowanym szablonem. Pełny raport obejmuje wszystkie źródła, wykonalność, ryzyka, dokumentację i zapisane kontrole.</x:v>
      </x:c>
    </x:row>
    <x:row r="337" ht="38" customHeight="1">
      <x:c r="A337" s="59" t="str">
        <x:v>docs/decision_log.md</x:v>
      </x:c>
      <x:c r="B337" s="59" t="str">
        <x:v>2026-09-10 — Stały TODO i generowany raport Excel</x:v>
      </x:c>
      <x:c r="C337" s="59" t="str">
        <x:v>Reason: Utrzymanie historii w Git i odtwarzalnego powiązania raportu z konkretnymi wejściami. Brak podwójnej ręcznej edycji statusów.</x:v>
      </x:c>
    </x:row>
    <x:row r="338" ht="52" customHeight="1">
      <x:c r="A338" s="59" t="str">
        <x:v>docs/decision_log.md</x:v>
      </x:c>
      <x:c r="B338" s="59" t="str">
        <x:v>2026-09-10 — Stały TODO i generowany raport Excel</x:v>
      </x:c>
      <x:c r="C338"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39" ht="38" customHeight="1">
      <x:c r="A339" s="59" t="str">
        <x:v>docs/decision_log.md</x:v>
      </x:c>
      <x:c r="B339" s="59" t="str">
        <x:v>2026-09-10 — Stały TODO i generowany raport Excel</x:v>
      </x:c>
      <x:c r="C339" s="59" t="str">
        <x:v>Consequences: Dodano walidację zależności, dowodów zakończenia, schematu wykonalności oraz manifest raportu z hashami wejść. Sekrety pozostają poza raportem. Nie rozpoczęto implementacji analitycznej aplikacji.</x:v>
      </x:c>
    </x:row>
    <x:row r="340" ht="38" customHeight="1">
      <x:c r="A340" s="59" t="str">
        <x:v>docs/decision_log.md</x:v>
      </x:c>
      <x:c r="B340" s="59" t="str">
        <x:v>2026-09-11 — kwarantanna sprzecznej daty pipeline</x:v>
      </x:c>
      <x:c r="C340" s="59" t="str">
        <x:v>Decision / Context: Publikacja Energi wskazuje różne daty w nazwie pliku i nagłówku. Ponowny odczyt oficjalnej strony nie dostarczył rozstrzygnięcia.</x:v>
      </x:c>
    </x:row>
    <x:row r="341" ht="30" customHeight="1">
      <x:c r="A341" s="59" t="str">
        <x:v>docs/decision_log.md</x:v>
      </x:c>
      <x:c r="B341" s="59" t="str">
        <x:v>2026-09-11 — kwarantanna sprzecznej daty pipeline</x:v>
      </x:c>
      <x:c r="C341" s="59" t="str">
        <x:v>Options considered: Data z nazwy; data z nagłówka; zachowanie wszystkich twierdzeń i kwarantanna.</x:v>
      </x:c>
    </x:row>
    <x:row r="342" ht="38" customHeight="1">
      <x:c r="A342" s="59" t="str">
        <x:v>docs/decision_log.md</x:v>
      </x:c>
      <x:c r="B342" s="59" t="str">
        <x:v>2026-09-11 — kwarantanna sprzecznej daty pipeline</x:v>
      </x:c>
      <x:c r="C342" s="59" t="str">
        <x:v>Selected option / Reason: Ostatni wariant, source_date=null, DATE_CONFLICT. Nie ma podstaw do wyboru jednej daty dla całego zbioru. KSE-008 kończy się kontrolą ryzyka, a nie usunięciem sprzeczności u operatora.</x:v>
      </x:c>
    </x:row>
    <x:row r="343" ht="52" customHeight="1">
      <x:c r="A343" s="59" t="str">
        <x:v>docs/decision_log.md</x:v>
      </x:c>
      <x:c r="B343" s="59" t="str">
        <x:v>2026-09-11 — kwarantanna sprzecznej daty pipeline</x:v>
      </x:c>
      <x:c r="C343"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44" ht="38" customHeight="1">
      <x:c r="A344" s="59" t="str">
        <x:v>docs/decision_log.md</x:v>
      </x:c>
      <x:c r="B344" s="59" t="str">
        <x:v>2026-09-11 — Radkowice jako obszar pilota dokumentacyjnego</x:v>
      </x:c>
      <x:c r="C344" s="59" t="str">
        <x:v>Decision / Context: Użytkownik zaproponował Radkowice 220/110 kV i dopuścił lepiej udokumentowaną alternatywę.</x:v>
      </x:c>
    </x:row>
    <x:row r="345" ht="38" customHeight="1">
      <x:c r="A345" s="59" t="str">
        <x:v>docs/decision_log.md</x:v>
      </x:c>
      <x:c r="B345" s="59" t="str">
        <x:v>2026-09-11 — Radkowice jako obszar pilota dokumentacyjnego</x:v>
      </x:c>
      <x:c r="C345" s="59" t="str">
        <x:v>Options considered: Radkowice; Kościerzyna z publikacji Energi; dalsze poszukiwanie stacji bez wskazania użytkownika.</x:v>
      </x:c>
    </x:row>
    <x:row r="346" ht="52" customHeight="1">
      <x:c r="A346" s="59" t="str">
        <x:v>docs/decision_log.md</x:v>
      </x:c>
      <x:c r="B346" s="59" t="str">
        <x:v>2026-09-11 — Radkowice jako obszar pilota dokumentacyjnego</x:v>
      </x:c>
      <x:c r="C346"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47" ht="66" customHeight="1">
      <x:c r="A347" s="59" t="str">
        <x:v>docs/decision_log.md</x:v>
      </x:c>
      <x:c r="B347" s="59" t="str">
        <x:v>2026-09-11 — Radkowice jako obszar pilota dokumentacyjnego</x:v>
      </x:c>
      <x:c r="C347"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48" ht="38" customHeight="1">
      <x:c r="A348" s="59" t="str">
        <x:v>docs/decision_log.md</x:v>
      </x:c>
      <x:c r="B348" s="59" t="str">
        <x:v>2026-09-11 — eksperymentalny graf dowodów, bez bazy produkcyjnej</x:v>
      </x:c>
      <x:c r="C348" s="59" t="str">
        <x:v>Decision / Context: Dostępne źródła pozwalają przetestować część relacji przed pełnym modelem pilota; brak granic własności i parametrów elektrycznych.</x:v>
      </x:c>
    </x:row>
    <x:row r="349" ht="38" customHeight="1">
      <x:c r="A349" s="59" t="str">
        <x:v>docs/decision_log.md</x:v>
      </x:c>
      <x:c r="B349" s="59" t="str">
        <x:v>2026-09-11 — eksperymentalny graf dowodów, bez bazy produkcyjnej</x:v>
      </x:c>
      <x:c r="C349" s="59" t="str">
        <x:v>Options considered: Czekać na komplet źródeł; uruchomić pełną bazę; przetestować niewielki graf dokumentacyjny w JSON z walidacją.</x:v>
      </x:c>
    </x:row>
    <x:row r="350" ht="38" customHeight="1">
      <x:c r="A350" s="59" t="str">
        <x:v>docs/decision_log.md</x:v>
      </x:c>
      <x:c r="B350" s="59" t="str">
        <x:v>2026-09-11 — eksperymentalny graf dowodów, bez bazy produkcyjnej</x:v>
      </x:c>
      <x:c r="C350" s="59" t="str">
        <x:v>Selected option / Reason: JSON i walidator Python, bez nowych zależności. Każde twierdzenie ma dowód, daty i hash. To odtwarzalny eksperyment reprezentacji danych; nie zmienia otwartych warunków produkcyjnego wykorzystania źródeł.</x:v>
      </x:c>
    </x:row>
    <x:row r="351" ht="52" customHeight="1">
      <x:c r="A351" s="59" t="str">
        <x:v>docs/decision_log.md</x:v>
      </x:c>
      <x:c r="B351" s="59" t="str">
        <x:v>2026-09-11 — eksperymentalny graf dowodów, bez bazy produkcyjnej</x:v>
      </x:c>
      <x:c r="C351"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52" ht="94" customHeight="1">
      <x:c r="A352" s="59" t="str">
        <x:v>docs/decision_log.md</x:v>
      </x:c>
      <x:c r="B352" s="59" t="str">
        <x:v>11.09.2026 — graf v2 i prywatne materiały</x:v>
      </x:c>
      <x:c r="C352"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53" ht="30" customHeight="1">
      <x:c r="A353" s="59" t="str">
        <x:v>docs/decision_log.md</x:v>
      </x:c>
      <x:c r="B353" s="59" t="str">
        <x:v>11.09.2026 — graf v2 i prywatne materiały</x:v>
      </x:c>
      <x:c r="C353" s="59" t="str">
        <x:v>dostępu.</x:v>
      </x:c>
    </x:row>
    <x:row r="354" ht="94" customHeight="1">
      <x:c r="A354" s="59" t="str">
        <x:v>docs/decision_log.md</x:v>
      </x:c>
      <x:c r="B354" s="59" t="str">
        <x:v>11.09.2026 — niezależna ewidencja wspólnego przyłącza</x:v>
      </x:c>
      <x:c r="C354"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55" ht="38" customHeight="1">
      <x:c r="A355" s="59" t="str">
        <x:v>docs/decision_log.md</x:v>
      </x:c>
      <x:c r="B355" s="59" t="str">
        <x:v>11.09.2026 — niezależna ewidencja wspólnego przyłącza</x:v>
      </x:c>
      <x:c r="C355" s="59" t="str">
        <x:v>ponieważ nie ukończono historii i integracji aplikacyjnej.</x:v>
      </x:c>
    </x:row>
    <x:row r="356" ht="94" customHeight="1">
      <x:c r="A356" s="59" t="str">
        <x:v>docs/decision_log.md</x:v>
      </x:c>
      <x:c r="B356" s="59" t="str">
        <x:v>2026-09-15 — oddzielny czas wiedzy i ważności obserwacji</x:v>
      </x:c>
      <x:c r="C356"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57" ht="38" customHeight="1">
      <x:c r="A357" s="59" t="str">
        <x:v>docs/decision_log.md</x:v>
      </x:c>
      <x:c r="B357" s="59" t="str">
        <x:v>2026-09-15 — oddzielny czas wiedzy i ważności obserwacji</x:v>
      </x:c>
      <x:c r="C357" s="59" t="str">
        <x:v>czas 15 września. Prywatność dziedziczy cały wynik widocznej historii pola. KSE-033 pozostaje w toku. Szczegóły: docs/14_observation_history.md.</x:v>
      </x:c>
    </x:row>
    <x:row r="358" ht="94" customHeight="1">
      <x:c r="A358" s="59" t="str">
        <x:v>docs/decision_log.md</x:v>
      </x:c>
      <x:c r="B358" s="59" t="str">
        <x:v>2026-09-15 — odtwarzanie przypisań z historii dowodów</x:v>
      </x:c>
      <x:c r="C358"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59" ht="38" customHeight="1">
      <x:c r="A359" s="59" t="str">
        <x:v>docs/decision_log.md</x:v>
      </x:c>
      <x:c r="B359" s="59" t="str">
        <x:v>2026-09-15 — odtwarzanie przypisań z historii dowodów</x:v>
      </x:c>
      <x:c r="C359" s="59" t="str">
        <x:v>publiczne wpisy projektów przy Radkowicach nie stają się przypisaniami do mostu. Integracja jest biblioteką, bez trwałego magazynu i bez nowych faktów sieciowych. KSE-033 nadal w toku.</x:v>
      </x:c>
    </x:row>
    <x:row r="360" ht="94" customHeight="1">
      <x:c r="A360" s="59" t="str">
        <x:v>docs/decision_log.md</x:v>
      </x:c>
      <x:c r="B360" s="59" t="str">
        <x:v>2026-09-15 — plikowy replay historii z manifestem</x:v>
      </x:c>
      <x:c r="C360"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61" ht="38" customHeight="1">
      <x:c r="A361" s="59" t="str">
        <x:v>docs/decision_log.md</x:v>
      </x:c>
      <x:c r="B361" s="59" t="str">
        <x:v>2026-09-15 — plikowy replay historii z manifestem</x:v>
      </x:c>
      <x:c r="C361" s="59" t="str">
        <x:v>czasem zapytania. Dekoder JSON jest wspólny dla obu runnerów, jego hash jest zachowany. KSE-033 pozostaje otwarte do dalszej integracji i historii parametrów.</x:v>
      </x:c>
    </x:row>
    <x:row r="362" ht="94" customHeight="1">
      <x:c r="A362" s="59" t="str">
        <x:v>docs/decision_log.md</x:v>
      </x:c>
      <x:c r="B362" s="59" t="str">
        <x:v>2026-09-15 — jawnie wybierana wersja parametrów historycznych v2</x:v>
      </x:c>
      <x:c r="C362"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63" ht="38" customHeight="1">
      <x:c r="A363" s="59" t="str">
        <x:v>docs/decision_log.md</x:v>
      </x:c>
      <x:c r="B363" s="59" t="str">
        <x:v>2026-09-15 — jawnie wybierana wersja parametrów historycznych v2</x:v>
      </x:c>
      <x:c r="C363" s="59" t="str">
        <x:v>liczbowych. Consequences: jawne jednostki i dowody są obowiązkowe; raportowane limity nie są dostępnymi MW. Nie dodano parametrów Radkowic bez dowodów. Kod i testy bez nowych zależności; manifest obejmuje nowy moduł. KSE-033 nadal w toku.</x:v>
      </x:c>
    </x:row>
    <x:row r="364" ht="94" customHeight="1">
      <x:c r="A364" s="59" t="str">
        <x:v>docs/decision_log.md</x:v>
      </x:c>
      <x:c r="B364" s="59" t="str">
        <x:v>2026-09-15 — rejestr potrzeb użytkownika w raporcie</x:v>
      </x:c>
      <x:c r="C364"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65" ht="38" customHeight="1">
      <x:c r="A365" s="59" t="str">
        <x:v>docs/decision_log.md</x:v>
      </x:c>
      <x:c r="B365" s="59" t="str">
        <x:v>2026-09-15 — rejestr potrzeb użytkownika w raporcie</x:v>
      </x:c>
      <x:c r="C365" s="59" t="str">
        <x:v>pozycje niedostępne i otrzymane pozostają widoczne. Bez ponawiania prośby o ekspertyzę lub już dostarczone WP. Prywatna treść nie trafia do rejestru ani ogólnego raportu.</x:v>
      </x:c>
    </x:row>
    <x:row r="366" ht="94" customHeight="1">
      <x:c r="A366" s="59" t="str">
        <x:v>docs/decision_log.md</x:v>
      </x:c>
      <x:c r="B366" s="59" t="str">
        <x:v>2026-09-15 — walidacja katalogu obejmująca wiele dat pobrań</x:v>
      </x:c>
      <x:c r="C366"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67" ht="38" customHeight="1">
      <x:c r="A367" s="59" t="str">
        <x:v>docs/decision_log.md</x:v>
      </x:c>
      <x:c r="B367" s="59" t="str">
        <x:v>2026-09-15 — walidacja katalogu obejmująca wiele dat pobrań</x:v>
      </x:c>
      <x:c r="C367" s="59" t="str">
        <x:v>nadal dotyczą swoich datowanych próbek. Consequences: 35 plików objętych kontrolą, bez włączania data/private i _secrets. Nowe źródła nie oznaczają nowych parametrów sieci w grafie.</x:v>
      </x:c>
    </x:row>
    <x:row r="368" ht="94" customHeight="1">
      <x:c r="A368" s="59" t="str">
        <x:v>docs/decision_log.md</x:v>
      </x:c>
      <x:c r="B368" s="59" t="str">
        <x:v>2026-09-16 — odtwarzanie jawnie wybranego archiwum</x:v>
      </x:c>
      <x:c r="C368"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69" ht="38" customHeight="1">
      <x:c r="A369" s="59" t="str">
        <x:v>docs/decision_log.md</x:v>
      </x:c>
      <x:c r="B369" s="59" t="str">
        <x:v>2026-09-16 — odtwarzanie jawnie wybranego archiwum</x:v>
      </x:c>
      <x:c r="C369" s="59" t="str">
        <x:v>sprawdzono wszystkie sześć istniejących archiwów, 42 elementy. Nie poszerzono zakresu o prywatne dane ani sekrety. Zewnętrzna kopia nadal niepotwierdzona.</x:v>
      </x:c>
    </x:row>
    <x:row r="370" ht="94" customHeight="1">
      <x:c r="A370" s="59" t="str">
        <x:v>docs/decision_log.md</x:v>
      </x:c>
      <x:c r="B370" s="59" t="str">
        <x:v>2026-09-16 — widok pipeline ograniczony do zachowanej próbki</x:v>
      </x:c>
      <x:c r="C370"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71" ht="38" customHeight="1">
      <x:c r="A371" s="59" t="str">
        <x:v>docs/decision_log.md</x:v>
      </x:c>
      <x:c r="B371" s="59" t="str">
        <x:v>2026-09-16 — widok pipeline ograniczony do zachowanej próbki</x:v>
      </x:c>
      <x:c r="C371" s="59" t="str">
        <x:v>mocy są CALCULATED, liczą rekordy, nie przepływy ani rezerwę MW. Brak podstaw do zamknięcia KSE-021 i przypisywania wpisów do mostu.</x:v>
      </x:c>
    </x:row>
    <x:row r="372" ht="94" customHeight="1">
      <x:c r="A372" s="59" t="str">
        <x:v>docs/decision_log.md</x:v>
      </x:c>
      <x:c r="B372" s="59" t="str">
        <x:v>2026-09-16 — pierwsza lokalna aplikacja oceny przesłanek</x:v>
      </x:c>
      <x:c r="C372"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73" ht="52" customHeight="1">
      <x:c r="A373" s="59" t="str">
        <x:v>docs/decision_log.md</x:v>
      </x:c>
      <x:c r="B373" s="59" t="str">
        <x:v>2026-09-16 — pierwsza lokalna aplikacja oceny przesłanek</x:v>
      </x:c>
      <x:c r="C373"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74" ht="94" customHeight="1">
      <x:c r="A374" s="59" t="str">
        <x:v>docs/decision_log.md</x:v>
      </x:c>
      <x:c r="B374" s="59" t="str">
        <x:v>2026-09-16 — lokalna kontrola geometrii i pól historycznych</x:v>
      </x:c>
      <x:c r="C374"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75" ht="66" customHeight="1">
      <x:c r="A375" s="59" t="str">
        <x:v>docs/decision_log.md</x:v>
      </x:c>
      <x:c r="B375" s="59" t="str">
        <x:v>2026-09-16 — lokalna kontrola geometrii i pól historycznych</x:v>
      </x:c>
      <x:c r="C375"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76" ht="94" customHeight="1">
      <x:c r="A376" s="59" t="str">
        <x:v>docs/decision_log.md</x:v>
      </x:c>
      <x:c r="B376" s="59" t="str">
        <x:v>2026-09-17 — rozbieżne daty inwestycji w ocenie aplikacji</x:v>
      </x:c>
      <x:c r="C376" s="59" t="str">
        <x:v>Date: 2026-09-17. Decision / Context: dwie oficjalne publikacje opisują podobnie nazwane zadanie z różnymi latami zakończenia. Options considered: wybrać nowsze wskazanie; automatycznie połączyć jako jedno zadanie; zachować obie deklaracje i nierozstrzygnięty zakres. Selected option: wersjonowany przegląd źródeł i jakościowa przesłanka w documentary_screening_v2. Reason: brak identyfikatora jednostki i dowodu tożsamości zakresu nie pozwala arbitralnie wybrać daty ani wyprowadzać dodatkowych MW. Trade-offs: nie rozstrzyga daty eksploatacji; potrzebna dalsza weryfikacja operatora. Consequences: piąty jawny snapshot API, historia i hashe; bez</x:v>
      </x:c>
    </x:row>
    <x:row r="377" ht="38" customHeight="1">
      <x:c r="A377" s="59" t="str">
        <x:v>docs/decision_log.md</x:v>
      </x:c>
      <x:c r="B377" s="59" t="str">
        <x:v>2026-09-17 — rozbieżne daty inwestycji w ocenie aplikacji</x:v>
      </x:c>
      <x:c r="C377" s="59" t="str">
        <x:v>nowego scoringu, zmiany grafu lub danych prywatnych.</x:v>
      </x:c>
    </x:row>
    <x:row r="378" ht="94" customHeight="1">
      <x:c r="A378" s="59" t="str">
        <x:v>docs/decision_log.md</x:v>
      </x:c>
      <x:c r="B378" s="59" t="str">
        <x:v>2026-09-17 — historyczny rekord inwestycji oddzielony od obiektu sieci</x:v>
      </x:c>
      <x:c r="C378" s="59" t="str">
        <x:v>Date: 2026-09-17. Decision / Context: historyczny GIS zawiera warstwy planów, realizacji i modernizacji z datami oraz odsyłaczami do publikacji. Options considered: bezpośredni import do bieżącego grafu; automatyczne scalanie po nazwie; prywatny rejestr wierszy źródłowych. Selected option: rejestr wierszy, oryginalne atrybuty, hash i fid; identyfikator kanonicznej inwestycji pozostaje null. Reason: jeden wiersz może obejmować kilka zadań, a daty i historyczne nazwy warstw nie potwierdzają aktualnej eksploatacji. Trade-offs: dodatkowa weryfikacja źródeł i rozpoznanie obiektów przed wykorzystaniem w scenariuszach sieci. Consequences: metoda</x:v>
      </x:c>
    </x:row>
    <x:row r="379" ht="38" customHeight="1">
      <x:c r="A379" s="59" t="str">
        <x:v>docs/decision_log.md</x:v>
      </x:c>
      <x:c r="B379" s="59" t="str">
        <x:v>2026-09-17 — historyczny rekord inwestycji oddzielony od obiektu sieci</x:v>
      </x:c>
      <x:c r="C379" s="59" t="str">
        <x:v>historical_investment_records_v1, osobna kolejka linków bez pobierania, brak automatycznego dodawania infrastruktury lub MW. Kod i ogólny postęp wersjonowane; dane i ich szczegółowe wyniki pozostają prywatne.</x:v>
      </x:c>
    </x:row>
    <x:row r="380" ht="94" customHeight="1">
      <x:c r="A380" s="59" t="str">
        <x:v>docs/decision_log.md</x:v>
      </x:c>
      <x:c r="B380" s="59" t="str">
        <x:v>17.09.2026 — projekt planu jako osobny dowód przyszłych inwestycji</x:v>
      </x:c>
      <x:c r="C380" s="59" t="str">
        <x:v>Date: 2026-09-17. Decision / Context: pozyskano wydanie PRSP po konsultacjach z terminami dwóch zadań pilota. Options considered: nadpisać dotychczasowy stan; dopasować automatycznie do mostu; zachować odrębne wpisy projektu planu. Selected option: odrębny snapshot, status w dokumencie i jawne znaczenie roku zakończenia. Reason: termin obejmuje także rozliczenie i formalności; zakresy zadań nie mają potwierdzonej tożsamości z innymi wpisami. Trade-offs: brak automatycznego prognozowania dostępnych MW. Consequences: dodatkowy widok i materiał w eksporcie; brak zmiany scoringu, grafu ruchowego lub publikowania źródeł prywatnych.</x:v>
      </x:c>
    </x:row>
    <x:row r="381" ht="94" customHeight="1">
      <x:c r="A381" s="59" t="str">
        <x:v>docs/decision_log.md</x:v>
      </x:c>
      <x:c r="B381" s="59" t="str">
        <x:v>2026-09-17 — OSM jako dowód geometrii i kandydatów topologii</x:v>
      </x:c>
      <x:c r="C381" s="59" t="str">
        <x:v>Decision: zachować oddzielny, wersjonowany audyt OSM z klasyfikacją źródła G. Context: użytkownik wskazał szczegółową mapę ebin.josm.pl. Options considered: bezpośrednie uznanie mapy za model elektryczny; audyt geometrii przed budową grafu. Selected option: audyt. Reason: brak potwierdzonego układu pracy, parametrów i własności urządzeń. Trade-offs: dodatkowa weryfikacja kosztem szybkości integracji. Consequences: przecięcia przestrzenne nie tworzą potwierdzonych krawędzi; brak nowej punktacji lub MW; dane ODbL pozostają odrębne od prywatnej kompilacji. Główne API OSM wykorzystano jednorazowo do rozpoznania, nie jako planowane zaplecze</x:v>
      </x:c>
    </x:row>
    <x:row r="382" ht="38" customHeight="1">
      <x:c r="A382" s="59" t="str">
        <x:v>docs/decision_log.md</x:v>
      </x:c>
      <x:c r="B382" s="59" t="str">
        <x:v>2026-09-17 — OSM jako dowód geometrii i kandydatów topologii</x:v>
      </x:c>
      <x:c r="C382" s="59" t="str">
        <x:v>produkcyjne. Szczegóły: docs/18_gis_osm_integration.md.</x:v>
      </x:c>
    </x:row>
    <x:row r="383" ht="38" customHeight="1">
      <x:c r="A383" s="59" t="str">
        <x:v>docs/discovery_log.md</x:v>
      </x:c>
      <x:c r="B383" s="59" t="str">
        <x:v>Zakres odkrywania interfejsów — 10.09.2026</x:v>
      </x:c>
      <x:c r="C383" s="59" t="str">
        <x:v>Uzupełnienie raportu (01_data_research.md) i katalogu (data_sources.md). To macierz wyników pierwszego badania, nie certyfikat nieistnienia nieodnalezionego interfejsu.</x:v>
      </x:c>
    </x:row>
    <x:row r="384" ht="52" customHeight="1">
      <x:c r="A384" s="59" t="str">
        <x:v>docs/discovery_log.md</x:v>
      </x:c>
      <x:c r="B384" s="59" t="str">
        <x:v>Zakres odkrywania interfejsów — 10.09.2026</x:v>
      </x:c>
      <x:c r="C384"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85" ht="30" customHeight="1">
      <x:c r="A385" s="59" t="str">
        <x:v>docs/discovery_log.md</x:v>
      </x:c>
      <x:c r="B385" s="59" t="str">
        <x:v>Zakres odkrywania interfejsów — 10.09.2026</x:v>
      </x:c>
      <x:c r="C385" s="59" t="str">
        <x:v>Rodzina / API / dane strukturalne / GIS / Dokumenty / pozostałe / Dowód w katalogu</x:v>
      </x:c>
    </x:row>
    <x:row r="386" ht="38" customHeight="1">
      <x:c r="A386" s="59" t="str">
        <x:v>docs/discovery_log.md</x:v>
      </x:c>
      <x:c r="B386" s="59" t="str">
        <x:v>Zakres odkrywania interfejsów — 10.09.2026</x:v>
      </x:c>
      <x:c r="C386" s="59" t="str">
        <x:v>PSE / Działa API JSON, pobrano OpenAPI i XLSX / Nie potwierdzono publicznego operacyjnego WFS/ArcGIS ani pełnej topologii API / PDF mocy i planów; dokumentacja strukturalna B2B to odrębny zakres / PSE_API, PSE_PIPELINE, PSE_CAPACITY, PSE_STRUCT_B2B</x:v>
      </x:c>
    </x:row>
    <x:row r="387" ht="38" customHeight="1">
      <x:c r="A387" s="59" t="str">
        <x:v>docs/discovery_log.md</x:v>
      </x:c>
      <x:c r="B387" s="59" t="str">
        <x:v>Zakres odkrywania interfejsów — 10.09.2026</x:v>
      </x:c>
      <x:c r="C387" s="59" t="str">
        <x:v>PGE / Brak potwierdzenia; odczyt blokowany / Nie potwierdzono / Wskazania PDF; treść niepotwierdzona / PGE_LANDING, PGE_EXPORT_DISCOVERY, PGE_PLAN_DISCOVERY</x:v>
      </x:c>
    </x:row>
    <x:row r="388" ht="38" customHeight="1">
      <x:c r="A388" s="59" t="str">
        <x:v>docs/discovery_log.md</x:v>
      </x:c>
      <x:c r="B388" s="59" t="str">
        <x:v>Zakres odkrywania interfejsów — 10.09.2026</x:v>
      </x:c>
      <x:c r="C388" s="59" t="str">
        <x:v>ENEA / Nie potwierdzono publicznego API; Power BI w HTML / Viewer; nie potwierdzono WFS/WMS/GeoJSON do pobierania infrastruktury / Wykazy, kryteria SN, plan / ENEA_MAP, ENEA_PIPELINE, ENEA_PLAN</x:v>
      </x:c>
    </x:row>
    <x:row r="389" ht="38" customHeight="1">
      <x:c r="A389" s="59" t="str">
        <x:v>docs/discovery_log.md</x:v>
      </x:c>
      <x:c r="B389" s="59" t="str">
        <x:v>Zakres odkrywania interfejsów — 10.09.2026</x:v>
      </x:c>
      <x:c r="C389" s="59" t="str">
        <x:v>TAURON / Nie potwierdzono publicznego API portalu / Viewer dostępności; brak potwierdzonego eksportu topologii / Pobrany PDF wykazu, indeks planu / TAURON_PIPELINE, TAURON_MAP, TAURON_PLAN</x:v>
      </x:c>
    </x:row>
    <x:row r="390" ht="38" customHeight="1">
      <x:c r="A390" s="59" t="str">
        <x:v>docs/discovery_log.md</x:v>
      </x:c>
      <x:c r="B390" s="59" t="str">
        <x:v>Zakres odkrywania interfejsów — 10.09.2026</x:v>
      </x:c>
      <x:c r="C390" s="59" t="str">
        <x:v>Energa / Nie potwierdzono publicznego API badanych wykazów / Nie potwierdzono operacyjnej topologii GIS / Pobrane osobne PDF eksport/import/pipeline; plan / ENERGA_*</x:v>
      </x:c>
    </x:row>
    <x:row r="391" ht="38" customHeight="1">
      <x:c r="A391" s="59" t="str">
        <x:v>docs/discovery_log.md</x:v>
      </x:c>
      <x:c r="B391" s="59" t="str">
        <x:v>Zakres odkrywania interfejsów — 10.09.2026</x:v>
      </x:c>
      <x:c r="C391" s="59" t="str">
        <x:v>Stoen / Nie potwierdzono publicznego API / Nie potwierdzono operacyjnej topologii GIS / PDF kierunkowych mocy; linki rejestrów i planu / STOEN_*</x:v>
      </x:c>
    </x:row>
    <x:row r="392" ht="30" customHeight="1">
      <x:c r="A392" s="59" t="str">
        <x:v>docs/discovery_log.md</x:v>
      </x:c>
      <x:c r="B392" s="59" t="str">
        <x:v>Zakres odkrywania interfejsów — 10.09.2026</x:v>
      </x:c>
      <x:c r="C392" s="59" t="str">
        <x:v>KGHM OSDn / Linki do arkuszy; nie zwalidowano załączników / Nie potwierdzono / Publiczne informacje OSD i rejestry / KGHM_OSD</x:v>
      </x:c>
    </x:row>
    <x:row r="393" ht="38" customHeight="1">
      <x:c r="A393" s="59" t="str">
        <x:v>docs/discovery_log.md</x:v>
      </x:c>
      <x:c r="B393" s="59" t="str">
        <x:v>Zakres odkrywania interfejsów — 10.09.2026</x:v>
      </x:c>
      <x:c r="C393" s="59" t="str">
        <x:v>GUGiK / Pliki i GeoParquet; dokumentowane usługi / Potwierdzony WFS GetCapabilities EGiB; dokumentacja WMS/WMTS/WCS pozostałych produktów / Dane katastralne/topograficzne/terenowe, integracja MPZP / GUGIK_*</x:v>
      </x:c>
    </x:row>
    <x:row r="394" ht="30" customHeight="1">
      <x:c r="A394" s="59" t="str">
        <x:v>docs/discovery_log.md</x:v>
      </x:c>
      <x:c r="B394" s="59" t="str">
        <x:v>Zakres odkrywania interfejsów — 10.09.2026</x:v>
      </x:c>
      <x:c r="C394" s="59" t="str">
        <x:v>GDOŚ / OGC XML / Potwierdzony WFS GetCapabilities, opis WMS / Ochrona przyrody; akty prawne osobno / GDOS_GIS</x:v>
      </x:c>
    </x:row>
    <x:row r="395" ht="38" customHeight="1">
      <x:c r="A395" s="59" t="str">
        <x:v>docs/discovery_log.md</x:v>
      </x:c>
      <x:c r="B395" s="59" t="str">
        <x:v>Zakres odkrywania interfejsów — 10.09.2026</x:v>
      </x:c>
      <x:c r="C395" s="59" t="str">
        <x:v>Wody Polskie / BDL / Zależnie od produktu / Opis WMS i WFS/WMTS BDL, adresy usług ArcGIS; brak testu całego pobierania / Procedury udostępniania / WODY_SIGW, BDL_GIS</x:v>
      </x:c>
    </x:row>
    <x:row r="396" ht="38" customHeight="1">
      <x:c r="A396" s="59" t="str">
        <x:v>docs/discovery_log.md</x:v>
      </x:c>
      <x:c r="B396" s="59" t="str">
        <x:v>Zakres odkrywania interfejsów — 10.09.2026</x:v>
      </x:c>
      <x:c r="C396" s="59" t="str">
        <x:v>ENTSO-E / REST/XML z tokenem, nie wykonano zapytania / Mapa PDF nie jest API topologii / Warunki ponownego wykorzystania według datasetu / ENTSOE_TP, ENTSOE_MAP</x:v>
      </x:c>
    </x:row>
    <x:row r="397" ht="38" customHeight="1">
      <x:c r="A397" s="59" t="str">
        <x:v>docs/discovery_log.md</x:v>
      </x:c>
      <x:c r="B397" s="59" t="str">
        <x:v>Zakres odkrywania interfejsów — 10.09.2026</x:v>
      </x:c>
      <x:c r="C397" s="59" t="str">
        <x:v>OSM/OpenInfraMap / Regionalny PBF; Overpass jako wskazany kanał małych ekstraktów / Geometria społecznościowa, nie potwierdzone relacje operatora / ODbL; OpenInfraMap nie jest drugim źródłem / OSM_LICENSE, GEOFABRIK_PL, OPENINFRAMAP</x:v>
      </x:c>
    </x:row>
    <x:row r="398" ht="38" customHeight="1">
      <x:c r="A398" s="59" t="str">
        <x:v>docs/discovery_log.md</x:v>
      </x:c>
      <x:c r="B398" s="59" t="str">
        <x:v>Zakres odkrywania interfejsów — 10.09.2026</x:v>
      </x:c>
      <x:c r="C398" s="59" t="str">
        <x:v>Modele otwarte / Repozytoria GitHub i formaty modeli / Geometria i parametry mogą być inferowane / PyPSA-Eur i historyczny MATPOWER nie są aktualnym operacyjnym KSE / PYPSA_EUR, MATPOWER_POLAND</x:v>
      </x:c>
    </x:row>
    <x:row r="399" ht="52" customHeight="1">
      <x:c r="A399" s="59" t="str">
        <x:v>docs/discovery_log.md</x:v>
      </x:c>
      <x:c r="B399" s="59" t="str">
        <x:v>Zakres odkrywania interfejsów — 10.09.2026</x:v>
      </x:c>
      <x:c r="C399"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400" ht="94" customHeight="1">
      <x:c r="A400" s="59" t="str">
        <x:v>docs/discovery_log.md</x:v>
      </x:c>
      <x:c r="B400" s="59" t="str">
        <x:v>Otwarte działania po badaniu</x:v>
      </x:c>
      <x:c r="C400"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401" ht="38" customHeight="1">
      <x:c r="A401" s="59" t="str">
        <x:v>docs/discovery_log.md</x:v>
      </x:c>
      <x:c r="B401" s="59" t="str">
        <x:v>Otwarte działania po badaniu</x:v>
      </x:c>
      <x:c r="C401" s="59" t="str">
        <x:v>Nie traktować powyższej listy jako zaległej implementacji w etapie 1: są to ujawnione warunki wejścia do dalszych etapów. Źródła o niepotwierdzonej treści pozostają oznaczone jako niepotwierdzone.</x:v>
      </x:c>
    </x:row>
    <x:row r="402" ht="52" customHeight="1">
      <x:c r="A402" s="59" t="str">
        <x:v>docs/reproducibility.md</x:v>
      </x:c>
      <x:c r="B402" s="59" t="str">
        <x:v>Wersjonowanie i odtwarzalność</x:v>
      </x:c>
      <x:c r="C402"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403" ht="30" customHeight="1">
      <x:c r="A403" s="59" t="str">
        <x:v>docs/reproducibility.md</x:v>
      </x:c>
      <x:c r="B403" s="59" t="str">
        <x:v>Dwa elementy kopii projektu</x:v>
      </x:c>
      <x:c r="C403" s="59" t="str">
        <x:v>Element / Co zachowuje / Gdzie</x:v>
      </x:c>
    </x:row>
    <x:row r="404" ht="38" customHeight="1">
      <x:c r="A404" s="59" t="str">
        <x:v>docs/reproducibility.md</x:v>
      </x:c>
      <x:c r="B404" s="59" t="str">
        <x:v>Dwa elementy kopii projektu</x:v>
      </x:c>
      <x:c r="C404" s="59" t="str">
        <x:v>Historia Git / Dokumentacja, notatki źródłowe, skrypty, konfiguracja, wersje zależności, hash i lista próbek / Lokalnie .git, po push także prywatne GitHub</x:v>
      </x:c>
    </x:row>
    <x:row r="405" ht="30" customHeight="1">
      <x:c r="A405" s="59" t="str">
        <x:v>docs/reproducibility.md</x:v>
      </x:c>
      <x:c r="B405" s="59" t="str">
        <x:v>Dwa elementy kopii projektu</x:v>
      </x:c>
      <x:c r="C405" s="59" t="str">
        <x:v>Archiwum badania / Dokładne bajty pobranych plików i kontrolnych podglądów oraz manifesty / data/archives/, pomijane przez Git</x:v>
      </x:c>
    </x:row>
    <x:row r="406" ht="66" customHeight="1">
      <x:c r="A406" s="59" t="str">
        <x:v>docs/reproducibility.md</x:v>
      </x:c>
      <x:c r="B406" s="59" t="str">
        <x:v>Dwa elementy kopii projektu</x:v>
      </x:c>
      <x:c r="C406"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407" ht="38" customHeight="1">
      <x:c r="A407" s="59" t="str">
        <x:v>docs/reproducibility.md</x:v>
      </x:c>
      <x:c r="B407" s="59" t="str">
        <x:v>Dwa elementy kopii projektu</x:v>
      </x:c>
      <x:c r="C407" s="59" t="str">
        <x:v>URL pozwala ponowić pobranie, ale nie gwarantuje identycznej historycznej wersji. Gdy operator podmieni plik, nie wolno zastąpić starego snapshotu nową treścią i twierdzić, że odtworzono stare badanie. Dlatego zachowujemy osobne kopie oraz SHA-256.</x:v>
      </x:c>
    </x:row>
    <x:row r="408" ht="38" customHeight="1">
      <x:c r="A408" s="59" t="str">
        <x:v>docs/reproducibility.md</x:v>
      </x:c>
      <x:c r="B408" s="59" t="str">
        <x:v>Odtworzenie na komputerze z Pythonem</x:v>
      </x:c>
      <x:c r="C408" s="59" t="str">
        <x:v>Badanie sprawdzono na Pythonie 3.12.14. Dokładne użyte pakiety zapisano w requirements-research.txt. W PowerShell, w folderze repozytorium:</x:v>
      </x:c>
    </x:row>
    <x:row r="409" ht="52" customHeight="1">
      <x:c r="A409" s="59" t="str">
        <x:v>docs/reproducibility.md</x:v>
      </x:c>
      <x:c r="B409" s="59" t="str">
        <x:v>Odtworzenie na komputerze z Pythonem</x:v>
      </x:c>
      <x:c r="C409"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410" ht="52" customHeight="1">
      <x:c r="A410" s="59" t="str">
        <x:v>docs/reproducibility.md</x:v>
      </x:c>
      <x:c r="B410" s="59" t="str">
        <x:v>Odtworzenie na komputerze z Pythonem</x:v>
      </x:c>
      <x:c r="C410"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411" ht="52" customHeight="1">
      <x:c r="A411" s="59" t="str">
        <x:v>docs/reproducibility.md</x:v>
      </x:c>
      <x:c r="B411" s="59" t="str">
        <x:v>Odtworzenie na komputerze z Pythonem</x:v>
      </x:c>
      <x:c r="C411"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412" ht="66" customHeight="1">
      <x:c r="A412" s="59" t="str">
        <x:v>docs/reproducibility.md</x:v>
      </x:c>
      <x:c r="B412" s="59" t="str">
        <x:v>Test odtwarzania wykonany 10.09.2026</x:v>
      </x:c>
      <x:c r="C412"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413" ht="66" customHeight="1">
      <x:c r="A413" s="59" t="str">
        <x:v>docs/reproducibility.md</x:v>
      </x:c>
      <x:c r="B413" s="59" t="str">
        <x:v>Budowanie kolejnego archiwum</x:v>
      </x:c>
      <x:c r="C413"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414" ht="52" customHeight="1">
      <x:c r="A414" s="59" t="str">
        <x:v>docs/reproducibility.md</x:v>
      </x:c>
      <x:c r="B414" s="59" t="str">
        <x:v>Budowanie kolejnego archiwum</x:v>
      </x:c>
      <x:c r="C414"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415" ht="66" customHeight="1">
      <x:c r="A415" s="59" t="str">
        <x:v>docs/reproducibility.md</x:v>
      </x:c>
      <x:c r="B415" s="59" t="str">
        <x:v>Odtwarzanie kolejnych archiwów — 16.09.2026</x:v>
      </x:c>
      <x:c r="C415"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416" ht="30" customHeight="1">
      <x:c r="A416" s="59" t="str">
        <x:v>docs/reproducibility.md</x:v>
      </x:c>
      <x:c r="B416" s="59" t="str">
        <x:v>Odtwarzanie kolejnych archiwów — 16.09.2026</x:v>
      </x:c>
      <x:c r="C416" s="59" t="str">
        <x:v>Pary manifest–archiwum do zachowania (wszystkie manifesty w data/catalog/, ZIP w data/archives/):</x:v>
      </x:c>
    </x:row>
    <x:row r="417" ht="30" customHeight="1">
      <x:c r="A417" s="59" t="str">
        <x:v>docs/reproducibility.md</x:v>
      </x:c>
      <x:c r="B417" s="59" t="str">
        <x:v>Odtwarzanie kolejnych archiwów — 16.09.2026</x:v>
      </x:c>
      <x:c r="C417" s="59" t="str">
        <x:v>Manifest / ZIP</x:v>
      </x:c>
    </x:row>
    <x:row r="418" ht="30" customHeight="1">
      <x:c r="A418" s="59" t="str">
        <x:v>docs/reproducibility.md</x:v>
      </x:c>
      <x:c r="B418" s="59" t="str">
        <x:v>Odtwarzanie kolejnych archiwów — 16.09.2026</x:v>
      </x:c>
      <x:c r="C418" s="59" t="str">
        <x:v>archive_manifest.json / research_2026-09-10_d143d3c637bc7af3.zip</x:v>
      </x:c>
    </x:row>
    <x:row r="419" ht="30" customHeight="1">
      <x:c r="A419" s="59" t="str">
        <x:v>docs/reproducibility.md</x:v>
      </x:c>
      <x:c r="B419" s="59" t="str">
        <x:v>Odtwarzanie kolejnych archiwów — 16.09.2026</x:v>
      </x:c>
      <x:c r="C419" s="59" t="str">
        <x:v>radkowice_archive_manifest.json / radkowice_sources_2026-09-11.zip</x:v>
      </x:c>
    </x:row>
    <x:row r="420" ht="30" customHeight="1">
      <x:c r="A420" s="59" t="str">
        <x:v>docs/reproducibility.md</x:v>
      </x:c>
      <x:c r="B420" s="59" t="str">
        <x:v>Odtwarzanie kolejnych archiwów — 16.09.2026</x:v>
      </x:c>
      <x:c r="C420" s="59" t="str">
        <x:v>radkowice_tariff_archive.json / radkowice_tariff_2026-09-11.zip</x:v>
      </x:c>
    </x:row>
    <x:row r="421" ht="30" customHeight="1">
      <x:c r="A421" s="59" t="str">
        <x:v>docs/reproducibility.md</x:v>
      </x:c>
      <x:c r="B421" s="59" t="str">
        <x:v>Odtwarzanie kolejnych archiwów — 16.09.2026</x:v>
      </x:c>
      <x:c r="C421" s="59" t="str">
        <x:v>radkowice_wolica_archive.json / radkowice_wolica_2026-09-11.zip</x:v>
      </x:c>
    </x:row>
    <x:row r="422" ht="30" customHeight="1">
      <x:c r="A422" s="59" t="str">
        <x:v>docs/reproducibility.md</x:v>
      </x:c>
      <x:c r="B422" s="59" t="str">
        <x:v>Odtwarzanie kolejnych archiwów — 16.09.2026</x:v>
      </x:c>
      <x:c r="C422" s="59" t="str">
        <x:v>radkowice_followup_archive_2026-09-15.json / radkowice_followup_2026-09-15.zip</x:v>
      </x:c>
    </x:row>
    <x:row r="423" ht="30" customHeight="1">
      <x:c r="A423" s="59" t="str">
        <x:v>docs/reproducibility.md</x:v>
      </x:c>
      <x:c r="B423" s="59" t="str">
        <x:v>Odtwarzanie kolejnych archiwów — 16.09.2026</x:v>
      </x:c>
      <x:c r="C423" s="59" t="str">
        <x:v>radkowice_decision_archive_2026-09-15.json / radkowice_decision_2026-09-15.zip</x:v>
      </x:c>
    </x:row>
    <x:row r="424" ht="30" customHeight="1">
      <x:c r="A424" s="59" t="str">
        <x:v>docs/reproducibility.md</x:v>
      </x:c>
      <x:c r="B424" s="59" t="str">
        <x:v>Odtwarzanie kolejnych archiwów — 16.09.2026</x:v>
      </x:c>
      <x:c r="C424" s="59" t="str">
        <x:v>Przykład kontroli kopii zachowanej na innym nośniku:</x:v>
      </x:c>
    </x:row>
    <x:row r="425" ht="38" customHeight="1">
      <x:c r="A425" s="59" t="str">
        <x:v>docs/reproducibility.md</x:v>
      </x:c>
      <x:c r="B425" s="59" t="str">
        <x:v>Odtwarzanie kolejnych archiwów — 16.09.2026</x:v>
      </x:c>
      <x:c r="C425" s="59" t="str">
        <x:v>python scripts/research_archive.py restore 'D:\Kopie\radkowice_decision_2026-09-15.zip' --manifest data/catalog/radkowice_decision_archive_2026-09-15.json --verify-only</x:v>
      </x:c>
    </x:row>
    <x:row r="426" ht="66" customHeight="1">
      <x:c r="A426" s="59" t="str">
        <x:v>docs/reproducibility.md</x:v>
      </x:c>
      <x:c r="B426" s="59" t="str">
        <x:v>Odtwarzanie kolejnych archiwów — 16.09.2026</x:v>
      </x:c>
      <x:c r="C426"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427" ht="66" customHeight="1">
      <x:c r="A427" s="59" t="str">
        <x:v>docs/reproducibility.md</x:v>
      </x:c>
      <x:c r="B427" s="59" t="str">
        <x:v>Odtwarzanie kolejnych archiwów — 16.09.2026</x:v>
      </x:c>
      <x:c r="C427"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428" ht="66" customHeight="1">
      <x:c r="A428" s="59" t="str">
        <x:v>docs/reproducibility.md</x:v>
      </x:c>
      <x:c r="B428" s="59" t="str">
        <x:v>Odtwarzanie kolejnych archiwów — 16.09.2026</x:v>
      </x:c>
      <x:c r="C428"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429" ht="66" customHeight="1">
      <x:c r="A429" s="59" t="str">
        <x:v>docs/reproducibility.md</x:v>
      </x:c>
      <x:c r="B429" s="59" t="str">
        <x:v>Archiwum dat inwestycji — 17.09.2026</x:v>
      </x:c>
      <x:c r="C429" s="59" t="str">
        <x:v>data/archives/radkowice_investment_dates_2026-09-17.zip zawiera dwa nowe oryginały: raport PSE i portal inwestycji. Manifest: data/catalog/radkowice_investment_dates_archive_2026-09-17.json. Kontrola: python scripts/research_archive.py restore data/archives/radkowice_investment_dates_2026-09-17.zip --manifest data/catalog/radkowice_investment_dates_archive_2026-09-17.json --verify-only. Sprawdzono oba elementy. To siódme archiwum publicznych źródeł; niezależna kopia nadal wymaga potwierdzenia.</x:v>
      </x:c>
    </x:row>
    <x:row r="430" ht="80" customHeight="1">
      <x:c r="A430" s="59" t="str">
        <x:v>docs/reproducibility.md</x:v>
      </x:c>
      <x:c r="B430" s="59" t="str">
        <x:v>Archiwum projektu PRSP — 17.09.2026</x:v>
      </x:c>
      <x:c r="C430" s="59" t="str">
        <x:v>Ósme publiczne archiwum: data/archives/radkowice_prsp_2026-09-17.zip, jeden oryginalny PDF. Manifest: data/catalog/radkowice_prsp_archive_2026-09-17.json. Kontrola: python scripts/research_archive.py restore data/archives/radkowice_prsp_2026-09-17.zip --manifest data/catalog/radkowice_prsp_archive_2026-09-17.json --verify-only. Wykonano ją pomyślnie. Kopia niezależna nadal niepotwierdzona. Parser scripts/build_radkowice_development_plan.py --output NOWY_PLIK.json odtwarza dwa wpisy i nie nadpisuje wyniku.</x:v>
      </x:c>
    </x:row>
    <x:row r="431" ht="38" customHeight="1">
      <x:c r="A431" s="59" t="str">
        <x:v>docs/reproducibility.md</x:v>
      </x:c>
      <x:c r="B431" s="59" t="str">
        <x:v>Archiwum projektu PRSP — 17.09.2026</x:v>
      </x:c>
      <x:c r="C431" s="59" t="str">
        <x:v>Generatory katalogu i kontroli źródeł zapisują końce linii LF także w Windows, zgodnie z .gitattributes. Zapobiega to zmianie hashy wejść raportu wyłącznie przez normalizację Git.</x:v>
      </x:c>
    </x:row>
    <x:row r="432" ht="66" customHeight="1">
      <x:c r="A432" s="59" t="str">
        <x:v>docs/reproducibility.md</x:v>
      </x:c>
      <x:c r="B432" s="59" t="str">
        <x:v>Dziewiąte archiwum — OSM, 2026-09-17</x:v>
      </x:c>
      <x:c r="C432" s="59" t="str">
        <x:v>data/archives/osm_radkowice_discovery_2026-09-17.zip przechowuje sześć wejść mapy i OSM. Manifest: data/catalog/osm_radkowice_archive_2026-09-17.json. Wszystkie sześć elementów sprawdzono przez scripts/research_archive.py restore ... --manifest ... --verify-only. Archiwum wymaga osobnej kopii zapasowej (NEED-010); sam Git przechowuje manifest i publiczny wynik audytu, nie surowe archiwum.</x:v>
      </x:c>
    </x:row>
    <x:row r="433" ht="38" customHeight="1">
      <x:c r="A433" s="59" t="str">
        <x:v>docs/reproducibility.md</x:v>
      </x:c>
      <x:c r="B433" s="59" t="str">
        <x:v>Dziesiąte archiwum — źródła OZE, 17.09.2026</x:v>
      </x:c>
      <x:c r="C433" s="59" t="str">
        <x:v>data/archives/oze_discovery_2026-09-17.zip, 12 plików. Manifest: data/catalog/oze_archive_2026-09-17.json. Pliki obejmują raport, konfiguracje i próbki API; nie są publiczną paczką do redystrybucji. NEED-010 obejmuje osobną kopię zapasową.</x:v>
      </x:c>
    </x:row>
    <x:row r="434" ht="30" customHeight="1">
      <x:c r="A434" s="59" t="str">
        <x:v>docs/git_workflow.md</x:v>
      </x:c>
      <x:c r="B434" s="59" t="str">
        <x:v>Git i GitHub — instrukcja dla tego projektu</x:v>
      </x:c>
      <x:c r="C434" s="59" t="str">
        <x:v>Przygotowano 10.09.2026. Folder: C:\Users\woloo\Desktop\KSE. Repozytorium: woloo-del/KSE (https://github.com/woloo-del/KSE).</x:v>
      </x:c>
    </x:row>
    <x:row r="435" ht="38" customHeight="1">
      <x:c r="A435" s="59" t="str">
        <x:v>docs/git_workflow.md</x:v>
      </x:c>
      <x:c r="B435" s="59" t="str">
        <x:v>Git i GitHub — instrukcja dla tego projektu</x:v>
      </x:c>
      <x:c r="C435" s="59" t="str">
        <x:v>Git zapisuje wersje lokalnie. GitHub przechowuje wysłaną kopię historii. Commit to zapis wersji na komputerze; push wysyła zapisane commity na GitHub. Zapisanie pliku w edytorze samo nie wykonuje żadnej z tych operacji.</x:v>
      </x:c>
    </x:row>
    <x:row r="436" ht="94" customHeight="1">
      <x:c r="A436" s="59" t="str">
        <x:v>docs/git_workflow.md</x:v>
      </x:c>
      <x:c r="B436" s="59" t="str">
        <x:v>Co już skonfigurowano</x:v>
      </x:c>
      <x:c r="C436"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437" ht="30" customHeight="1">
      <x:c r="A437" s="59" t="str">
        <x:v>docs/git_workflow.md</x:v>
      </x:c>
      <x:c r="B437" s="59" t="str">
        <x:v>Co już skonfigurowano</x:v>
      </x:c>
      <x:c r="C437" s="59" t="str">
        <x:v>środowiska, cache i duże dane źródłowe. .gitattributes ustala końce linii plików tekstowych.</x:v>
      </x:c>
    </x:row>
    <x:row r="438" ht="30" customHeight="1">
      <x:c r="A438" s="59" t="str">
        <x:v>docs/git_workflow.md</x:v>
      </x:c>
      <x:c r="B438" s="59" t="str">
        <x:v>Pierwszy push</x:v>
      </x:c>
      <x:c r="C438" s="59" t="str">
        <x:v>Otwórz PowerShell i wpisz:</x:v>
      </x:c>
    </x:row>
    <x:row r="439" ht="30" customHeight="1">
      <x:c r="A439" s="59" t="str">
        <x:v>docs/git_workflow.md</x:v>
      </x:c>
      <x:c r="B439" s="59" t="str">
        <x:v>Pierwszy push</x:v>
      </x:c>
      <x:c r="C439" s="59" t="str">
        <x:v>Set-Location 'C:\Users\woloo\Desktop\KSE' git status git log -1 --oneline git push -u origin main</x:v>
      </x:c>
    </x:row>
    <x:row r="440" ht="52" customHeight="1">
      <x:c r="A440" s="59" t="str">
        <x:v>docs/git_workflow.md</x:v>
      </x:c>
      <x:c r="B440" s="59" t="str">
        <x:v>Pierwszy push</x:v>
      </x:c>
      <x:c r="C440"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41" ht="52" customHeight="1">
      <x:c r="A441" s="59" t="str">
        <x:v>docs/git_workflow.md</x:v>
      </x:c>
      <x:c r="B441" s="59" t="str">
        <x:v>Pierwszy push</x:v>
      </x:c>
      <x:c r="C441"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42" ht="30" customHeight="1">
      <x:c r="A442" s="59" t="str">
        <x:v>docs/git_workflow.md</x:v>
      </x:c>
      <x:c r="B442" s="59" t="str">
        <x:v>Kolejne zmiany — zwykły cykl</x:v>
      </x:c>
      <x:c r="C442" s="59" t="str">
        <x:v>Po zapisaniu plików i wykonaniu właściwych kontroli:</x:v>
      </x:c>
    </x:row>
    <x:row r="443" ht="38" customHeight="1">
      <x:c r="A443" s="59" t="str">
        <x:v>docs/git_workflow.md</x:v>
      </x:c>
      <x:c r="B443" s="59" t="str">
        <x:v>Kolejne zmiany — zwykły cykl</x:v>
      </x:c>
      <x:c r="C443" s="59" t="str">
        <x:v>git status git diff git add README.md docs scripts config data/catalog requirements-research.txt .gitignore .gitattributes AGENTS.md git diff --cached --stat git commit -m "Opisz konkretnie wykonana zmiane" git push</x:v>
      </x:c>
    </x:row>
    <x:row r="444" ht="52" customHeight="1">
      <x:c r="A444" s="59" t="str">
        <x:v>docs/git_workflow.md</x:v>
      </x:c>
      <x:c r="B444" s="59" t="str">
        <x:v>Kolejne zmiany — zwykły cykl</x:v>
      </x:c>
      <x:c r="C444"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45" ht="38" customHeight="1">
      <x:c r="A445" s="59" t="str">
        <x:v>docs/git_workflow.md</x:v>
      </x:c>
      <x:c r="B445" s="59" t="str">
        <x:v>Kolejne zmiany — zwykły cykl</x:v>
      </x:c>
      <x:c r="C445" s="59" t="str">
        <x:v>Gdy Codex informuje, że już wykonał commit, nie musisz ponownie robić add i commit; sprawdź git status, git log -1 --oneline, a następnie wykonaj git push.</x:v>
      </x:c>
    </x:row>
    <x:row r="446" ht="38" customHeight="1">
      <x:c r="A446" s="59" t="str">
        <x:v>docs/git_workflow.md</x:v>
      </x:c>
      <x:c r="B446" s="59" t="str">
        <x:v>Praca na drugim komputerze i zmiany na GitHub</x:v>
      </x:c>
      <x:c r="C446" s="59" t="str">
        <x:v>Na nowym komputerze pobierz repozytorium przez git clone https://github.com/woloo-del/KSE.git. Zależności i archiwum danych odtwórz według instrukcji odtwarzania (reproducibility.md).</x:v>
      </x:c>
    </x:row>
    <x:row r="447" ht="52" customHeight="1">
      <x:c r="A447" s="59" t="str">
        <x:v>docs/git_workflow.md</x:v>
      </x:c>
      <x:c r="B447" s="59" t="str">
        <x:v>Praca na drugim komputerze i zmiany na GitHub</x:v>
      </x:c>
      <x:c r="C447"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48" ht="30" customHeight="1">
      <x:c r="A448" s="59" t="str">
        <x:v>docs/git_workflow.md</x:v>
      </x:c>
      <x:c r="B448" s="59" t="str">
        <x:v>Co oznaczają typowe komunikaty</x:v>
      </x:c>
      <x:c r="C448" s="59" t="str">
        <x:v>Komunikat / Znaczenie / następny krok</x:v>
      </x:c>
    </x:row>
    <x:row r="449" ht="30" customHeight="1">
      <x:c r="A449" s="59" t="str">
        <x:v>docs/git_workflow.md</x:v>
      </x:c>
      <x:c r="B449" s="59" t="str">
        <x:v>Co oznaczają typowe komunikaty</x:v>
      </x:c>
      <x:c r="C449" s="59" t="str">
        <x:v>nothing to commit, working tree clean / Wszystkie śledzone zmiany zapisane lokalnie; nie dowodzi jeszcze wysłania</x:v>
      </x:c>
    </x:row>
    <x:row r="450" ht="30" customHeight="1">
      <x:c r="A450" s="59" t="str">
        <x:v>docs/git_workflow.md</x:v>
      </x:c>
      <x:c r="B450" s="59" t="str">
        <x:v>Co oznaczają typowe komunikaty</x:v>
      </x:c>
      <x:c r="C450" s="59" t="str">
        <x:v>Everything up-to-date / Brak nowych commitów do wysłania</x:v>
      </x:c>
    </x:row>
    <x:row r="451" ht="30" customHeight="1">
      <x:c r="A451" s="59" t="str">
        <x:v>docs/git_workflow.md</x:v>
      </x:c>
      <x:c r="B451" s="59" t="str">
        <x:v>Co oznaczają typowe komunikaty</x:v>
      </x:c>
      <x:c r="C451" s="59" t="str">
        <x:v>Your branch is ahead ... / Masz lokalne commity oczekujące na push</x:v>
      </x:c>
    </x:row>
    <x:row r="452" ht="30" customHeight="1">
      <x:c r="A452" s="59" t="str">
        <x:v>docs/git_workflow.md</x:v>
      </x:c>
      <x:c r="B452" s="59" t="str">
        <x:v>Co oznaczają typowe komunikaty</x:v>
      </x:c>
      <x:c r="C452" s="59" t="str">
        <x:v>Repository not found / Dla repo prywatnego sprawdź konto, dostęp i adres; nie musi oznaczać nieistnienia repo</x:v>
      </x:c>
    </x:row>
    <x:row r="453" ht="30" customHeight="1">
      <x:c r="A453" s="59" t="str">
        <x:v>docs/git_workflow.md</x:v>
      </x:c>
      <x:c r="B453" s="59" t="str">
        <x:v>Co oznaczają typowe komunikaty</x:v>
      </x:c>
      <x:c r="C453" s="59" t="str">
        <x:v>src refspec main does not match any / Zwykle brak pierwszego commita lub inna nazwa gałęzi</x:v>
      </x:c>
    </x:row>
    <x:row r="454" ht="30" customHeight="1">
      <x:c r="A454" s="59" t="str">
        <x:v>docs/git_workflow.md</x:v>
      </x:c>
      <x:c r="B454" s="59" t="str">
        <x:v>Co oznaczają typowe komunikaty</x:v>
      </x:c>
      <x:c r="C454" s="59" t="str">
        <x:v>non-fast-forward / fetch first / Na serwerze jest historia, której nie ma lokalnie; wymagana bezpieczna synchronizacja</x:v>
      </x:c>
    </x:row>
    <x:row r="455" ht="52" customHeight="1">
      <x:c r="A455" s="59" t="str">
        <x:v>docs/git_workflow.md</x:v>
      </x:c>
      <x:c r="B455" s="59" t="str">
        <x:v>Co oznaczają typowe komunikaty</x:v>
      </x:c>
      <x:c r="C455"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56" ht="52" customHeight="1">
      <x:c r="A456" s="59" t="str">
        <x:v>docs/project_reporting.md</x:v>
      </x:c>
      <x:c r="B456" s="59" t="str">
        <x:v>Rejestr TODO i raport projektu w Excelu</x:v>
      </x:c>
      <x:c r="C456"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57" ht="52" customHeight="1">
      <x:c r="A457" s="59" t="str">
        <x:v>docs/project_reporting.md</x:v>
      </x:c>
      <x:c r="B457" s="59" t="str">
        <x:v>Rejestr TODO i raport projektu w Excelu</x:v>
      </x:c>
      <x:c r="C457"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58" ht="30" customHeight="1">
      <x:c r="A458" s="59" t="str">
        <x:v>docs/project_reporting.md</x:v>
      </x:c>
      <x:c r="B458" s="59" t="str">
        <x:v>Generowanie</x:v>
      </x:c>
      <x:c r="C458" s="59" t="str">
        <x:v>W PowerShell, w folderze projektu:</x:v>
      </x:c>
    </x:row>
    <x:row r="459" ht="30" customHeight="1">
      <x:c r="A459" s="59" t="str">
        <x:v>docs/project_reporting.md</x:v>
      </x:c>
      <x:c r="B459" s="59" t="str">
        <x:v>Generowanie</x:v>
      </x:c>
      <x:c r="C459" s="59" t="str">
        <x:v>.\scripts\generate_project_report.ps1</x:v>
      </x:c>
    </x:row>
    <x:row r="460" ht="52" customHeight="1">
      <x:c r="A460" s="59" t="str">
        <x:v>docs/project_reporting.md</x:v>
      </x:c>
      <x:c r="B460" s="59" t="str">
        <x:v>Generowanie</x:v>
      </x:c>
      <x:c r="C460"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61" ht="80" customHeight="1">
      <x:c r="A461" s="59" t="str">
        <x:v>docs/project_reporting.md</x:v>
      </x:c>
      <x:c r="B461" s="59" t="str">
        <x:v>Generowanie</x:v>
      </x:c>
      <x:c r="C461"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62" ht="66" customHeight="1">
      <x:c r="A462" s="59" t="str">
        <x:v>docs/project_reporting.md</x:v>
      </x:c>
      <x:c r="B462" s="59" t="str">
        <x:v>Generowanie</x:v>
      </x:c>
      <x:c r="C462"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63" ht="66" customHeight="1">
      <x:c r="A463" s="59" t="str">
        <x:v>docs/project_reporting.md</x:v>
      </x:c>
      <x:c r="B463" s="59" t="str">
        <x:v>Zakres raportu</x:v>
      </x:c>
      <x:c r="C463"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64" ht="94" customHeight="1">
      <x:c r="A464" s="59" t="str">
        <x:v>docs/project_reporting.md</x:v>
      </x:c>
      <x:c r="B464" s="59" t="str">
        <x:v>Zakres raportu</x:v>
      </x:c>
      <x:c r="C464"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65" ht="80" customHeight="1">
      <x:c r="A465" s="59" t="str">
        <x:v>docs/project_reporting.md</x:v>
      </x:c>
      <x:c r="B465" s="59" t="str">
        <x:v>Zakres raportu</x:v>
      </x:c>
      <x:c r="C465"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66" ht="38" customHeight="1">
      <x:c r="A466" s="59" t="str">
        <x:v>docs/project_reporting.md</x:v>
      </x:c>
      <x:c r="B466" s="59" t="str">
        <x:v>Zakres raportu</x:v>
      </x:c>
      <x:c r="C466" s="59" t="str">
        <x:v>Raport jest snapshotem wiedzy projektowej. Nie zawiera nieistniejących wyników dla GPZ, sztucznych MW ani scoringu. Nie zastępuje szczegółowych surowych plików operatorów; ich lokalne archiwum i manifest pozostają osobno.</x:v>
      </x:c>
    </x:row>
    <x:row r="467" ht="52" customHeight="1">
      <x:c r="A467" s="59" t="str">
        <x:v>docs/project_reporting.md</x:v>
      </x:c>
      <x:c r="B467" s="59" t="str">
        <x:v>Bezpieczeństwo i aktualizacja</x:v>
      </x:c>
      <x:c r="C467"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68" ht="52" customHeight="1">
      <x:c r="A468" s="59" t="str">
        <x:v>docs/project_reporting.md</x:v>
      </x:c>
      <x:c r="B468" s="59" t="str">
        <x:v>Bezpieczeństwo i aktualizacja</x:v>
      </x:c>
      <x:c r="C468"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69" ht="52" customHeight="1">
      <x:c r="A469" s="59" t="str">
        <x:v>docs/09_pilot_scope.md</x:v>
      </x:c>
      <x:c r="B469" s="59" t="str">
        <x:v>Propozycja pilota GPZ</x:v>
      </x:c>
      <x:c r="C469"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70" ht="38" customHeight="1">
      <x:c r="A470" s="59" t="str">
        <x:v>docs/09_pilot_scope.md</x:v>
      </x:c>
      <x:c r="B470" s="59" t="str">
        <x:v>Propozycja pilota GPZ</x:v>
      </x:c>
      <x:c r="C470" s="59" t="str">
        <x:v>Pierwszy wynik: audytowalny raport jednego GPZ z powiązanymi projektami, stanem źródeł, kierunkami mocy i ograniczeniami. Obszar wybieramy po porównaniu dowodów, nie po liczbie punktów na mapie. Użytkownik może wskazać własny region.</x:v>
      </x:c>
    </x:row>
    <x:row r="471" ht="94" customHeight="1">
      <x:c r="A471" s="59" t="str">
        <x:v>docs/09_pilot_scope.md</x:v>
      </x:c>
      <x:c r="B471" s="59" t="str">
        <x:v>Kryteria odbioru</x:v>
      </x:c>
      <x:c r="C471"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72" ht="66" customHeight="1">
      <x:c r="A472" s="59" t="str">
        <x:v>docs/09_pilot_scope.md</x:v>
      </x:c>
      <x:c r="B472" s="59" t="str">
        <x:v>Kryteria odbioru</x:v>
      </x:c>
      <x:c r="C472"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73" ht="52" customHeight="1">
      <x:c r="A473" s="59" t="str">
        <x:v>docs/09_pilot_scope.md</x:v>
      </x:c>
      <x:c r="B473" s="59" t="str">
        <x:v>Kryteria odbioru</x:v>
      </x:c>
      <x:c r="C473"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74" ht="38" customHeight="1">
      <x:c r="A474" s="59" t="str">
        <x:v>docs/09_pilot_scope.md</x:v>
      </x:c>
      <x:c r="B474" s="59" t="str">
        <x:v>Kryteria odbioru</x:v>
      </x:c>
      <x:c r="C474" s="59" t="str">
        <x:v>Najbliższe zależności: zaakceptować zakres, wybrać dopuszczone źródła, porównać kandydatów GPZ, zaprojektować model i wdrożyć parsery. Kontrola jakości źródeł może być rozwijana niezależnie od wyboru regionu.</x:v>
      </x:c>
    </x:row>
    <x:row r="475" ht="52" customHeight="1">
      <x:c r="A475" s="59" t="str">
        <x:v>docs/10_radkowice_pilot.md</x:v>
      </x:c>
      <x:c r="B475" s="59" t="str">
        <x:v>Pilot: SE Radkowice 220/110 kV</x:v>
      </x:c>
      <x:c r="C475"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76" ht="38" customHeight="1">
      <x:c r="A476" s="59" t="str">
        <x:v>docs/10_radkowice_pilot.md</x:v>
      </x:c>
      <x:c r="B476" s="59" t="str">
        <x:v>Tożsamość i granice</x:v>
      </x:c>
      <x:c r="C476"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77" ht="52" customHeight="1">
      <x:c r="A477" s="59" t="str">
        <x:v>docs/10_radkowice_pilot.md</x:v>
      </x:c>
      <x:c r="B477" s="59" t="str">
        <x:v>Tożsamość i granice</x:v>
      </x:c>
      <x:c r="C477"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78" ht="52" customHeight="1">
      <x:c r="A478" s="59" t="str">
        <x:v>docs/10_radkowice_pilot.md</x:v>
      </x:c>
      <x:c r="B478" s="59" t="str">
        <x:v>Tożsamość i granice</x:v>
      </x:c>
      <x:c r="C478"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79" ht="52" customHeight="1">
      <x:c r="A479" s="59" t="str">
        <x:v>docs/10_radkowice_pilot.md</x:v>
      </x:c>
      <x:c r="B479" s="59" t="str">
        <x:v>Pierwsze znane projekty</x:v>
      </x:c>
      <x:c r="C479"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80" ht="30" customHeight="1">
      <x:c r="A480" s="59" t="str">
        <x:v>docs/10_radkowice_pilot.md</x:v>
      </x:c>
      <x:c r="B480" s="59" t="str">
        <x:v>Pierwsze znane projekty</x:v>
      </x:c>
      <x:c r="C480" s="59" t="str">
        <x:v>Wiersz / Projekt / Podmiot / Punkt / Eksport MW / Import MW / Status</x:v>
      </x:c>
    </x:row>
    <x:row r="481" ht="30" customHeight="1">
      <x:c r="A481" s="59" t="str">
        <x:v>docs/10_radkowice_pilot.md</x:v>
      </x:c>
      <x:c r="B481" s="59" t="str">
        <x:v>Pierwsze znane projekty</x:v>
      </x:c>
      <x:c r="C481" s="59" t="str">
        <x:v>787 / MEE Chałupki / Grand Solar 23 Sp. z o.o. / Radkowice 220 kV / 96,96 / 98,8992 / Obowiązująca umowa przyłączeniowa</x:v>
      </x:c>
    </x:row>
    <x:row r="482" ht="30" customHeight="1">
      <x:c r="A482" s="59" t="str">
        <x:v>docs/10_radkowice_pilot.md</x:v>
      </x:c>
      <x:c r="B482" s="59" t="str">
        <x:v>Pierwsze znane projekty</x:v>
      </x:c>
      <x:c r="C482" s="59" t="str">
        <x:v>843 / MEE Radkowice / RSE 10 Sp. z o.o. / Radkowice 220 kV / 50 / 50 / Obowiązująca umowa przyłączeniowa</x:v>
      </x:c>
    </x:row>
    <x:row r="483" ht="30" customHeight="1">
      <x:c r="A483" s="59" t="str">
        <x:v>docs/10_radkowice_pilot.md</x:v>
      </x:c>
      <x:c r="B483" s="59" t="str">
        <x:v>Pierwsze znane projekty</x:v>
      </x:c>
      <x:c r="C483" s="59" t="str">
        <x:v>847 / MEE Chęciny / Qair Polska S.A. / Radkowice 220 kV / 100 / 102 / Obowiązująca umowa przyłączeniowa</x:v>
      </x:c>
    </x:row>
    <x:row r="484" ht="52" customHeight="1">
      <x:c r="A484" s="59" t="str">
        <x:v>docs/10_radkowice_pilot.md</x:v>
      </x:c>
      <x:c r="B484" s="59" t="str">
        <x:v>Pierwsze znane projekty</x:v>
      </x:c>
      <x:c r="C484"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85" ht="52" customHeight="1">
      <x:c r="A485" s="59" t="str">
        <x:v>docs/10_radkowice_pilot.md</x:v>
      </x:c>
      <x:c r="B485" s="59" t="str">
        <x:v>Pierwsze znane projekty</x:v>
      </x:c>
      <x:c r="C485"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86" ht="52" customHeight="1">
      <x:c r="A486" s="59" t="str">
        <x:v>docs/10_radkowice_pilot.md</x:v>
      </x:c>
      <x:c r="B486" s="59" t="str">
        <x:v>Infrastruktura i inwestycje</x:v>
      </x:c>
      <x:c r="C486"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87" ht="52" customHeight="1">
      <x:c r="A487" s="59" t="str">
        <x:v>docs/10_radkowice_pilot.md</x:v>
      </x:c>
      <x:c r="B487" s="59" t="str">
        <x:v>Infrastruktura i inwestycje</x:v>
      </x:c>
      <x:c r="C487"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88" ht="52" customHeight="1">
      <x:c r="A488" s="59" t="str">
        <x:v>docs/10_radkowice_pilot.md</x:v>
      </x:c>
      <x:c r="B488" s="59" t="str">
        <x:v>Infrastruktura i inwestycje</x:v>
      </x:c>
      <x:c r="C488"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89" ht="30" customHeight="1">
      <x:c r="A489" s="59" t="str">
        <x:v>docs/10_radkowice_pilot.md</x:v>
      </x:c>
      <x:c r="B489" s="59" t="str">
        <x:v>Porównanie z alternatywą</x:v>
      </x:c>
      <x:c r="C489" s="59" t="str">
        <x:v>Kryterium / Radkowice — wybór główny / Kościerzyna — kandydat rezerwowy</x:v>
      </x:c>
    </x:row>
    <x:row r="490" ht="30" customHeight="1">
      <x:c r="A490" s="59" t="str">
        <x:v>docs/10_radkowice_pilot.md</x:v>
      </x:c>
      <x:c r="B490" s="59" t="str">
        <x:v>Porównanie z alternatywą</x:v>
      </x:c>
      <x:c r="C490" s="59" t="str">
        <x:v>Preferencja użytkownika / Wskazane wprost / Nie wskazana</x:v>
      </x:c>
    </x:row>
    <x:row r="491" ht="38" customHeight="1">
      <x:c r="A491" s="59" t="str">
        <x:v>docs/10_radkowice_pilot.md</x:v>
      </x:c>
      <x:c r="B491" s="59" t="str">
        <x:v>Porównanie z alternatywą</x:v>
      </x:c>
      <x:c r="C491" s="59" t="str">
        <x:v>Konkretne projekty / Trzy wskazane BESS w XLSX PSE / W dokumencie Energi jest m.in. wpis GPZ Kościerzyna i status obiektu przyłączonego</x:v>
      </x:c>
    </x:row>
    <x:row r="492" ht="30" customHeight="1">
      <x:c r="A492" s="59" t="str">
        <x:v>docs/10_radkowice_pilot.md</x:v>
      </x:c>
      <x:c r="B492" s="59" t="str">
        <x:v>Porównanie z alternatywą</x:v>
      </x:c>
      <x:c r="C492" s="59" t="str">
        <x:v>Jakość czasu publikacji / Jawny stan XLSX 31.07.2026 / Konflikt dat sierpień/czerwiec; kwarantanna</x:v>
      </x:c>
    </x:row>
    <x:row r="493" ht="30" customHeight="1">
      <x:c r="A493" s="59" t="str">
        <x:v>docs/10_radkowice_pilot.md</x:v>
      </x:c>
      <x:c r="B493" s="59" t="str">
        <x:v>Porównanie z alternatywą</x:v>
      </x:c>
      <x:c r="C493" s="59" t="str">
        <x:v>Inwestycje i topologia / Portal PSE i lokalny BIP / W tym porównaniu nie zweryfikowano kompletu dowodów</x:v>
      </x:c>
    </x:row>
    <x:row r="494" ht="30" customHeight="1">
      <x:c r="A494" s="59" t="str">
        <x:v>docs/10_radkowice_pilot.md</x:v>
      </x:c>
      <x:c r="B494" s="59" t="str">
        <x:v>Porównanie z alternatywą</x:v>
      </x:c>
      <x:c r="C494" s="59" t="str">
        <x:v>Przewaga / Bezpośredni test BESS i styku 220/110 kV / Możliwy późniejszy test innych statusów i OSD</x:v>
      </x:c>
    </x:row>
    <x:row r="495" ht="38" customHeight="1">
      <x:c r="A495" s="59" t="str">
        <x:v>docs/10_radkowice_pilot.md</x:v>
      </x:c>
      <x:c r="B495" s="59" t="str">
        <x:v>Porównanie z alternatywą</x:v>
      </x:c>
      <x:c r="C495" s="59" t="str">
        <x:v>Źródło alternatywy: Energa PDF (https://cdn-netpr.pl/file/mediakit/3063617/fa/2026_08_31_pusop_wnioski_i_odmowy_eop.pdf), strona 1, pozycja 3; konflikt opisany w kontroli z 11.09.2026. Nie jest to pełny ranking stacji Polski.</x:v>
      </x:c>
    </x:row>
    <x:row r="496" ht="66" customHeight="1">
      <x:c r="A496" s="59" t="str">
        <x:v>docs/10_radkowice_pilot.md</x:v>
      </x:c>
      <x:c r="B496" s="59" t="str">
        <x:v>Odtwarzanie i dalsze prace</x:v>
      </x:c>
      <x:c r="C496"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97" ht="80" customHeight="1">
      <x:c r="A497" s="59" t="str">
        <x:v>docs/10_radkowice_pilot.md</x:v>
      </x:c>
      <x:c r="B497" s="59" t="str">
        <x:v>Odtwarzanie i dalsze prace</x:v>
      </x:c>
      <x:c r="C497"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98" ht="52" customHeight="1">
      <x:c r="A498" s="59" t="str">
        <x:v>docs/10_radkowice_pilot.md</x:v>
      </x:c>
      <x:c r="B498" s="59" t="str">
        <x:v>Odtwarzanie i dalsze prace</x:v>
      </x:c>
      <x:c r="C498"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99" ht="38" customHeight="1">
      <x:c r="A499" s="59" t="str">
        <x:v>docs/11_radkowice_evidence_model.md</x:v>
      </x:c>
      <x:c r="B499" s="59" t="str">
        <x:v>Radkowice — pierwszy model powiązań dokumentacyjnych</x:v>
      </x:c>
      <x:c r="C499" s="59" t="str">
        <x:v>11.09.2026. Działa lokalny generator grafu: 11 obiektów i 10 relacji. To eksperyment na zachowanych źródłach, nie wdrożenie produkcyjnego silnika sieciowego. Nie wymaga nowej bazy ani dodatkowych bibliotek.</x:v>
      </x:c>
    </x:row>
    <x:row r="500" ht="66" customHeight="1">
      <x:c r="A500" s="59" t="str">
        <x:v>docs/11_radkowice_evidence_model.md</x:v>
      </x:c>
      <x:c r="B500" s="59" t="str">
        <x:v>Nowy dowód PSE/PGE</x:v>
      </x:c>
      <x:c r="C500"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501" ht="38" customHeight="1">
      <x:c r="A501" s="59" t="str">
        <x:v>docs/11_radkowice_evidence_model.md</x:v>
      </x:c>
      <x:c r="B501" s="59" t="str">
        <x:v>Nowy dowód PSE/PGE</x:v>
      </x:c>
      <x:c r="C501" s="59" t="str">
        <x:v>Ponowna próba bezpośredniego pliku mocy PGE: HTTP 200, 346 bajtów i brak sygnatury PDF. Zapisano metadane próby w data/catalog/pge_radkowice_access_2026-09-11.json; żadne wartości mocy z tej odpowiedzi nie weszły do modelu.</x:v>
      </x:c>
    </x:row>
    <x:row r="502" ht="66" customHeight="1">
      <x:c r="A502" s="59" t="str">
        <x:v>docs/11_radkowice_evidence_model.md</x:v>
      </x:c>
      <x:c r="B502" s="59" t="str">
        <x:v>Co reprezentuje graf</x:v>
      </x:c>
      <x:c r="C502"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503" ht="30" customHeight="1">
      <x:c r="A503" s="59" t="str">
        <x:v>docs/11_radkowice_evidence_model.md</x:v>
      </x:c>
      <x:c r="B503" s="59" t="str">
        <x:v>Co reprezentuje graf</x:v>
      </x:c>
      <x:c r="C503" s="59" t="str">
        <x:v>Obiekt/relacja / Znaczenie / Czego nie oznacza</x:v>
      </x:c>
    </x:row>
    <x:row r="504" ht="30" customHeight="1">
      <x:c r="A504" s="59" t="str">
        <x:v>docs/11_radkowice_evidence_model.md</x:v>
      </x:c>
      <x:c r="B504" s="59" t="str">
        <x:v>Co reprezentuje graf</x:v>
      </x:c>
      <x:c r="C504" s="59" t="str">
        <x:v>STATION_REFERENCE / Stacja nazwana w dokumencie / Pełna ewidencja urządzeń</x:v>
      </x:c>
    </x:row>
    <x:row r="505" ht="30" customHeight="1">
      <x:c r="A505" s="59" t="str">
        <x:v>docs/11_radkowice_evidence_model.md</x:v>
      </x:c>
      <x:c r="B505" s="59" t="str">
        <x:v>Co reprezentuje graf</x:v>
      </x:c>
      <x:c r="C505" s="59" t="str">
        <x:v>VOLTAGE_LEVEL_REFERENCE / Potwierdzony poziom 220 lub 110 kV / Konkretna sekcja szyn, pole lub punkt fizyczny</x:v>
      </x:c>
    </x:row>
    <x:row r="506" ht="30" customHeight="1">
      <x:c r="A506" s="59" t="str">
        <x:v>docs/11_radkowice_evidence_model.md</x:v>
      </x:c>
      <x:c r="B506" s="59" t="str">
        <x:v>Co reprezentuje graf</x:v>
      </x:c>
      <x:c r="C506" s="59" t="str">
        <x:v>REPORTED_LINE / Relacja do Kielc, Połańca lub Kielc Piaski opisana w BIP / Znany aktualny stan łączników i obciążalność</x:v>
      </x:c>
    </x:row>
    <x:row r="507" ht="30" customHeight="1">
      <x:c r="A507" s="59" t="str">
        <x:v>docs/11_radkowice_evidence_model.md</x:v>
      </x:c>
      <x:c r="B507" s="59" t="str">
        <x:v>Co reprezentuje graf</x:v>
      </x:c>
      <x:c r="C507" s="59" t="str">
        <x:v>PROJECT_RECORD / Wiersz PSE dotyczący BESS / Ostatecznie rozstrzygnięta tożsamość inwestycji we wszystkich źródłach</x:v>
      </x:c>
    </x:row>
    <x:row r="508" ht="30" customHeight="1">
      <x:c r="A508" s="59" t="str">
        <x:v>docs/11_radkowice_evidence_model.md</x:v>
      </x:c>
      <x:c r="B508" s="59" t="str">
        <x:v>Co reprezentuje graf</x:v>
      </x:c>
      <x:c r="C508" s="59" t="str">
        <x:v>PLANNED_CONNECTION / Wskazanie Radkowic 220 kV i umowy przyłączeniowej / Potwierdzone wykonanie przyłączenia</x:v>
      </x:c>
    </x:row>
    <x:row r="509" ht="30" customHeight="1">
      <x:c r="A509" s="59" t="str">
        <x:v>docs/11_radkowice_evidence_model.md</x:v>
      </x:c>
      <x:c r="B509" s="59" t="str">
        <x:v>Co reprezentuje graf</x:v>
      </x:c>
      <x:c r="C509" s="59" t="str">
        <x:v>DELIVERY_POINT_REFERENCE / Miejsce dostarczania z taryfy / Identyfikator konkretnego transformatora</x:v>
      </x:c>
    </x:row>
    <x:row r="510" ht="30" customHeight="1">
      <x:c r="A510" s="59" t="str">
        <x:v>docs/11_radkowice_evidence_model.md</x:v>
      </x:c>
      <x:c r="B510" s="59" t="str">
        <x:v>Co reprezentuje graf</x:v>
      </x:c>
      <x:c r="C510" s="59" t="str">
        <x:v>TARIFF_RECIPIENT / Odbiorca usług wskazany przez PSE / Właściciel całej stacji</x:v>
      </x:c>
    </x:row>
    <x:row r="511" ht="52" customHeight="1">
      <x:c r="A511" s="59" t="str">
        <x:v>docs/11_radkowice_evidence_model.md</x:v>
      </x:c>
      <x:c r="B511" s="59" t="str">
        <x:v>Co reprezentuje graf</x:v>
      </x:c>
      <x:c r="C511"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512" ht="38" customHeight="1">
      <x:c r="A512" s="59" t="str">
        <x:v>docs/11_radkowice_evidence_model.md</x:v>
      </x:c>
      <x:c r="B512" s="59" t="str">
        <x:v>Co reprezentuje graf</x:v>
      </x:c>
      <x:c r="C512" s="59" t="str">
        <x:v>Strzałki opisują relacje dokumentacyjne, nie kierunki przepływów energii. Schemat nie wstawia brakujących transformatorów ani feederów. Dla grafu obowiązuje power_flow_ready=false.</x:v>
      </x:c>
    </x:row>
    <x:row r="513" ht="30" customHeight="1">
      <x:c r="A513" s="59" t="str">
        <x:v>docs/11_radkowice_evidence_model.md</x:v>
      </x:c>
      <x:c r="B513" s="59" t="str">
        <x:v>Uruchamianie i kontrola</x:v>
      </x:c>
      <x:c r="C513" s="59" t="str">
        <x:v>Po przywróceniu wcześniejszych snapshotów XLSX/PDF i taryfy:</x:v>
      </x:c>
    </x:row>
    <x:row r="514" ht="30" customHeight="1">
      <x:c r="A514" s="59" t="str">
        <x:v>docs/11_radkowice_evidence_model.md</x:v>
      </x:c>
      <x:c r="B514" s="59" t="str">
        <x:v>Uruchamianie i kontrola</x:v>
      </x:c>
      <x:c r="C514" s="59" t="str">
        <x:v>python scripts/build_radkowice_graph.py python -m unittest discover -s tests -p test_evidence_graph.py -v</x:v>
      </x:c>
    </x:row>
    <x:row r="515" ht="52" customHeight="1">
      <x:c r="A515" s="59" t="str">
        <x:v>docs/11_radkowice_evidence_model.md</x:v>
      </x:c>
      <x:c r="B515" s="59" t="str">
        <x:v>Uruchamianie i kontrola</x:v>
      </x:c>
      <x:c r="C515"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516" ht="52" customHeight="1">
      <x:c r="A516" s="59" t="str">
        <x:v>docs/11_radkowice_evidence_model.md</x:v>
      </x:c>
      <x:c r="B516" s="59" t="str">
        <x:v>Uruchamianie i kontrola</x:v>
      </x:c>
      <x:c r="C516"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517" ht="66" customHeight="1">
      <x:c r="A517" s="59" t="str">
        <x:v>docs/11_radkowice_evidence_model.md</x:v>
      </x:c>
      <x:c r="B517" s="59" t="str">
        <x:v>Następny etap</x:v>
      </x:c>
      <x:c r="C517"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518" ht="38" customHeight="1">
      <x:c r="A518" s="59" t="str">
        <x:v>docs/11_radkowice_evidence_model.md</x:v>
      </x:c>
      <x:c r="B518" s="59" t="str">
        <x:v>Wersja v2 — 11.09.2026</x:v>
      </x:c>
      <x:c r="C518" s="59" t="str">
        <x:v>Uzupełnienie 110 kV (12_radkowice_110kv_research.md) rozszerza graf do 13 obiektów i 13 relacji. Polecenie bez argumentu generuje teraz v2; --version 1 odtwarza zachowaną wersję v1. Dokumenty prywatne nie wchodzą do tego grafu.</x:v>
      </x:c>
    </x:row>
    <x:row r="519" ht="66" customHeight="1">
      <x:c r="A519" s="59" t="str">
        <x:v>docs/12_radkowice_110kv_research.md</x:v>
      </x:c>
      <x:c r="B519" s="59" t="str">
        <x:v>Radkowice–Wolica: dowód dla sieci 110 kV</x:v>
      </x:c>
      <x:c r="C519"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520" ht="52" customHeight="1">
      <x:c r="A520" s="59" t="str">
        <x:v>docs/12_radkowice_110kv_research.md</x:v>
      </x:c>
      <x:c r="B520" s="59" t="str">
        <x:v>Radkowice–Wolica: dowód dla sieci 110 kV</x:v>
      </x:c>
      <x:c r="C520"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521" ht="52" customHeight="1">
      <x:c r="A521" s="59" t="str">
        <x:v>docs/12_radkowice_110kv_research.md</x:v>
      </x:c>
      <x:c r="B521" s="59" t="str">
        <x:v>Radkowice–Wolica: dowód dla sieci 110 kV</x:v>
      </x:c>
      <x:c r="C521"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522" ht="30" customHeight="1">
      <x:c r="A522" s="59" t="str">
        <x:v>docs/12_radkowice_110kv_research.md</x:v>
      </x:c>
      <x:c r="B522" s="59" t="str">
        <x:v>Radkowice–Wolica: dowód dla sieci 110 kV</x:v>
      </x:c>
      <x:c r="C522" s="59" t="str">
        <x:v>Odtworzenie po przywróceniu wszystkich źródeł:</x:v>
      </x:c>
    </x:row>
    <x:row r="523" ht="30" customHeight="1">
      <x:c r="A523" s="59" t="str">
        <x:v>docs/12_radkowice_110kv_research.md</x:v>
      </x:c>
      <x:c r="B523" s="59" t="str">
        <x:v>Radkowice–Wolica: dowód dla sieci 110 kV</x:v>
      </x:c>
      <x:c r="C523" s="59" t="str">
        <x:v>python scripts/build_radkowice_graph.py --version 2 python -m unittest discover -s tests -v</x:v>
      </x:c>
    </x:row>
    <x:row r="524" ht="52" customHeight="1">
      <x:c r="A524" s="59" t="str">
        <x:v>docs/12_radkowice_110kv_research.md</x:v>
      </x:c>
      <x:c r="B524" s="59" t="str">
        <x:v>Radkowice–Wolica: dowód dla sieci 110 kV</x:v>
      </x:c>
      <x:c r="C524"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525" ht="52" customHeight="1">
      <x:c r="A525" s="59" t="str">
        <x:v>docs/12_radkowice_110kv_research.md</x:v>
      </x:c>
      <x:c r="B525" s="59" t="str">
        <x:v>Radkowice–Wolica: dowód dla sieci 110 kV</x:v>
      </x:c>
      <x:c r="C525"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526" ht="38" customHeight="1">
      <x:c r="A526" s="59" t="str">
        <x:v>docs/12_radkowice_110kv_research.md</x:v>
      </x:c>
      <x:c r="B526" s="59" t="str">
        <x:v>Radkowice–Wolica: dowód dla sieci 110 kV</x:v>
      </x:c>
      <x:c r="C526" s="59" t="str">
        <x:v>Pozostałe tropy wyszukiwarki: decyzja 2/2024 oraz projekt planu rozwoju PGE 2026–2031. Pełnych dokumentów tych dwóch tropów nie udało się odczytać w tym kroku; dat i wartości z ich snippetów nie włączono do modelu.</x:v>
      </x:c>
    </x:row>
    <x:row r="527" ht="38" customHeight="1">
      <x:c r="A527" s="59" t="str">
        <x:v>docs/13_shared_connection_model.md</x:v>
      </x:c>
      <x:c r="B527" s="59" t="str">
        <x:v>Wspólne przyłącze — model dokumentacyjny</x:v>
      </x:c>
      <x:c r="C527" s="59" t="str">
        <x:v>12.09.2026 (prace rozpoczęte 11.09). Moduł grid_engine/shared_connection.py działa bez bazy, internetu i nowych zależności. Jest ograniczonym modelem ewidencji miejsc, nie silnikiem oceny przepływów ani rezerwy mocy.</x:v>
      </x:c>
    </x:row>
    <x:row r="528" ht="52" customHeight="1">
      <x:c r="A528" s="59" t="str">
        <x:v>docs/13_shared_connection_model.md</x:v>
      </x:c>
      <x:c r="B528" s="59" t="str">
        <x:v>Dane wejściowe</x:v>
      </x:c>
      <x:c r="C528"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529" ht="66" customHeight="1">
      <x:c r="A529" s="59" t="str">
        <x:v>docs/13_shared_connection_model.md</x:v>
      </x:c>
      <x:c r="B529" s="59" t="str">
        <x:v>Dane wejściowe</x:v>
      </x:c>
      <x:c r="C529"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530" ht="52" customHeight="1">
      <x:c r="A530" s="59" t="str">
        <x:v>docs/13_shared_connection_model.md</x:v>
      </x:c>
      <x:c r="B530" s="59" t="str">
        <x:v>Dane wejściowe</x:v>
      </x:c>
      <x:c r="C530"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531" ht="94" customHeight="1">
      <x:c r="A531" s="59" t="str">
        <x:v>docs/13_shared_connection_model.md</x:v>
      </x:c>
      <x:c r="B531" s="59" t="str">
        <x:v>Wynik i reguły</x:v>
      </x:c>
      <x:c r="C531"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532" ht="38" customHeight="1">
      <x:c r="A532" s="59" t="str">
        <x:v>docs/13_shared_connection_model.md</x:v>
      </x:c>
      <x:c r="B532" s="59" t="str">
        <x:v>Wynik i reguły</x:v>
      </x:c>
      <x:c r="C532" s="59" t="str">
        <x:v>niezależnymi wartościami źródłowymi. Zero jest różne od braku danych. - Dostępna moc importowa/eksportowa i możliwość rozpływu pozostają nieznane niezależnie od liczby miejsc.</x:v>
      </x:c>
    </x:row>
    <x:row r="533" ht="52" customHeight="1">
      <x:c r="A533" s="59" t="str">
        <x:v>docs/13_shared_connection_model.md</x:v>
      </x:c>
      <x:c r="B533" s="59" t="str">
        <x:v>Wynik i reguły</x:v>
      </x:c>
      <x:c r="C533"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534" ht="66" customHeight="1">
      <x:c r="A534" s="59" t="str">
        <x:v>docs/13_shared_connection_model.md</x:v>
      </x:c>
      <x:c r="B534" s="59" t="str">
        <x:v>Czas i prywatność</x:v>
      </x:c>
      <x:c r="C534"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535" ht="52" customHeight="1">
      <x:c r="A535" s="59" t="str">
        <x:v>docs/13_shared_connection_model.md</x:v>
      </x:c>
      <x:c r="B535" s="59" t="str">
        <x:v>Czas i prywatność</x:v>
      </x:c>
      <x:c r="C535"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536" ht="52" customHeight="1">
      <x:c r="A536" s="59" t="str">
        <x:v>docs/13_shared_connection_model.md</x:v>
      </x:c>
      <x:c r="B536" s="59" t="str">
        <x:v>Walidacja i dalsza praca</x:v>
      </x:c>
      <x:c r="C536"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537" ht="30" customHeight="1">
      <x:c r="A537" s="59" t="str">
        <x:v>docs/13_shared_connection_model.md</x:v>
      </x:c>
      <x:c r="B537" s="59" t="str">
        <x:v>Walidacja i dalsza praca</x:v>
      </x:c>
      <x:c r="C537" s="59" t="str">
        <x:v>python -m unittest discover -s tests -p test_shared_connection.py -v</x:v>
      </x:c>
    </x:row>
    <x:row r="538" ht="52" customHeight="1">
      <x:c r="A538" s="59" t="str">
        <x:v>docs/13_shared_connection_model.md</x:v>
      </x:c>
      <x:c r="B538" s="59" t="str">
        <x:v>Odtwarzanie z zapisanego wejścia</x:v>
      </x:c>
      <x:c r="C538"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39" ht="30" customHeight="1">
      <x:c r="A539" s="59" t="str">
        <x:v>docs/13_shared_connection_model.md</x:v>
      </x:c>
      <x:c r="B539" s="59" t="str">
        <x:v>Odtwarzanie z zapisanego wejścia</x:v>
      </x:c>
      <x:c r="C539" s="59" t="str">
        <x:v>python scripts/analyze_shared_connection.py --input SCIEZKA_WEJSCIA.json --output SCIEZKA_NOWEGO_WYNIKU.json</x:v>
      </x:c>
    </x:row>
    <x:row r="540" ht="80" customHeight="1">
      <x:c r="A540" s="59" t="str">
        <x:v>docs/13_shared_connection_model.md</x:v>
      </x:c>
      <x:c r="B540" s="59" t="str">
        <x:v>Odtwarzanie z zapisanego wejścia</x:v>
      </x:c>
      <x:c r="C540"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41" ht="66" customHeight="1">
      <x:c r="A541" s="59" t="str">
        <x:v>docs/13_shared_connection_model.md</x:v>
      </x:c>
      <x:c r="B541" s="59" t="str">
        <x:v>Kontrola wejścia — 15.09.2026</x:v>
      </x:c>
      <x:c r="C541"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42" ht="52" customHeight="1">
      <x:c r="A542" s="59" t="str">
        <x:v>docs/13_shared_connection_model.md</x:v>
      </x:c>
      <x:c r="B542" s="59" t="str">
        <x:v>Kontrola wejścia — 15.09.2026</x:v>
      </x:c>
      <x:c r="C542"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43" ht="38" customHeight="1">
      <x:c r="A543" s="59" t="str">
        <x:v>docs/14_observation_history.md</x:v>
      </x:c>
      <x:c r="B543" s="59" t="str">
        <x:v>Historia obserwacji — prototyp v1</x:v>
      </x:c>
      <x:c r="C543" s="59" t="str">
        <x:v>Data: 2026-09-15. Zakres: dokumentacyjne obserwacje REPORTED / UNKNOWN, bez bazy produkcyjnej, automatycznej aktualizacji i obliczania mocy.</x:v>
      </x:c>
    </x:row>
    <x:row r="544" ht="52" customHeight="1">
      <x:c r="A544" s="59" t="str">
        <x:v>docs/14_observation_history.md</x:v>
      </x:c>
      <x:c r="B544" s="59" t="str">
        <x:v>Dwa niezależne pytania</x:v>
      </x:c>
      <x:c r="C544"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45" ht="52" customHeight="1">
      <x:c r="A545" s="59" t="str">
        <x:v>docs/14_observation_history.md</x:v>
      </x:c>
      <x:c r="B545" s="59" t="str">
        <x:v>Dwa niezależne pytania</x:v>
      </x:c>
      <x:c r="C545"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46" ht="66" customHeight="1">
      <x:c r="A546" s="59" t="str">
        <x:v>docs/14_observation_history.md</x:v>
      </x:c>
      <x:c r="B546" s="59" t="str">
        <x:v>Korekty, konflikty i prywatność</x:v>
      </x:c>
      <x:c r="C546"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47" ht="66" customHeight="1">
      <x:c r="A547" s="59" t="str">
        <x:v>docs/14_observation_history.md</x:v>
      </x:c>
      <x:c r="B547" s="59" t="str">
        <x:v>Korekty, konflikty i prywatność</x:v>
      </x:c>
      <x:c r="C547"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48" ht="66" customHeight="1">
      <x:c r="A548" s="59" t="str">
        <x:v>docs/14_observation_history.md</x:v>
      </x:c>
      <x:c r="B548" s="59" t="str">
        <x:v>Próba Radkowice na rzeczywistych danych</x:v>
      </x:c>
      <x:c r="C548"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49" ht="52" customHeight="1">
      <x:c r="A549" s="59" t="str">
        <x:v>docs/14_observation_history.md</x:v>
      </x:c>
      <x:c r="B549" s="59" t="str">
        <x:v>Próba Radkowice na rzeczywistych danych</x:v>
      </x:c>
      <x:c r="C549"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50" ht="30" customHeight="1">
      <x:c r="A550" s="59" t="str">
        <x:v>docs/14_observation_history.md</x:v>
      </x:c>
      <x:c r="B550" s="59" t="str">
        <x:v>Próba Radkowice na rzeczywistych danych</x:v>
      </x:c>
      <x:c r="C550" s="59" t="str">
        <x:v>Odtworzenie z katalogu repozytorium:</x:v>
      </x:c>
    </x:row>
    <x:row r="551" ht="30" customHeight="1">
      <x:c r="A551" s="59" t="str">
        <x:v>docs/14_observation_history.md</x:v>
      </x:c>
      <x:c r="B551" s="59" t="str">
        <x:v>Próba Radkowice na rzeczywistych danych</x:v>
      </x:c>
      <x:c r="C551" s="59" t="str">
        <x:v>python -m scripts.build_radkowice_history --recorded-at 2026-09-15T11:21:36Z</x:v>
      </x:c>
    </x:row>
    <x:row r="552" ht="52" customHeight="1">
      <x:c r="A552" s="59" t="str">
        <x:v>docs/14_observation_history.md</x:v>
      </x:c>
      <x:c r="B552" s="59" t="str">
        <x:v>Próba Radkowice na rzeczywistych danych</x:v>
      </x:c>
      <x:c r="C552"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53" ht="66" customHeight="1">
      <x:c r="A553" s="59" t="str">
        <x:v>docs/14_observation_history.md</x:v>
      </x:c>
      <x:c r="B553" s="59" t="str">
        <x:v>Ograniczenia i kolejny krok</x:v>
      </x:c>
      <x:c r="C553"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54" ht="38" customHeight="1">
      <x:c r="A554" s="59" t="str">
        <x:v>docs/14_observation_history.md</x:v>
      </x:c>
      <x:c r="B554" s="59" t="str">
        <x:v>Ograniczenia i kolejny krok</x:v>
      </x:c>
      <x:c r="C554" s="59" t="str">
        <x:v>Integrację historii z ewidencją przypisań dodano w kolejnym przyroście poniżej. Nie wymaga to ekspertyzy wpływu; nie uprawnia do wyliczania rezerwy MW ani prawdopodobieństwa przyłączenia.</x:v>
      </x:c>
    </x:row>
    <x:row r="555" ht="66" customHeight="1">
      <x:c r="A555" s="59" t="str">
        <x:v>docs/14_observation_history.md</x:v>
      </x:c>
      <x:c r="B555" s="59" t="str">
        <x:v>Ograniczenia i kolejny krok</x:v>
      </x:c>
      <x:c r="C555"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56" ht="38" customHeight="1">
      <x:c r="A556" s="59" t="str">
        <x:v>docs/14_observation_history.md</x:v>
      </x:c>
      <x:c r="B556" s="59" t="str">
        <x:v>Integracja z przypisaniami — 2026-09-15</x:v>
      </x:c>
      <x:c r="C556" s="59" t="str">
        <x:v>grid_engine/historical_assignments.py łączy zapytanie as_known z istniejącym licznikiem summarize. Przyjmuje pełną historię oraz identyfikator przyłącza, scenariusz CURRENT / PLANNED, moment wiedzy i dzień ocenianego stanu.</x:v>
      </x:c>
    </x:row>
    <x:row r="557" ht="66" customHeight="1">
      <x:c r="A557" s="59" t="str">
        <x:v>docs/14_observation_history.md</x:v>
      </x:c>
      <x:c r="B557" s="59" t="str">
        <x:v>Integracja z przypisaniami — 2026-09-15</x:v>
      </x:c>
      <x:c r="C557"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58" ht="66" customHeight="1">
      <x:c r="A558" s="59" t="str">
        <x:v>docs/14_observation_history.md</x:v>
      </x:c>
      <x:c r="B558" s="59" t="str">
        <x:v>Integracja z przypisaniami — 2026-09-15</x:v>
      </x:c>
      <x:c r="C558"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59" ht="52" customHeight="1">
      <x:c r="A559" s="59" t="str">
        <x:v>docs/14_observation_history.md</x:v>
      </x:c>
      <x:c r="B559" s="59" t="str">
        <x:v>Integracja z przypisaniami — 2026-09-15</x:v>
      </x:c>
      <x:c r="C559"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60" ht="80" customHeight="1">
      <x:c r="A560" s="59" t="str">
        <x:v>docs/14_observation_history.md</x:v>
      </x:c>
      <x:c r="B560" s="59" t="str">
        <x:v>Integracja z przypisaniami — 2026-09-15</x:v>
      </x:c>
      <x:c r="C560"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61" ht="52" customHeight="1">
      <x:c r="A561" s="59" t="str">
        <x:v>docs/14_observation_history.md</x:v>
      </x:c>
      <x:c r="B561" s="59" t="str">
        <x:v>Integracja z przypisaniami — 2026-09-15</x:v>
      </x:c>
      <x:c r="C561"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62" ht="30" customHeight="1">
      <x:c r="A562" s="59" t="str">
        <x:v>docs/14_observation_history.md</x:v>
      </x:c>
      <x:c r="B562" s="59" t="str">
        <x:v>Integracja z przypisaniami — 2026-09-15</x:v>
      </x:c>
      <x:c r="C562" s="59" t="str">
        <x:v>Następny krok po odtwarzaniu plikowym: historia parametrów i jawnych deklaracji kompletności.</x:v>
      </x:c>
    </x:row>
    <x:row r="563" ht="52" customHeight="1">
      <x:c r="A563" s="59" t="str">
        <x:v>docs/14_observation_history.md</x:v>
      </x:c>
      <x:c r="B563" s="59" t="str">
        <x:v>Integracja z przypisaniami — 2026-09-15</x:v>
      </x:c>
      <x:c r="C563"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64" ht="38" customHeight="1">
      <x:c r="A564" s="59" t="str">
        <x:v>docs/14_observation_history.md</x:v>
      </x:c>
      <x:c r="B564" s="59" t="str">
        <x:v>Integracja z przypisaniami — 2026-09-15</x:v>
      </x:c>
      <x:c r="C564" s="59" t="str">
        <x:v>Walidacja przyrostu integracyjnego: 76 testów Python (w tym 12 testów nowego adaptera) oraz 8 testów raportowania przeszło 2026-09-15. git diff --check bez błędów. Nie wprowadzono nowych zależności ani danych prywatnych do repozytorium.</x:v>
      </x:c>
    </x:row>
    <x:row r="565" ht="30" customHeight="1">
      <x:c r="A565" s="59" t="str">
        <x:v>docs/14_observation_history.md</x:v>
      </x:c>
      <x:c r="B565" s="59" t="str">
        <x:v>Odtwarzanie plikowe z manifestem — 2026-09-15</x:v>
      </x:c>
      <x:c r="C565" s="59" t="str">
        <x:v>python scripts/analyze_historical_assignments.py --input SCIEZKA_WEJSCIA.json --output SCIEZKA_NOWEGO_WYNIKU.json</x:v>
      </x:c>
    </x:row>
    <x:row r="566" ht="66" customHeight="1">
      <x:c r="A566" s="59" t="str">
        <x:v>docs/14_observation_history.md</x:v>
      </x:c>
      <x:c r="B566" s="59" t="str">
        <x:v>Odtwarzanie plikowe z manifestem — 2026-09-15</x:v>
      </x:c>
      <x:c r="C566"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67" ht="52" customHeight="1">
      <x:c r="A567" s="59" t="str">
        <x:v>docs/14_observation_history.md</x:v>
      </x:c>
      <x:c r="B567" s="59" t="str">
        <x:v>Odtwarzanie plikowe z manifestem — 2026-09-15</x:v>
      </x:c>
      <x:c r="C567"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68" ht="80" customHeight="1">
      <x:c r="A568" s="59" t="str">
        <x:v>docs/14_observation_history.md</x:v>
      </x:c>
      <x:c r="B568" s="59" t="str">
        <x:v>Odtwarzanie plikowe z manifestem — 2026-09-15</x:v>
      </x:c>
      <x:c r="C568"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69" ht="52" customHeight="1">
      <x:c r="A569" s="59" t="str">
        <x:v>docs/14_observation_history.md</x:v>
      </x:c>
      <x:c r="B569" s="59" t="str">
        <x:v>Odtwarzanie plikowe z manifestem — 2026-09-15</x:v>
      </x:c>
      <x:c r="C569"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70" ht="80" customHeight="1">
      <x:c r="A570" s="59" t="str">
        <x:v>docs/14_observation_history.md</x:v>
      </x:c>
      <x:c r="B570" s="59" t="str">
        <x:v>Odtwarzanie plikowe z manifestem — 2026-09-15</x:v>
      </x:c>
      <x:c r="C570"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71" ht="66" customHeight="1">
      <x:c r="A571" s="59" t="str">
        <x:v>docs/14_observation_history.md</x:v>
      </x:c>
      <x:c r="B571" s="59" t="str">
        <x:v>Odtwarzanie plikowe z manifestem — 2026-09-15</x:v>
      </x:c>
      <x:c r="C571"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72" ht="52" customHeight="1">
      <x:c r="A572" s="59" t="str">
        <x:v>docs/14_observation_history.md</x:v>
      </x:c>
      <x:c r="B572" s="59" t="str">
        <x:v>Odtwarzanie plikowe z manifestem — 2026-09-15</x:v>
      </x:c>
      <x:c r="C572"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73" ht="80" customHeight="1">
      <x:c r="A573" s="59" t="str">
        <x:v>docs/14_observation_history.md</x:v>
      </x:c>
      <x:c r="B573" s="59" t="str">
        <x:v>Historyczne parametry przyłącza — wariant v2, 2026-09-15</x:v>
      </x:c>
      <x:c r="C573"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74" ht="38" customHeight="1">
      <x:c r="A574" s="59" t="str">
        <x:v>docs/14_observation_history.md</x:v>
      </x:c>
      <x:c r="B574" s="59" t="str">
        <x:v>Historyczne parametry przyłącza — wariant v2, 2026-09-15</x:v>
      </x:c>
      <x:c r="C574" s="59" t="str">
        <x:v>Wspólne dla parametrów: entity_id oznacza konkretne przyłącze, scenario rozdziela CURRENT / PLANNED, a daty i dowody mają kontrakt Observation.</x:v>
      </x:c>
    </x:row>
    <x:row r="575" ht="38" customHeight="1">
      <x:c r="A575" s="59" t="str">
        <x:v>docs/14_observation_history.md</x:v>
      </x:c>
      <x:c r="B575" s="59" t="str">
        <x:v>Historyczne parametry przyłącza — wariant v2, 2026-09-15</x:v>
      </x:c>
      <x:c r="C575" s="59" t="str">
        <x:v>field / unit / value jako tekst</x:v>
      </x:c>
    </x:row>
    <x:row r="576" ht="38" customHeight="1">
      <x:c r="A576" s="59" t="str">
        <x:v>docs/14_observation_history.md</x:v>
      </x:c>
      <x:c r="B576" s="59" t="str">
        <x:v>Historyczne parametry przyłącza — wariant v2, 2026-09-15</x:v>
      </x:c>
      <x:c r="C576" s="59" t="str">
        <x:v>maximum_positions / position / Nieujemna liczba całkowita</x:v>
      </x:c>
    </x:row>
    <x:row r="577" ht="38" customHeight="1">
      <x:c r="A577" s="59" t="str">
        <x:v>docs/14_observation_history.md</x:v>
      </x:c>
      <x:c r="B577" s="59" t="str">
        <x:v>Historyczne parametry przyłącza — wariant v2, 2026-09-15</x:v>
      </x:c>
      <x:c r="C577" s="59" t="str">
        <x:v>inventory_complete / null / Dokładnie true albo false</x:v>
      </x:c>
    </x:row>
    <x:row r="578" ht="38" customHeight="1">
      <x:c r="A578" s="59" t="str">
        <x:v>docs/14_observation_history.md</x:v>
      </x:c>
      <x:c r="B578" s="59" t="str">
        <x:v>Historyczne parametry przyłącza — wariant v2, 2026-09-15</x:v>
      </x:c>
      <x:c r="C578" s="59" t="str">
        <x:v>export_limit_MW / MW / Nieujemna liczba dziesiętna z kropką</x:v>
      </x:c>
    </x:row>
    <x:row r="579" ht="38" customHeight="1">
      <x:c r="A579" s="59" t="str">
        <x:v>docs/14_observation_history.md</x:v>
      </x:c>
      <x:c r="B579" s="59" t="str">
        <x:v>Historyczne parametry przyłącza — wariant v2, 2026-09-15</x:v>
      </x:c>
      <x:c r="C579" s="59" t="str">
        <x:v>import_limit_MW / MW / Nieujemna liczba dziesiętna z kropką</x:v>
      </x:c>
    </x:row>
    <x:row r="580" ht="66" customHeight="1">
      <x:c r="A580" s="59" t="str">
        <x:v>docs/14_observation_history.md</x:v>
      </x:c>
      <x:c r="B580" s="59" t="str">
        <x:v>Historyczne parametry przyłącza — wariant v2, 2026-09-15</x:v>
      </x:c>
      <x:c r="C580"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81" ht="52" customHeight="1">
      <x:c r="A581" s="59" t="str">
        <x:v>docs/14_observation_history.md</x:v>
      </x:c>
      <x:c r="B581" s="59" t="str">
        <x:v>Historyczne parametry przyłącza — wariant v2, 2026-09-15</x:v>
      </x:c>
      <x:c r="C581"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82" ht="80" customHeight="1">
      <x:c r="A582" s="59" t="str">
        <x:v>docs/14_observation_history.md</x:v>
      </x:c>
      <x:c r="B582" s="59" t="str">
        <x:v>Historyczne parametry przyłącza — wariant v2, 2026-09-15</x:v>
      </x:c>
      <x:c r="C582"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83" ht="52" customHeight="1">
      <x:c r="A583" s="59" t="str">
        <x:v>docs/14_observation_history.md</x:v>
      </x:c>
      <x:c r="B583" s="59" t="str">
        <x:v>Historyczne parametry przyłącza — wariant v2, 2026-09-15</x:v>
      </x:c>
      <x:c r="C583"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84" ht="38" customHeight="1">
      <x:c r="A584" s="59" t="str">
        <x:v>docs/14_observation_history.md</x:v>
      </x:c>
      <x:c r="B584" s="59" t="str">
        <x:v>Historyczne parametry przyłącza — wariant v2, 2026-09-15</x:v>
      </x:c>
      <x:c r="C584" s="59" t="str">
        <x:v>Po zamknięciu tego przyrostu kolejnym krokiem jest sprawdzenie, które rzeczywiste dowody pilota spełniają kontrakt parametrów i jakie dokładnie braki pozostają. Trwała baza i kontrola dostępu aplikacji nadal nie są wdrożone.</x:v>
      </x:c>
    </x:row>
    <x:row r="585" ht="66" customHeight="1">
      <x:c r="A585" s="59" t="str">
        <x:v>docs/14_observation_history.md</x:v>
      </x:c>
      <x:c r="B585" s="59" t="str">
        <x:v>Historyczne parametry przyłącza — wariant v2, 2026-09-15</x:v>
      </x:c>
      <x:c r="C585"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86" ht="52" customHeight="1">
      <x:c r="A586" s="59" t="str">
        <x:v>docs/15_information_requests.md</x:v>
      </x:c>
      <x:c r="B586" s="59" t="str">
        <x:v>Rejestr potrzebnych dokumentów i informacji</x:v>
      </x:c>
      <x:c r="C586"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87" ht="52" customHeight="1">
      <x:c r="A587" s="59" t="str">
        <x:v>docs/15_information_requests.md</x:v>
      </x:c>
      <x:c r="B587" s="59" t="str">
        <x:v>Rejestr potrzebnych dokumentów i informacji</x:v>
      </x:c>
      <x:c r="C587"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88" ht="52" customHeight="1">
      <x:c r="A588" s="59" t="str">
        <x:v>docs/15_information_requests.md</x:v>
      </x:c>
      <x:c r="B588" s="59" t="str">
        <x:v>Rejestr potrzebnych dokumentów i informacji</x:v>
      </x:c>
      <x:c r="C588"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89" ht="52" customHeight="1">
      <x:c r="A589" s="59" t="str">
        <x:v>docs/15_information_requests.md</x:v>
      </x:c>
      <x:c r="B589" s="59" t="str">
        <x:v>Rejestr potrzebnych dokumentów i informacji</x:v>
      </x:c>
      <x:c r="C589"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90" ht="66" customHeight="1">
      <x:c r="A590" s="59" t="str">
        <x:v>docs/15_information_requests.md</x:v>
      </x:c>
      <x:c r="B590" s="59" t="str">
        <x:v>Rejestr potrzebnych dokumentów i informacji</x:v>
      </x:c>
      <x:c r="C590"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91" ht="66" customHeight="1">
      <x:c r="A591" s="59" t="str">
        <x:v>docs/15_information_requests.md</x:v>
      </x:c>
      <x:c r="B591" s="59" t="str">
        <x:v>Rejestr potrzebnych dokumentów i informacji</x:v>
      </x:c>
      <x:c r="C591"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92" ht="66" customHeight="1">
      <x:c r="A592" s="59" t="str">
        <x:v>docs/15_information_requests.md</x:v>
      </x:c>
      <x:c r="B592" s="59" t="str">
        <x:v>Rejestr potrzebnych dokumentów i informacji</x:v>
      </x:c>
      <x:c r="C592"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93" ht="38" customHeight="1">
      <x:c r="A593" s="59" t="str">
        <x:v>docs/15_information_requests.md</x:v>
      </x:c>
      <x:c r="B593" s="59" t="str">
        <x:v>Rejestr potrzebnych dokumentów i informacji</x:v>
      </x:c>
      <x:c r="C593" s="59" t="str">
        <x:v>Możesz odpowiadać numerem, np. „NEED-001: mam projekt, rewizja ...” albo „NEED-004: nie uda się uzyskać”. Zaktualizuję rejestr i kolejny raport. Zmiany wpisane bezpośrednio w Excel nie wracają automatycznie do rejestru.</x:v>
      </x:c>
    </x:row>
    <x:row r="594" ht="52" customHeight="1">
      <x:c r="A594" s="59" t="str">
        <x:v>docs/15_information_requests.md</x:v>
      </x:c>
      <x:c r="B594" s="59" t="str">
        <x:v>Rejestr potrzebnych dokumentów i informacji</x:v>
      </x:c>
      <x:c r="C594"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95" ht="52" customHeight="1">
      <x:c r="A595" s="59" t="str">
        <x:v>docs/16_radkowice_public_followup.md</x:v>
      </x:c>
      <x:c r="B595" s="59" t="str">
        <x:v>Nowy punkt odniesienia dla projektu mostu</x:v>
      </x:c>
      <x:c r="C595"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96" ht="66" customHeight="1">
      <x:c r="A596" s="59" t="str">
        <x:v>docs/16_radkowice_public_followup.md</x:v>
      </x:c>
      <x:c r="B596" s="59" t="str">
        <x:v>Nowy punkt odniesienia dla projektu mostu</x:v>
      </x:c>
      <x:c r="C596"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97" ht="38" customHeight="1">
      <x:c r="A597" s="59" t="str">
        <x:v>docs/16_radkowice_public_followup.md</x:v>
      </x:c>
      <x:c r="B597" s="59" t="str">
        <x:v>Nowy punkt odniesienia dla projektu mostu</x:v>
      </x:c>
      <x:c r="C597" s="59" t="str">
        <x:v>NEED-001 pozostaje „W pozyskiwaniu”. Numer ogłoszenia i dokładny zakres pomagają szukać projektu i dokumentacji postępowania. Nie utożsamiamy automatycznie tego zamówienia z konkretną rewizją prywatnego projektu ani z wszystkimi etapami stacji.</x:v>
      </x:c>
    </x:row>
    <x:row r="598" ht="66" customHeight="1">
      <x:c r="A598" s="59" t="str">
        <x:v>docs/16_radkowice_public_followup.md</x:v>
      </x:c>
      <x:c r="B598" s="59" t="str">
        <x:v>Linia Radkowice–Kielce Piaski</x:v>
      </x:c>
      <x:c r="C598"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99" ht="38" customHeight="1">
      <x:c r="A599" s="59" t="str">
        <x:v>docs/16_radkowice_public_followup.md</x:v>
      </x:c>
      <x:c r="B599" s="59" t="str">
        <x:v>Linia Radkowice–Kielce Piaski</x:v>
      </x:c>
      <x:c r="C599" s="59" t="str">
        <x:v>NEED-006 uzupełniono o ten trop. Nie połączono automatycznie robót na linii z zakresem mostu ani przebudową linii 110 kV Radkowice–Wolica.</x:v>
      </x:c>
    </x:row>
    <x:row r="600" ht="66" customHeight="1">
      <x:c r="A600" s="59" t="str">
        <x:v>docs/16_radkowice_public_followup.md</x:v>
      </x:c>
      <x:c r="B600" s="59" t="str">
        <x:v>Ponowny odczyt portalu PSE</x:v>
      </x:c>
      <x:c r="C600"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601" ht="66" customHeight="1">
      <x:c r="A601" s="59" t="str">
        <x:v>docs/16_radkowice_public_followup.md</x:v>
      </x:c>
      <x:c r="B601" s="59" t="str">
        <x:v>Automatyzacja i odtwarzanie</x:v>
      </x:c>
      <x:c r="C601"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602" ht="52" customHeight="1">
      <x:c r="A602" s="59" t="str">
        <x:v>docs/16_radkowice_public_followup.md</x:v>
      </x:c>
      <x:c r="B602" s="59" t="str">
        <x:v>Automatyzacja i odtwarzanie</x:v>
      </x:c>
      <x:c r="C602"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603" ht="52" customHeight="1">
      <x:c r="A603" s="59" t="str">
        <x:v>docs/16_radkowice_public_followup.md</x:v>
      </x:c>
      <x:c r="B603" s="59" t="str">
        <x:v>Automatyzacja i odtwarzanie</x:v>
      </x:c>
      <x:c r="C603"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604" ht="38" customHeight="1">
      <x:c r="A604" s="59" t="str">
        <x:v>docs/16_radkowice_public_followup.md</x:v>
      </x:c>
      <x:c r="B604" s="59" t="str">
        <x:v>Automatyzacja i odtwarzanie</x:v>
      </x:c>
      <x:c r="C604" s="59" t="str">
        <x:v>Tropy niezaliczone do dowodów modelu: prognoza postępowań z innym plikiem PSE (odczyt web zwrócił błąd), projekt PRSP 2027–2036 i projekt planu PGE 2026–2031 (w tym przyroście tylko wyniki wyszukiwania). Daty z ich snippetów nie zasilają modelu.</x:v>
      </x:c>
    </x:row>
    <x:row r="605" ht="52" customHeight="1">
      <x:c r="A605" s="59" t="str">
        <x:v>docs/16_radkowice_public_followup.md</x:v>
      </x:c>
      <x:c r="B605" s="59" t="str">
        <x:v>Automatyzacja i odtwarzanie</x:v>
      </x:c>
      <x:c r="C605"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606" ht="52" customHeight="1">
      <x:c r="A606" s="59" t="str">
        <x:v>docs/16_radkowice_public_followup.md</x:v>
      </x:c>
      <x:c r="B606" s="59" t="str">
        <x:v>Automatyzacja i odtwarzanie</x:v>
      </x:c>
      <x:c r="C606"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607" ht="80" customHeight="1">
      <x:c r="A607" s="59" t="str">
        <x:v>docs/16_radkowice_public_followup.md</x:v>
      </x:c>
      <x:c r="B607" s="59" t="str">
        <x:v>Pełna decyzja i rozróżnienie pól 8/6 — dalsza weryfikacja 15.09.2026</x:v>
      </x:c>
      <x:c r="C607"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608" ht="52" customHeight="1">
      <x:c r="A608" s="59" t="str">
        <x:v>docs/16_radkowice_public_followup.md</x:v>
      </x:c>
      <x:c r="B608" s="59" t="str">
        <x:v>Pełna decyzja i rozróżnienie pól 8/6 — dalsza weryfikacja 15.09.2026</x:v>
      </x:c>
      <x:c r="C608"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609" ht="80" customHeight="1">
      <x:c r="A609" s="59" t="str">
        <x:v>docs/16_radkowice_public_followup.md</x:v>
      </x:c>
      <x:c r="B609" s="59" t="str">
        <x:v>Pełna decyzja i rozróżnienie pól 8/6 — dalsza weryfikacja 15.09.2026</x:v>
      </x:c>
      <x:c r="C609"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610" ht="80" customHeight="1">
      <x:c r="A610" s="59" t="str">
        <x:v>docs/16_radkowice_public_followup.md</x:v>
      </x:c>
      <x:c r="B610" s="59" t="str">
        <x:v>Pełna decyzja i rozróżnienie pól 8/6 — dalsza weryfikacja 15.09.2026</x:v>
      </x:c>
      <x:c r="C610"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611" ht="52" customHeight="1">
      <x:c r="A611" s="59" t="str">
        <x:v>docs/16_radkowice_public_followup.md</x:v>
      </x:c>
      <x:c r="B611" s="59" t="str">
        <x:v>17.09.2026 — nierozstrzygnięty rok lub zakres wymiany transformatora</x:v>
      </x:c>
      <x:c r="C611" s="59" t="str">
        <x:v>Nowy przegląd wskazuje różnicę 2023/2025 między raportem wpływu a portalem PSE; źródła i datę sprawdzenia zapisano w sekcji 17.09 w docs/01_data_research.md. Wcześniejsze odczyty portalu pozostają prawidłowymi zapisami jego treści, ale nie stanowią rozstrzygnięcia daty odbioru. Dane źródłowe: data/reference/radkowice_investment_dates_2026-09-17_v1.json.</x:v>
      </x:c>
    </x:row>
    <x:row r="612" ht="66" customHeight="1">
      <x:c r="A612" s="59" t="str">
        <x:v>docs/16_radkowice_public_followup.md</x:v>
      </x:c>
      <x:c r="B612" s="59" t="str">
        <x:v>17.09.2026 — nierozstrzygnięty rok lub zakres wymiany transformatora</x:v>
      </x:c>
      <x:c r="C612" s="59" t="str">
        <x:v>Odtwarzanie: python scripts/build_radkowice_investment_review.py --output NOWY_PLIK.json. Skrypt kontroluje hashe, kontekst listy PDF oraz jedną dokładnie oznaczoną sekcję HTML. Błąd schematu zatrzymuje ekstrakcję. Testy obejmują brak roku, sąsiednią inwestycję, powtórzony nagłówek, przypis i rzeczywiste snapshoty. Nie jest to pełny parser raportów PSE. Obie wartości pozostają REPORTED, wybrany rok i dodatkowe MW są null.</x:v>
      </x:c>
    </x:row>
    <x:row r="613" ht="52" customHeight="1">
      <x:c r="A613" s="59" t="str">
        <x:v>docs/16_radkowice_public_followup.md</x:v>
      </x:c>
      <x:c r="B613" s="59" t="str">
        <x:v>17.09.2026 — projekt PRSP po konsultacjach</x:v>
      </x:c>
      <x:c r="C613" s="59" t="str">
        <x:v>Pobrano pełny projekt PRSP 2027–2036 po konsultacjach (https://www.pse.pl/documents/20182/7102190804/PRSP_2027-2036-dokument_glowny_projekt_po_konsultacji.pdf/de2f004f-8a80-4264-907a-a38d52c5d50f?safeargs=76657273696f6e3d312e30), wydanie kwiecień 2026, 120 stron. Nie potwierdzono uzgodnienia tej wersji. Zweryfikowano tekst i obrazy stron 58 i 67.</x:v>
      </x:c>
    </x:row>
    <x:row r="614" ht="30" customHeight="1">
      <x:c r="A614" s="59" t="str">
        <x:v>docs/16_radkowice_public_followup.md</x:v>
      </x:c>
      <x:c r="B614" s="59" t="str">
        <x:v>17.09.2026 — projekt PRSP po konsultacjach</x:v>
      </x:c>
      <x:c r="C614" s="59" t="str">
        <x:v>Wpis / Strona / Przedmiot / Horyzont w dokumencie</x:v>
      </x:c>
    </x:row>
    <x:row r="615" ht="30" customHeight="1">
      <x:c r="A615" s="59" t="str">
        <x:v>docs/16_radkowice_public_followup.md</x:v>
      </x:c>
      <x:c r="B615" s="59" t="str">
        <x:v>17.09.2026 — projekt PRSP po konsultacjach</x:v>
      </x:c>
      <x:c r="C615" s="59" t="str">
        <x:v>III.82 / 58 / Modernizacja linii Kielce–Radkowice 220 kV / 2029–2034</x:v>
      </x:c>
    </x:row>
    <x:row r="616" ht="30" customHeight="1">
      <x:c r="A616" s="59" t="str">
        <x:v>docs/16_radkowice_public_followup.md</x:v>
      </x:c>
      <x:c r="B616" s="59" t="str">
        <x:v>17.09.2026 — projekt PRSP po konsultacjach</x:v>
      </x:c>
      <x:c r="C616" s="59" t="str">
        <x:v>II.47 / 67 / Rozbudowa i modernizacja stacji Radkowice 220/110 kV / 2024–2032</x:v>
      </x:c>
    </x:row>
    <x:row r="617" ht="66" customHeight="1">
      <x:c r="A617" s="59" t="str">
        <x:v>docs/16_radkowice_public_followup.md</x:v>
      </x:c>
      <x:c r="B617" s="59" t="str">
        <x:v>17.09.2026 — projekt PRSP po konsultacjach</x:v>
      </x:c>
      <x:c r="C617" s="59" t="str">
        <x:v>Drugi wpis znajduje się w tabeli zadań realizowanych (początek s.63). To status raportowany w wydaniu dokumentu, nie potwierdzony stan robót na dziś. Objaśnienia s.62 i 75 definiują zakończenie łącznie w wymiarze technicznym, finansowym i formalnym; nie należy utożsamiać go z załączeniem. Cel zadania stacyjnego obejmuje także umożliwienie przyłączenia magazynów, ale nie identyfikuje konkretnego mostu, inwestora ani przyrostu dostępnych MW.</x:v>
      </x:c>
    </x:row>
    <x:row r="618" ht="38" customHeight="1">
      <x:c r="A618" s="59" t="str">
        <x:v>docs/16_radkowice_public_followup.md</x:v>
      </x:c>
      <x:c r="B618" s="59" t="str">
        <x:v>17.09.2026 — projekt PRSP po konsultacjach</x:v>
      </x:c>
      <x:c r="C618" s="59" t="str">
        <x:v>Nie połączono wpisów automatycznie z wymianą transformatora, jej rozbieżnymi datami ani linią Radkowice–Kielce Piaski. API i eksport zawierają dodatkowy snapshot, a zakładka „Inwestycje sieciowe” dwa wpisy, nie kompletny program inwestycji.</x:v>
      </x:c>
    </x:row>
    <x:row r="619" ht="66" customHeight="1">
      <x:c r="A619" s="59" t="str">
        <x:v>docs/16_radkowice_public_followup.md</x:v>
      </x:c>
      <x:c r="B619" s="59" t="str">
        <x:v>17.09.2026 — projekt PRSP po konsultacjach</x:v>
      </x:c>
      <x:c r="C619" s="59" t="str">
        <x:v>Odtwarzanie: python scripts/build_radkowice_development_plan.py --output NOWY_PLIK.json. Kontrola hash, wydania, nagłówka, tytułu i granicy wiersza. Brak roku, nierozpoznany przypis lub zmieniona granica zatrzymują odczyt. To ograniczony parser, nie ekstraktor całego PDF. Surowy dokument zachowano w ZIP z manifestem radkowice_prsp_archive_2026-09-17.json; kontrola integralności przeszła.</x:v>
      </x:c>
    </x:row>
    <x:row r="620" ht="52" customHeight="1">
      <x:c r="A620" s="59" t="str">
        <x:v>docs/16_radkowice_public_followup.md</x:v>
      </x:c>
      <x:c r="B620" s="59" t="str">
        <x:v>17.09.2026 — projekt PRSP po konsultacjach</x:v>
      </x:c>
      <x:c r="C620" s="59" t="str">
        <x:v>Nie pobrano w tym przyroście starszego projektu konsultacyjnego (web: 404), PDF planu postępowań PGE 2026 (502) ani TED 771822-2025 (błąd odczytu). Snippety nie są dowodami terminów; brak odczytu nie dowodzi braku dokumentu lub inwestycji. NEED-011 pozostaje otwarty.</x:v>
      </x:c>
    </x:row>
    <x:row r="621" ht="38" customHeight="1">
      <x:c r="A621" s="59" t="str">
        <x:v>docs/17_local_application.md</x:v>
      </x:c>
      <x:c r="B621" s="59" t="str">
        <x:v>Lokalna aplikacja pilotażowa — Radkowice</x:v>
      </x:c>
      <x:c r="C621" s="59" t="str">
        <x:v>Stan: 2026-09-16. Użytkownik zatwierdził rozpoczęcie aplikacji z oceną przesłanek i ryzyk; porównanie stacji pozostaje późniejszym etapem.</x:v>
      </x:c>
    </x:row>
    <x:row r="622" ht="30" customHeight="1">
      <x:c r="A622" s="59" t="str">
        <x:v>docs/17_local_application.md</x:v>
      </x:c>
      <x:c r="B622" s="59" t="str">
        <x:v>Uruchomienie</x:v>
      </x:c>
      <x:c r="C622" s="59" t="str">
        <x:v>W PowerShell, z folderu projektu:</x:v>
      </x:c>
    </x:row>
    <x:row r="623" ht="30" customHeight="1">
      <x:c r="A623" s="59" t="str">
        <x:v>docs/17_local_application.md</x:v>
      </x:c>
      <x:c r="B623" s="59" t="str">
        <x:v>Uruchomienie</x:v>
      </x:c>
      <x:c r="C623" s="59" t="str">
        <x:v>./scripts/start_local_app.ps1</x:v>
      </x:c>
    </x:row>
    <x:row r="624" ht="66" customHeight="1">
      <x:c r="A624" s="59" t="str">
        <x:v>docs/17_local_application.md</x:v>
      </x:c>
      <x:c r="B624" s="59" t="str">
        <x:v>Uruchomienie</x:v>
      </x:c>
      <x:c r="C624"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625" ht="66" customHeight="1">
      <x:c r="A625" s="59" t="str">
        <x:v>docs/17_local_application.md</x:v>
      </x:c>
      <x:c r="B625" s="59" t="str">
        <x:v>Zakres</x:v>
      </x:c>
      <x:c r="C625"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626" ht="66" customHeight="1">
      <x:c r="A626" s="59" t="str">
        <x:v>docs/17_local_application.md</x:v>
      </x:c>
      <x:c r="B626" s="59" t="str">
        <x:v>Interpretacja opinii</x:v>
      </x:c>
      <x:c r="C626"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627" ht="52" customHeight="1">
      <x:c r="A627" s="59" t="str">
        <x:v>docs/17_local_application.md</x:v>
      </x:c>
      <x:c r="B627" s="59" t="str">
        <x:v>Interpretacja opinii</x:v>
      </x:c>
      <x:c r="C627"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628" ht="66" customHeight="1">
      <x:c r="A628" s="59" t="str">
        <x:v>docs/17_local_application.md</x:v>
      </x:c>
      <x:c r="B628" s="59" t="str">
        <x:v>Dane, prywatność i odtwarzalność</x:v>
      </x:c>
      <x:c r="C628"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629" ht="38" customHeight="1">
      <x:c r="A629" s="59" t="str">
        <x:v>docs/17_local_application.md</x:v>
      </x:c>
      <x:c r="B629" s="59" t="str">
        <x:v>Dane, prywatność i odtwarzalność</x:v>
      </x:c>
      <x:c r="C629" s="59" t="str">
        <x:v>Zmiana formularza unieważnia poprzednią opinię. Źródła mają własne daty; uruchomienie aplikacji nie pobiera nowych danych operatorów. Linki zewnętrzne otwierają się dopiero po wybraniu przez użytkownika.</x:v>
      </x:c>
    </x:row>
    <x:row r="630" ht="66" customHeight="1">
      <x:c r="A630" s="59" t="str">
        <x:v>docs/17_local_application.md</x:v>
      </x:c>
      <x:c r="B630" s="59" t="str">
        <x:v>Walidacja i dalszy rozwój</x:v>
      </x:c>
      <x:c r="C630"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631" ht="52" customHeight="1">
      <x:c r="A631" s="59" t="str">
        <x:v>docs/17_local_application.md</x:v>
      </x:c>
      <x:c r="B631" s="59" t="str">
        <x:v>Walidacja i dalszy rozwój</x:v>
      </x:c>
      <x:c r="C631"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632" ht="52" customHeight="1">
      <x:c r="A632" s="59" t="str">
        <x:v>docs/17_local_application.md</x:v>
      </x:c>
      <x:c r="B632" s="59" t="str">
        <x:v>Uzupełnienie 17.09.2026</x:v>
      </x:c>
      <x:c r="C632" s="59" t="str">
        <x:v>Ocena documentary_screening_v2 korzysta także z piątego jawnie wskazanego snapshotu: przeglądu dat inwestycji PSE. Pokazuje rozbieżność roku lub zakresu wraz z dwoma źródłami, bez wyboru daty odbioru lub dodatkowej mocy. Eksport zapisuje przegląd i jego hash. Wcześniejsze wyniki v1 pozostają historyczne; nie są nadpisywane. Nie dodano prywatnych dokumentów do API.</x:v>
      </x:c>
    </x:row>
    <x:row r="633" ht="52" customHeight="1">
      <x:c r="A633" s="59" t="str">
        <x:v>docs/17_local_application.md</x:v>
      </x:c>
      <x:c r="B633" s="59" t="str">
        <x:v>Uzupełnienie 17.09.2026</x:v>
      </x:c>
      <x:c r="C633" s="59" t="str">
        <x:v>Sprawdzono działającą aplikację w przeglądarce: scenariusz testowy BESS 50 MW eksportu i 20 MW importu pokazuje nową rozbieżność oraz oba źródła, zachowując niezależne kierunki i nieznaną rezerwę. Są to parametry testu interfejsu, nie nowy rekord inwestycji.</x:v>
      </x:c>
    </x:row>
    <x:row r="634" ht="94" customHeight="1">
      <x:c r="A634" s="59" t="str">
        <x:v>docs/17_local_application.md</x:v>
      </x:c>
      <x:c r="B634" s="59" t="str">
        <x:v>17.09.2026 — inwestycje sieciowe</x:v>
      </x:c>
      <x:c r="C634" s="59" t="str">
        <x:v>Dodano zakładkę z dwoma zweryfikowanymi wpisami projektu PRSP po konsultacjach. Widok rozróżnia plan i realizację deklarowaną w dokumencie, pokazuje strony, identyfikatory, datę odczytu i hash. Zakończenie formalne/finansowe/techniczne nie jest datą załączenia; dostępne MW pozostają nieustalone. API i eksport oceny zachowują szósty snapshot development_plan. Metoda opinii documentary_screening_v2 nie zmienia reguł ani wag; nowy dokument jest dodatkowym materiałem do oceny użytkownika. Potwierdzono w przeglądarce oba horyzonty, oznaczenie projektu oraz rozwijany dowód i odnośnik. Test API sprawdza zawartość eksportu; nie testowano ponownie</x:v>
      </x:c>
    </x:row>
    <x:row r="635" ht="30" customHeight="1">
      <x:c r="A635" s="59" t="str">
        <x:v>docs/17_local_application.md</x:v>
      </x:c>
      <x:c r="B635" s="59" t="str">
        <x:v>17.09.2026 — inwestycje sieciowe</x:v>
      </x:c>
      <x:c r="C635" s="59" t="str">
        <x:v>samego mechanizmu pobrania pliku przez przeglądarkę.</x:v>
      </x:c>
    </x:row>
    <x:row r="636" ht="38" customHeight="1">
      <x:c r="A636" s="59" t="str">
        <x:v>docs/18_gis_osm_integration.md</x:v>
      </x:c>
      <x:c r="B636" s="59" t="str">
        <x:v>GIS i OpenStreetMap — wkład do oceny przyłączenia</x:v>
      </x:c>
      <x:c r="C636" s="59" t="str">
        <x:v>Weryfikacja: 2026-09-17. Etap: audyt źródeł i próbka Radkowic. Warstwa OSM nie jest jeszcze włączona do mapy aplikacji ani do obliczeń dostępnej mocy.</x:v>
      </x:c>
    </x:row>
    <x:row r="637" ht="30" customHeight="1">
      <x:c r="A637" s="59" t="str">
        <x:v>docs/18_gis_osm_integration.md</x:v>
      </x:c>
      <x:c r="B637" s="59" t="str">
        <x:v>Co wnoszą oba rodzaje danych</x:v>
      </x:c>
      <x:c r="C637" s="59" t="str">
        <x:v>Dane / Przydatność / Granica interpretacji</x:v>
      </x:c>
    </x:row>
    <x:row r="638" ht="52" customHeight="1">
      <x:c r="A638" s="59" t="str">
        <x:v>docs/18_gis_osm_integration.md</x:v>
      </x:c>
      <x:c r="B638" s="59" t="str">
        <x:v>Co wnoszą oba rodzaje danych</x:v>
      </x:c>
      <x:c r="C638" s="59" t="str">
        <x:v>Prywatna kompilacja GIS deklarowana jako stan 2024 / Lokalizacja i nazwy stacji, historyczne grupy, wpisy o inwestycjach i odnośniki do publikacji / Rekord nie musi oznaczać unikalnego obiektu; grupa nie potwierdza połączenia elektrycznego. Licencja kompilacji pozostaje nieustalona — NEED-012.</x:v>
      </x:c>
    </x:row>
    <x:row r="639" ht="38" customHeight="1">
      <x:c r="A639" s="59" t="str">
        <x:v>docs/18_gis_osm_integration.md</x:v>
      </x:c>
      <x:c r="B639" s="59" t="str">
        <x:v>Co wnoszą oba rodzaje danych</x:v>
      </x:c>
      <x:c r="C639" s="59" t="str">
        <x:v>Linie w kompilacji / Poszukiwanie planów i modernizacji / Warstwy inwestycyjne nie stanowią pełnej ewidencji istniejących linii.</x:v>
      </x:c>
    </x:row>
    <x:row r="640" ht="38" customHeight="1">
      <x:c r="A640" s="59" t="str">
        <x:v>docs/18_gis_osm_integration.md</x:v>
      </x:c>
      <x:c r="B640" s="59" t="str">
        <x:v>Co wnoszą oba rodzaje danych</x:v>
      </x:c>
      <x:c r="C640" s="59" t="str">
        <x:v>OpenStreetMap / Geometrie, identyfikatory węzłów i odcinków, tagi napięcia, pola stacji i transformatory / Źródło społecznościowe klasy G; brak gwarancji kompletności, aktualnego układu pracy i parametrów elektrycznych.</x:v>
      </x:c>
    </x:row>
    <x:row r="641" ht="38" customHeight="1">
      <x:c r="A641" s="59" t="str">
        <x:v>docs/18_gis_osm_integration.md</x:v>
      </x:c>
      <x:c r="B641" s="59" t="str">
        <x:v>Co wnoszą oba rodzaje danych</x:v>
      </x:c>
      <x:c r="C641" s="59" t="str">
        <x:v>Dokumenty operatorów / Potwierdzanie parametrów, inwestycji, punktów przyłączenia i zakresów / Dokument musi dotyczyć tego samego obiektu, zakresu i okresu.</x:v>
      </x:c>
    </x:row>
    <x:row r="642" ht="38" customHeight="1">
      <x:c r="A642" s="59" t="str">
        <x:v>docs/18_gis_osm_integration.md</x:v>
      </x:c>
      <x:c r="B642" s="59" t="str">
        <x:v>Co wnoszą oba rodzaje danych</x:v>
      </x:c>
      <x:c r="C642" s="59" t="str">
        <x:v>Szczegółowe wyniki kompilacji użytkownika pozostają w prywatnym raporcie. Ogólny Excel opisuje metodę i ograniczenia, bez importowania prywatnych rekordów.</x:v>
      </x:c>
    </x:row>
    <x:row r="643" ht="52" customHeight="1">
      <x:c r="A643" s="59" t="str">
        <x:v>docs/18_gis_osm_integration.md</x:v>
      </x:c>
      <x:c r="B643" s="59" t="str">
        <x:v>Mapa wskazana przez użytkownika</x:v>
      </x:c>
      <x:c r="C643" s="59" t="str">
        <x:v>Mapa ebin.josm.pl (https://ebin.josm.pl/electricity/) korzysta z danych OSM i kafli wektorowych. Sprawdzono HTML, map.js, locales.js oraz TileJSON dla Polski (https://tiles.josm.pl/data/vector-power-poland.json). Warstwy metadanych: substation, substation_label, high_lines, minor_lines. Nie pobierano masowo kafli. Źródło katalogowe: EBIN_ELECTRICITY.</x:v>
      </x:c>
    </x:row>
    <x:row r="644" ht="52" customHeight="1">
      <x:c r="A644" s="59" t="str">
        <x:v>docs/18_gis_osm_integration.md</x:v>
      </x:c>
      <x:c r="B644" s="59" t="str">
        <x:v>Mapa wskazana przez użytkownika</x:v>
      </x:c>
      <x:c r="C644" s="59" t="str">
        <x:v>HTML deklarował aktualizację mapy 2026-02-26T15:27:19Z. Nie jest to data wszystkich danych OSM. Obiekt Radkowice, way 199098055 (https://www.openstreetmap.org/way/199098055), pobrany 2026-09-17, miał wersję 14 i datę edycji 2026-06-27T14:43:13Z. Data edycji nie oznacza odbioru ani uruchomienia urządzeń.</x:v>
      </x:c>
    </x:row>
    <x:row r="645" ht="52" customHeight="1">
      <x:c r="A645" s="59" t="str">
        <x:v>docs/18_gis_osm_integration.md</x:v>
      </x:c>
      <x:c r="B645" s="59" t="str">
        <x:v>Rzeczywista próbka Radkowic</x:v>
      </x:c>
      <x:c r="C645" s="59" t="str">
        <x:v>Źródła OSM_RADK_STATION_OBJECT i OSM_RADK_STATION_AREA obejmują obiekt stacji oraz niewielki obszar wokół niego. Odpowiedź API zawiera pełne geometrie również poza prostokątem zapytania: 2679 elementów, z czego 754 z tagiem power. Nie są to liczby urządzeń stacji.</x:v>
      </x:c>
    </x:row>
    <x:row r="646" ht="66" customHeight="1">
      <x:c r="A646" s="59" t="str">
        <x:v>docs/18_gis_osm_integration.md</x:v>
      </x:c>
      <x:c r="B646" s="59" t="str">
        <x:v>Rzeczywista próbka Radkowic</x:v>
      </x:c>
      <x:c r="C646" s="59" t="str">
        <x:v>Audyt przestrzenny wybrał 69 rekordów: 1 obszar stacji, 26 portali, 39 obiektów liniowych przecinających obszar stacji i 3 punkty transformatorów wewnątrz obszaru. Dwa z tych transformatorów mają tagi strony pierwotnej 220 kV i wtórnej 110 kV. Brak znamionowej mocy MVA. Trzeci ma typ distribution bez napięcia. Liczba odcinków OSM nie jest liczbą niezależnych linii lub obwodów.</x:v>
      </x:c>
    </x:row>
    <x:row r="647" ht="52" customHeight="1">
      <x:c r="A647" s="59" t="str">
        <x:v>docs/18_gis_osm_integration.md</x:v>
      </x:c>
      <x:c r="B647" s="59" t="str">
        <x:v>Rzeczywista próbka Radkowic</x:v>
      </x:c>
      <x:c r="C647" s="59" t="str">
        <x:v>Wśród odcinków występują tagi pól 110 i 220 kV. Brak zmapowanych elementów power=switch w tej odpowiedzi nie dowodzi braku fizycznych łączników. Relacje obwodów pozostają w surowym XML, lecz audyt nie rozwiązuje ich do topologii elektrycznej. Tag PSE na całym obszarze stacji nie potwierdza własności części 110 kV ani granicy własności transformatorów.</x:v>
      </x:c>
    </x:row>
    <x:row r="648" ht="52" customHeight="1">
      <x:c r="A648" s="59" t="str">
        <x:v>docs/18_gis_osm_integration.md</x:v>
      </x:c>
      <x:c r="B648" s="59" t="str">
        <x:v>Rzeczywista próbka Radkowic</x:v>
      </x:c>
      <x:c r="C648" s="59" t="str">
        <x:v>Wartości tagów są REPORTED przez społeczność OSM, nie przez operatora. Konwersja napięć z V do kV i selekcja przestrzenna są CALCULATED. Połączenie elektryczne, własność wyposażenia, obciążenie i dostępna moc pozostają UNKNOWN. Nie uruchomiono power-flow ani punktacji na podstawie tej próbki.</x:v>
      </x:c>
    </x:row>
    <x:row r="649" ht="52" customHeight="1">
      <x:c r="A649" s="59" t="str">
        <x:v>docs/18_gis_osm_integration.md</x:v>
      </x:c>
      <x:c r="B649" s="59" t="str">
        <x:v>Dostęp i licencja</x:v>
      </x:c>
      <x:c r="C649" s="59" t="str">
        <x:v>OSM copyright (https://www.openstreetmap.org/copyright) określa licencję ODbL, obowiązek uznania autorstwa i warunki dalszego wykorzystania bazy. Osobno trzeba rozpatrywać warunki serwisu kafli i kodu mapy; ich dostępność nie jest zgodą na nieograniczone korzystanie z infrastruktury serwisu. Własny wynik OSM przechowujemy oddzielnie od prywatnej kompilacji.</x:v>
      </x:c>
    </x:row>
    <x:row r="650" ht="94" customHeight="1">
      <x:c r="A650" s="59" t="str">
        <x:v>docs/18_gis_osm_integration.md</x:v>
      </x:c>
      <x:c r="B650" s="59" t="str">
        <x:v>Dostęp i licencja</x:v>
      </x:c>
      <x:c r="C650" s="59" t="str">
        <x:v>Dwie ograniczone próby Overpass zwróciły HTTP 406; zapisano je w overpass_access_2026-09-17.json. To problem dostępu, nie dowód braku danych. Następnie wykonano dwa odczyty głównego API OSM dla rozpoznania próbki. Polityka API (https://operations.osmfoundation.org/policies/api/) wskazuje jego przeznaczenie edycyjne; nie wybieramy go jako cyklicznego zaplecza aplikacji. Kolejny etap powinien wykorzystywać wyciąg PBF albo odpowiednio dobrany serwis Overpass, z cache, identyfikacją klienta i poszanowaniem limitów. Zasady publicznego Overpass (https://dev.overpass-api.de/overpass-doc/en/preface/commons.html) również nie uzasadniają</x:v>
      </x:c>
    </x:row>
    <x:row r="651" ht="30" customHeight="1">
      <x:c r="A651" s="59" t="str">
        <x:v>docs/18_gis_osm_integration.md</x:v>
      </x:c>
      <x:c r="B651" s="59" t="str">
        <x:v>Dostęp i licencja</x:v>
      </x:c>
      <x:c r="C651" s="59" t="str">
        <x:v>nieograniczonego ruchu aplikacji.</x:v>
      </x:c>
    </x:row>
    <x:row r="652" ht="52" customHeight="1">
      <x:c r="A652" s="59" t="str">
        <x:v>docs/18_gis_osm_integration.md</x:v>
      </x:c>
      <x:c r="B652" s="59" t="str">
        <x:v>Odtwarzanie i następny krok</x:v>
      </x:c>
      <x:c r="C652" s="59" t="str">
        <x:v>Manifest probe_results_osm_radkowice_2026-09-17.json zawiera sześć plików wejściowych, URL, daty pobrania i SHA-256. Archiwum osm_radkowice_discovery_2026-09-17.zip jest lokalnym, ignorowanym przez Git dziewiątym archiwum źródeł; manifest jest wersjonowany. Audyt można odtworzyć bez ponownych zapytań:</x:v>
      </x:c>
    </x:row>
    <x:row r="653" ht="30" customHeight="1">
      <x:c r="A653" s="59" t="str">
        <x:v>docs/18_gis_osm_integration.md</x:v>
      </x:c>
      <x:c r="B653" s="59" t="str">
        <x:v>Odtwarzanie i następny krok</x:v>
      </x:c>
      <x:c r="C653" s="59" t="str">
        <x:v>.venv/Scripts/python.exe scripts/audit_osm_radkowice.py --output data/reference/osm_radkowice_station_audit_replay.json</x:v>
      </x:c>
    </x:row>
    <x:row r="654" ht="52" customHeight="1">
      <x:c r="A654" s="59" t="str">
        <x:v>docs/18_gis_osm_integration.md</x:v>
      </x:c>
      <x:c r="B654" s="59" t="str">
        <x:v>Odtwarzanie i następny krok</x:v>
      </x:c>
      <x:c r="C654" s="59" t="str">
        <x:v>Plik wyjściowy musi być nowy. Referencja: data/reference/osm_radkowice_station_audit_2026-09-17_v2.json. Parser odrzuca brakujące węzły, niepoprawną geometrię, powtórzone identyfikatory i nieprawidłowe współrzędne. Dokumentacja tagu voltage (https://wiki.openstreetmap.org/wiki/Key:voltage) stanowi podstawę konwersji jednostek, bez sumowania napięć rozdzielonych średnikiem.</x:v>
      </x:c>
    </x:row>
    <x:row r="655" ht="52" customHeight="1">
      <x:c r="A655" s="59" t="str">
        <x:v>docs/18_gis_osm_integration.md</x:v>
      </x:c>
      <x:c r="B655" s="59" t="str">
        <x:v>Odtwarzanie i następny krok</x:v>
      </x:c>
      <x:c r="C655" s="59" t="str">
        <x:v>Następny krok: regionalna warstwa geometrii OSM i jawni kandydaci połączeń, następnie porównanie z dokumentami operatorów. Przecięcie linii na mapie ani bliskość stacji nie utworzy automatycznie potwierdzonej krawędzi grafu. Pełne pokrycie polskiej sieci nie zostało potwierdzone.</x:v>
      </x:c>
    </x:row>
    <x:row r="656" ht="52" customHeight="1">
      <x:c r="A656" s="59" t="str">
        <x:v>docs/19_oze_sources_review.md</x:v>
      </x:c>
      <x:c r="B656" s="59" t="str">
        <x:v>Wniosek</x:v>
      </x:c>
      <x:c r="C656" s="59" t="str">
        <x:v>Źródła są przydatne w dwóch osobnych modułach: ocena przestrzenna lokalizacji oraz rozpoznawanie istniejących źródeł wytwórczych. Nie dostarczają potwierdzonej rezerwy GPZ, aktualnego obciążenia ani pełnego pipeline przyłączeniowego. Nie zmieniono scoringu i nie dodano ich rekordów do grafu elektrycznego.</x:v>
      </x:c>
    </x:row>
    <x:row r="657" ht="66" customHeight="1">
      <x:c r="A657" s="59" t="str">
        <x:v>docs/19_oze_sources_review.md</x:v>
      </x:c>
      <x:c r="B657" s="59" t="str">
        <x:v>Raport GRID — GRID_OZE_REPORT</x:v>
      </x:c>
      <x:c r="C657" s="59" t="str">
        <x:v>Raport potencjału OZE (https://gridw.home.pl/pub/Raport_potencjal_OZE.pdf): 15 stron; metadane pliku wskazują utworzenie 26.06.2025, co nie jest datą wszystkich danych. Projekt trwał od października 2024 do czerwca 2025. Komunikat autora z 20.08.2025 (https://www.gridw.pl/pl/aktualnosci/mamy-przestrzen-dla-oze-wyniki-analiz-potencjalu-energetyki-odnawialnej-w-gminach) potwierdza publikację.</x:v>
      </x:c>
    </x:row>
    <x:row r="658" ht="66" customHeight="1">
      <x:c r="A658" s="59" t="str">
        <x:v>docs/19_oze_sources_review.md</x:v>
      </x:c>
      <x:c r="B658" s="59" t="str">
        <x:v>Raport GRID — GRID_OZE_REPORT</x:v>
      </x:c>
      <x:c r="C658" s="59" t="str">
        <x:v>Strony 4–10 opisują kryteria terenowe dla PV i wiatru; strona 11 zawiera wyniki dla 18 gmin. Potencjał w ha i procentach powierzchni nie jest mocą przyłączeniową. Opracowanie usuwa obszary poniżej 1 ha; tego założenia nie przenosimy do BESS. Parametry obejmują m.in. bufor 500 m od zabudowy dla wiatru (strona 9), który traktujemy jako historyczne założenie autorów wymagające niezależnej weryfikacji prawnej, nie obowiązującą regułę aplikacji.</x:v>
      </x:c>
    </x:row>
    <x:row r="659" ht="52" customHeight="1">
      <x:c r="A659" s="59" t="str">
        <x:v>docs/19_oze_sources_review.md</x:v>
      </x:c>
      <x:c r="B659" s="59" t="str">
        <x:v>Raport GRID — GRID_OZE_REPORT</x:v>
      </x:c>
      <x:c r="C659" s="59" t="str">
        <x:v>Raport wskazuje przekazanie wektorów GPKG/SHP; nie potwierdzono publicznej paczki do pobrania. Przydatność: metodyka i lista źródeł dla odrębnego modułu przestrzennego. Nie jest studium sieciowym ani potwierdzeniem przeznaczenia działki. Sprawdzono wizualnie tabele stron 9 i 11 oraz tekst dokumentu.</x:v>
      </x:c>
    </x:row>
    <x:row r="660" ht="38" customHeight="1">
      <x:c r="A660" s="59" t="str">
        <x:v>docs/19_oze_sources_review.md</x:v>
      </x:c>
      <x:c r="B660" s="59" t="str">
        <x:v>Geoportal GRID — GRID_OZE_PORTAL</x:v>
      </x:c>
      <x:c r="C660" s="59" t="str">
        <x:v>Adres użytkownika (https://geoportal-oze.gridw.pl/) prowadzi do ArcGIS Instant Apps, appid f6e44953d693416e83473bcbb59aae2d, webmap c3be596d51d846d2a7b90ca007a4879c. Zachowano konfigurację, metadane i próbki.</x:v>
      </x:c>
    </x:row>
    <x:row r="661" ht="52" customHeight="1">
      <x:c r="A661" s="59" t="str">
        <x:v>docs/19_oze_sources_review.md</x:v>
      </x:c>
      <x:c r="B661" s="59" t="str">
        <x:v>Geoportal GRID — GRID_OZE_PORTAL</x:v>
      </x:c>
      <x:c r="C661" s="59" t="str">
        <x:v>Konfiguracja wskazuje warstwy gmin, obszarów preferencyjnych, wykluczeń i buforów GPZ 30/40 km. Bufor odległości nie potwierdza topologii, zdolności przesyłowej, wykonalności trasy ani przypisania projektu. Geometria GPZ wywodząca się z OSM nie jest niezależnym potwierdzeniem OSM.</x:v>
      </x:c>
    </x:row>
    <x:row r="662" ht="66" customHeight="1">
      <x:c r="A662" s="59" t="str">
        <x:v>docs/19_oze_sources_review.md</x:v>
      </x:c>
      <x:c r="B662" s="59" t="str">
        <x:v>Geoportal GRID — GRID_OZE_PORTAL</x:v>
      </x:c>
      <x:c r="C662" s="59" t="str">
        <x:v>Metadane warstwy PV (https://services8.arcgis.com/TG6EwIH3KnV3ncxM/arcgis/rest/services/analiza_pv_1ha/FeatureServer/0?f=pjson) potwierdzają Query, CRS EPSG:3857 (wkid 102100), pola powierzchni i limit 2000 rekordów odpowiedzi. Serwis deklaruje JSON, GeoJSON i PBF; sprawdzono JSON, bez pobierania pełnej geometrii. Limit rekordów nie oznacza dozwolonej częstotliwości zapytań. Próbka jednego rekordu PV ma exceededTransferLimit, więc nie jest całym zbiorem.</x:v>
      </x:c>
    </x:row>
    <x:row r="663" ht="52" customHeight="1">
      <x:c r="A663" s="59" t="str">
        <x:v>docs/19_oze_sources_review.md</x:v>
      </x:c>
      <x:c r="B663" s="59" t="str">
        <x:v>Geoportal GRID — GRID_OZE_PORTAL</x:v>
      </x:c>
      <x:c r="C663" s="59" t="str">
        <x:v>Zapytanie do warstwy gmin pilotażowych zwróciło 18 gmin, bez Chęcin. Nie należy rozszerzać tego stwierdzenia na wszystkie warstwy geoportalu: ich zasięgi są różne. Metadane warstwy PV wskazują edycję w czerwcu 2025; edycja nie ustala aktualności poszczególnych danych wejściowych.</x:v>
      </x:c>
    </x:row>
    <x:row r="664" ht="52" customHeight="1">
      <x:c r="A664" s="59" t="str">
        <x:v>docs/19_oze_sources_review.md</x:v>
      </x:c>
      <x:c r="B664" s="59" t="str">
        <x:v>Geoportal GRID — GRID_OZE_PORTAL</x:v>
      </x:c>
      <x:c r="C664" s="59" t="str">
        <x:v>licenseInfo webmapy jest puste, a warstwy PV nie podają warunków ponownego wykorzystania. Dostęp bez konta nie dowodzi zgody na komercyjną redystrybucję. Potrzeba NEED-015 obejmuje licencję, aktualność, dane źródłowe i zasady dostępu. Nie stwierdzono gwarantowanego cyklu aktualizacji ani SLA. Nie testowano WMS/WFS; znaleziono działający ArcGIS REST.</x:v>
      </x:c>
    </x:row>
    <x:row r="665" ht="52" customHeight="1">
      <x:c r="A665" s="59" t="str">
        <x:v>docs/19_oze_sources_review.md</x:v>
      </x:c>
      <x:c r="B665" s="59" t="str">
        <x:v>Energetyczna Mapa Polski — EMP_PW</x:v>
      </x:c>
      <x:c r="C665" s="59" t="str">
        <x:v>EMP (https://emp.pw.edu.pl/mapa) jest projektem KNE Politechniki Warszawskiej; PW opisuje autorstwo i cel (https://www.pw.edu.pl/aktualnosci/nasi-studenci-stworzyli-energetyczna-mape-polski). To katalog źródeł wytwórczych, a nie oficjalna ewidencja całej topologii KSE.</x:v>
      </x:c>
    </x:row>
    <x:row r="666" ht="66" customHeight="1">
      <x:c r="A666" s="59" t="str">
        <x:v>docs/19_oze_sources_review.md</x:v>
      </x:c>
      <x:c r="B666" s="59" t="str">
        <x:v>Energetyczna Mapa Polski — EMP_PW</x:v>
      </x:c>
      <x:c r="C666" s="59" t="str">
        <x:v>Kod klienta ujawnia używany odczyt GET /api/v1/units (https://emp.pw.edu.pl/api/v1/units). Jedno zapytanie bez konta zwróciło 173 rekordy: 81 coal, 28 on_shore_wind, 17 photovoltaics, 16 biogas, 9 hydro, 7 lignite, 6 pumped_storage, 5 ccgt, 4 off_shore_wind. Są to liczby rekordów odpowiedzi, nie statystyka wszystkich polskich instalacji. Nie znaleziono wzmianki o Radkowicach w tej odpowiedzi.</x:v>
      </x:c>
    </x:row>
    <x:row r="667" ht="66" customHeight="1">
      <x:c r="A667" s="59" t="str">
        <x:v>docs/19_oze_sources_review.md</x:v>
      </x:c>
      <x:c r="B667" s="59" t="str">
        <x:v>Energetyczna Mapa Polski — EMP_PW</x:v>
      </x:c>
      <x:c r="C667" s="59" t="str">
        <x:v>Pola obejmują ID, slug, nazwę, typ, współrzędne, power_installed, właściciela, lata, opis, bibliografię i relację do nadrzędnego obiektu. Brak pola GPZ/PCC oraz jawnej daty aktualizacji rekordu. W odpowiedzi jest 165 kodów statusu 1 i 8 kodów 0; nie mapujemy ich automatycznie na operational/planned. Wymagają potwierdzenia semantyki. Relacje rodzic–dziecko wymagają kontroli przed agregacją mocy. Jednostki liczb trzeba potwierdzić przed normalizacją; sama nazwa pola nie wystarcza.</x:v>
      </x:c>
    </x:row>
    <x:row r="668" ht="66" customHeight="1">
      <x:c r="A668" s="59" t="str">
        <x:v>docs/19_oze_sources_review.md</x:v>
      </x:c>
      <x:c r="B668" s="59" t="str">
        <x:v>Energetyczna Mapa Polski — EMP_PW</x:v>
      </x:c>
      <x:c r="C668" s="59" t="str">
        <x:v>Kod klienta zawiera eksport CSV szczegółów obiektu, lecz nie sprawdzano pobrania CSV w przeglądarce. WMS/WFS ani stabilnego kontraktu publicznego API nie potwierdzono. Nie ustalono otwartej licencji, limitów i cyklu aktualizacji. NEED-016 zapisuje te braki. Źródło klasy G służy odkrywaniu obiektów i odnośników do publikacji pierwotnych. Nie przypisujemy instalacji do najbliższego GPZ ani nie kopiujemy całej bazy do aplikacji.</x:v>
      </x:c>
    </x:row>
    <x:row r="669" ht="66" customHeight="1">
      <x:c r="A669" s="59" t="str">
        <x:v>docs/19_oze_sources_review.md</x:v>
      </x:c>
      <x:c r="B669" s="59" t="str">
        <x:v>Dodatkowy trop krajowy</x:v>
      </x:c>
      <x:c r="C669" s="59" t="str">
        <x:v>Podczas badania znaleziono komunikat GUGiK z 15.06.2026 (https://www.geoportal.gov.pl/aktualnosci/nowe-uslugi-potencjalu-oze-dane-szczegolowe/) o szczegółowych usługach WMS potencjału OZE, także magazynowania energii elektrycznej. Wpis GUGIK_OZE_DETAIL_2026 jest przeglądem komunikatu; endpointy, licencje i zawartość warstw wymagają osobnego testu. To nie dowód dostępnej mocy dla BESS.</x:v>
      </x:c>
    </x:row>
    <x:row r="670" ht="52" customHeight="1">
      <x:c r="A670" s="59" t="str">
        <x:v>docs/19_oze_sources_review.md</x:v>
      </x:c>
      <x:c r="B670" s="59" t="str">
        <x:v>Dalsze działania i odtwarzalność</x:v>
      </x:c>
      <x:c r="C670" s="59" t="str">
        <x:v>Pierwszeństwo ma próbka danych przestrzennych obejmująca pilot z potwierdzonymi zasadami użycia. EMP może uzupełniać kolejkę weryfikacji projektów po ustaleniu praw i semantyki. Kontakty z właścicielami nie zostały wysłane; użytkownik może pomóc w NEED-015 i NEED-016.</x:v>
      </x:c>
    </x:row>
    <x:row r="671" ht="66" customHeight="1">
      <x:c r="A671" s="59" t="str">
        <x:v>docs/19_oze_sources_review.md</x:v>
      </x:c>
      <x:c r="B671" s="59" t="str">
        <x:v>Dalsze działania i odtwarzalność</x:v>
      </x:c>
      <x:c r="C671" s="59" t="str">
        <x:v>Zachowano 12 plików w dziesiątym archiwum data/archives/oze_discovery_2026-09-17.zip, z SHA-256 i URL w data/catalog/probe_results_oze_2026-09-17.json oraz data/catalog/oze_archive_2026-09-17.json. Surowe pliki pozostają poza Git; osobna kopia zapasowa jest wymagana. Nagłówki HTTP nie zostały zachowane, etykiety formatu wynikają ze sprawdzonej treści. Nie implementowano connectora produkcyjnego ani nowych modeli oceny.</x:v>
      </x:c>
    </x:row>
    <x:row r="672" ht="52" customHeight="1">
      <x:c r="A672" s="59" t="str">
        <x:v>docs/private_sources.md</x:v>
      </x:c>
      <x:c r="B672" s="59" t="str">
        <x:v>Materiały użytkownika i prywatne wyniki</x:v>
      </x:c>
      <x:c r="C672"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673" ht="52" customHeight="1">
      <x:c r="A673" s="59" t="str">
        <x:v>docs/private_sources.md</x:v>
      </x:c>
      <x:c r="B673" s="59" t="str">
        <x:v>Materiały użytkownika i prywatne wyniki</x:v>
      </x:c>
      <x:c r="C673"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674" ht="66" customHeight="1">
      <x:c r="A674" s="59" t="str">
        <x:v>docs/private_sources.md</x:v>
      </x:c>
      <x:c r="B674" s="59" t="str">
        <x:v>Materiały użytkownika i prywatne wyniki</x:v>
      </x:c>
      <x:c r="C674"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675" ht="52" customHeight="1">
      <x:c r="A675" s="59" t="str">
        <x:v>docs/private_sources.md</x:v>
      </x:c>
      <x:c r="B675" s="59" t="str">
        <x:v>Materiały użytkownika i prywatne wyniki</x:v>
      </x:c>
      <x:c r="C675"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676" ht="66" customHeight="1">
      <x:c r="A676" s="59" t="str">
        <x:v>docs/private_sources.md</x:v>
      </x:c>
      <x:c r="B676" s="59" t="str">
        <x:v>16.09.2026 — nowy pakiet mostu i historyczny GIS</x:v>
      </x:c>
      <x:c r="C676"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677" ht="66" customHeight="1">
      <x:c r="A677" s="59" t="str">
        <x:v>docs/private_sources.md</x:v>
      </x:c>
      <x:c r="B677" s="59" t="str">
        <x:v>16.09.2026 — nowy pakiet mostu i historyczny GIS</x:v>
      </x:c>
      <x:c r="C677"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678" ht="66" customHeight="1">
      <x:c r="A678" s="59" t="str">
        <x:v>docs/private_sources.md</x:v>
      </x:c>
      <x:c r="B678" s="59" t="str">
        <x:v>16.09.2026 — nowy pakiet mostu i historyczny GIS</x:v>
      </x:c>
      <x:c r="C678"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679" ht="38" customHeight="1">
      <x:c r="A679" s="59" t="str">
        <x:v>docs/private_sources.md</x:v>
      </x:c>
      <x:c r="B679" s="59" t="str">
        <x:v>Kontrola geometrii i historycznych pól mocowych</x:v>
      </x:c>
      <x:c r="C679" s="59" t="str">
        <x:v>Opcjonalne zależności GIS są przypięte w requirements-gis.txt. Instalacja: python -m venv .venv, następnie .venv/Scripts/python.exe -m pip install -r requirements-gis.txt. Nie są wymagane do aplikacji pilotażowej. Testy GIS wymagają tego środowiska.</x:v>
      </x:c>
    </x:row>
    <x:row r="680" ht="30" customHeight="1">
      <x:c r="A680" s="59" t="str">
        <x:v>docs/private_sources.md</x:v>
      </x:c>
      <x:c r="B680" s="59" t="str">
        <x:v>Kontrola geometrii i historycznych pól mocowych</x:v>
      </x:c>
      <x:c r="C680" s="59" t="str">
        <x:v>Polecenia (OUTPUT musi być nowym katalogiem pod data/private, poza ROOT):</x:v>
      </x:c>
    </x:row>
    <x:row r="681" ht="38" customHeight="1">
      <x:c r="A681" s="59" t="str">
        <x:v>docs/private_sources.md</x:v>
      </x:c>
      <x:c r="B681" s="59" t="str">
        <x:v>Kontrola geometrii i historycznych pól mocowych</x:v>
      </x:c>
      <x:c r="C681" s="59" t="str">
        <x:v>.venv/Scripts/python.exe scripts/audit_private_gis_geometry.py ROOT OUTPUT .venv/Scripts/python.exe scripts/normalize_private_gis_capacity.py ROOT OUTPUT --compilation-year 2024 .venv/Scripts/python.exe -m unittest discover -s tests</x:v>
      </x:c>
    </x:row>
    <x:row r="682" ht="80" customHeight="1">
      <x:c r="A682" s="59" t="str">
        <x:v>docs/private_sources.md</x:v>
      </x:c>
      <x:c r="B682" s="59" t="str">
        <x:v>Kontrola geometrii i historycznych pól mocowych</x:v>
      </x:c>
      <x:c r="C682"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683" ht="80" customHeight="1">
      <x:c r="A683" s="59" t="str">
        <x:v>docs/private_sources.md</x:v>
      </x:c>
      <x:c r="B683" s="59" t="str">
        <x:v>Kontrola geometrii i historycznych pól mocowych</x:v>
      </x:c>
      <x:c r="C683"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684" ht="52" customHeight="1">
      <x:c r="A684" s="59" t="str">
        <x:v>docs/private_sources.md</x:v>
      </x:c>
      <x:c r="B684" s="59" t="str">
        <x:v>Kontrola geometrii i historycznych pól mocowych</x:v>
      </x:c>
      <x:c r="C684"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row r="685" ht="80" customHeight="1">
      <x:c r="A685" s="59" t="str">
        <x:v>docs/private_sources.md</x:v>
      </x:c>
      <x:c r="B685" s="59" t="str">
        <x:v>Kontrola geometrii i historycznych pól mocowych</x:v>
      </x:c>
      <x:c r="C685" s="59" t="str">
        <x:v>Porównanie atrybutów alternatywnych eksportów: .venv/Scripts/python.exe scripts/compare_private_gis_tables.py ROOT OUTPUT. Wymaga także zależności z requirements-research.txt. Czyta XLSX tylko do odczytu, odrzuca formuły zamiast ufać nieaktualnym wynikom zapisanym w pliku. Sprawdza nagłówki i porównuje multizbiory pełnych wierszy, więc kolejność i powtórzenia nie powodują automatycznego scalania. Zmiany schematu przerywają porównanie. Diagnostyka możliwej zamiany dwóch kolumn nie naprawia źródła i nie usuwa oryginalnego ostrzeżenia. Wyniki są prywatne.</x:v>
      </x:c>
    </x:row>
    <x:row r="686" ht="80" customHeight="1">
      <x:c r="A686" s="59" t="str">
        <x:v>docs/private_sources.md</x:v>
      </x:c>
      <x:c r="B686" s="59" t="str">
        <x:v>17.09.2026 — uzupełnienie dokumentacji mostu</x:v>
      </x:c>
      <x:c r="C686" s="59" t="str">
        <x:v>Rozszerzono prywatny przegląd o przekrój pola, zestawienie szaf oraz cztery arkusze etapowania. Zachowano nowe obserwacje i nierozstrzygniętą rozbieżność przypisań między dokumentami; wcześniejsze dowody pozostają niezmienione. Potwierdzono zgodność hashy całego pakietu ze wcześniejszą inwentaryzacją. Doprecyzowano NEED-013 o spójność schematów, przekrojów i zestawień. Nie zmieniono modelu publicznej aplikacji, nie uznano planowanych wyłączeń za fakty eksploatacyjne ani nie wyliczono wolnej mocy. Szczegółowe źródła, strony i parametry pozostają w prywatnym przeglądzie z 17.09.2026.</x:v>
      </x:c>
    </x:row>
    <x:row r="687" ht="80" customHeight="1">
      <x:c r="A687" s="59" t="str">
        <x:v>docs/private_sources.md</x:v>
      </x:c>
      <x:c r="B687" s="59" t="str">
        <x:v>17.09.2026 — uzupełnienie dokumentacji mostu</x:v>
      </x:c>
      <x:c r="C687" s="59" t="str">
        <x:v>Przegląd zapisów wielogrupowych: scripts/review_private_gis_groups.py ROOT OUTPUT. Wymaga zgodności kolejności nazw z numerowanym opisem, zgodnej liczby składników i jednostki MW. Porównuje kandydatów wyłącznie z wpisami pojedynczych grup w tej samej warstwie i roku. Zgodność wewnątrz kompilacji nie stanowi niezależnego potwierdzenia; przypisania pozostają INFERRED, bez promocji pierwotnych UNKNOWN do aktualnej mocy. Brak porównania i konflikty są jawne. Wyniki, pełne opisy oraz powiązania fid pozostają prywatne.</x:v>
      </x:c>
    </x:row>
    <x:row r="688" ht="66" customHeight="1">
      <x:c r="A688" s="59" t="str">
        <x:v>docs/private_sources.md</x:v>
      </x:c>
      <x:c r="B688" s="59" t="str">
        <x:v>17.09.2026 — rejestr historycznych wpisów o inwestycjach</x:v>
      </x:c>
      <x:c r="C688" s="59" t="str">
        <x:v>Polecenie: .venv/Scripts/python.exe scripts/normalize_private_gis_investments.py ROOT OUTPUT. Odczytuje dziewięć jawnie wskazanych warstw inwestycji, modernizacji i planów przestrzennych. Wymaga pełnego zestawu plików oraz oczekiwanych pól; błędy geometrii lub zmienione hashe przerywają budowę wyniku. Nie odczytuje pozostałych katalogów ani sekretów. OUTPUT musi być nowym, prywatnym katalogiem poza wejściem.</x:v>
      </x:c>
    </x:row>
    <x:row r="689" ht="94" customHeight="1">
      <x:c r="A689" s="59" t="str">
        <x:v>docs/private_sources.md</x:v>
      </x:c>
      <x:c r="B689" s="59" t="str">
        <x:v>17.09.2026 — rejestr historycznych wpisów o inwestycjach</x:v>
      </x:c>
      <x:c r="C689" s="59" t="str">
        <x:v>Każdy wpis zachowuje wszystkie atrybuty, źródłową tabelę, fid i hash. Stabilny identyfikator odnosi się do wiersza konkretnego snapshotu, nie do rozpoznanej inwestycji. Nazwy podobne, powtórzenia i współrzędne nie powodują scalania. Klasyfikacja historyczna wynika wyłącznie z nazwy warstwy i jest oznaczona INFERRED; nie stanowi potwierdzenia aktualnego statusu. Pole roku normalizowane jest tylko wtedy, gdy zawiera pojedynczy czterocyfrowy rok; zakresy i opisy wielu zadań pozostają do przeglądu. Zachowane deklaracje REPORTED dotyczą kompilacji, nie niezależnie zweryfikowanych dokumentów operatora. Rozbieżność kolumn między eksportami pozostaje</x:v>
      </x:c>
    </x:row>
    <x:row r="690" ht="38" customHeight="1">
      <x:c r="A690" s="59" t="str">
        <x:v>docs/private_sources.md</x:v>
      </x:c>
      <x:c r="B690" s="59" t="str">
        <x:v>17.09.2026 — rejestr historycznych wpisów o inwestycjach</x:v>
      </x:c>
      <x:c r="C690" s="59" t="str">
        <x:v>widoczna.</x:v>
      </x:c>
    </x:row>
    <x:row r="691" ht="80" customHeight="1">
      <x:c r="A691" s="59" t="str">
        <x:v>docs/private_sources.md</x:v>
      </x:c>
      <x:c r="B691" s="59" t="str">
        <x:v>17.09.2026 — rejestr historycznych wpisów o inwestycjach</x:v>
      </x:c>
      <x:c r="C691" s="59" t="str">
        <x:v>Prywatny wynik obejmuje rejestr JSON, przegląd i kolejkę adresów do weryfikacji. Grupowanie identycznych URL służy ograniczeniu przyszłych pobrań; nie jest dopasowaniem inwestycji ani dowodem wiarygodności strony. Pierwotne teksty linków pozostają w atrybutach. Nie wykonywano masowego pobierania adresów. Daty załączenia, bieżące statusy, tożsamość inwestycji i przyrosty dostępnej mocy pozostają nieustalone. Wynik nie zasila publicznego API ani ogólnego raportu szczegółami prywatnego zbioru; raport obejmuje postęp i ograniczenia.</x:v>
      </x:c>
    </x:row>
    <x:row r="692" ht="66" customHeight="1">
      <x:c r="A692" s="59" t="str">
        <x:v>docs/private_sources.md</x:v>
      </x:c>
      <x:c r="B692" s="59" t="str">
        <x:v>2026-09-17 — audyt przydatności kompilacji</x:v>
      </x:c>
      <x:c r="C692" s="59" t="str">
        <x:v>Skrypt scripts/build_private_gis_usefulness.py tworzy prywatny raport warstw i wzmiankowanych obiektów z hashami plików. Dopasowanie nazwy, opisu zadania lub etykiety grupy służy odkrywaniu dowodów; nie potwierdza połączenia elektrycznego. Wyniki pozostają w data/private/reviews/gis_usefulness_2026-09-17_v1. Ogólne wyjaśnienie wkładu GIS i niezależnej próbki OSM: GIS i OSM (18_gis_osm_integration.md). NEED-012 pozostaje otwarty.</x:v>
      </x:c>
    </x:row>
  </x:sheetData>
  <x:pageMargins left="0.7" right="0.7" top="0.75" bottom="0.75" header="0.3" footer="0.3"/>
  <x:tableParts count="1">
    <x:tablePart xmlns:r="http://schemas.openxmlformats.org/officeDocument/2006/relationships" r:id="Rcbace9b054c4424a"/>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46282.700161967594</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catalog_fields:GRID_OZE_REPORT</x:v>
      </x:c>
      <x:c r="C316" s="59" t="str">
        <x:v>PASS: []</x:v>
      </x:c>
    </x:row>
    <x:row r="317" ht="30" customHeight="1">
      <x:c r="A317" s="59" t="str">
        <x:v>Kontrola lokalna</x:v>
      </x:c>
      <x:c r="B317" s="59" t="str">
        <x:v>catalog_url:GRID_OZE_REPORT</x:v>
      </x:c>
      <x:c r="C317" s="59" t="str">
        <x:v>PASS</x:v>
      </x:c>
    </x:row>
    <x:row r="318" ht="30" customHeight="1">
      <x:c r="A318" s="59" t="str">
        <x:v>Kontrola lokalna</x:v>
      </x:c>
      <x:c r="B318" s="59" t="str">
        <x:v>catalog_status:GRID_OZE_REPORT</x:v>
      </x:c>
      <x:c r="C318" s="59" t="str">
        <x:v>PASS</x:v>
      </x:c>
    </x:row>
    <x:row r="319" ht="30" customHeight="1">
      <x:c r="A319" s="59" t="str">
        <x:v>Kontrola lokalna</x:v>
      </x:c>
      <x:c r="B319" s="59" t="str">
        <x:v>no_uncalibrated_numeric_quality:GRID_OZE_REPORT</x:v>
      </x:c>
      <x:c r="C319" s="59" t="str">
        <x:v>PASS</x:v>
      </x:c>
    </x:row>
    <x:row r="320" ht="30" customHeight="1">
      <x:c r="A320" s="59" t="str">
        <x:v>Kontrola lokalna</x:v>
      </x:c>
      <x:c r="B320" s="59" t="str">
        <x:v>source_rank:GRID_OZE_REPORT</x:v>
      </x:c>
      <x:c r="C320" s="59" t="str">
        <x:v>PASS</x:v>
      </x:c>
    </x:row>
    <x:row r="321" ht="30" customHeight="1">
      <x:c r="A321" s="59" t="str">
        <x:v>Kontrola lokalna</x:v>
      </x:c>
      <x:c r="B321" s="59" t="str">
        <x:v>catalog_fields:GRID_OZE_PORTAL</x:v>
      </x:c>
      <x:c r="C321" s="59" t="str">
        <x:v>PASS: []</x:v>
      </x:c>
    </x:row>
    <x:row r="322" ht="30" customHeight="1">
      <x:c r="A322" s="59" t="str">
        <x:v>Kontrola lokalna</x:v>
      </x:c>
      <x:c r="B322" s="59" t="str">
        <x:v>catalog_url:GRID_OZE_PORTAL</x:v>
      </x:c>
      <x:c r="C322" s="59" t="str">
        <x:v>PASS</x:v>
      </x:c>
    </x:row>
    <x:row r="323" ht="30" customHeight="1">
      <x:c r="A323" s="59" t="str">
        <x:v>Kontrola lokalna</x:v>
      </x:c>
      <x:c r="B323" s="59" t="str">
        <x:v>catalog_status:GRID_OZE_PORTAL</x:v>
      </x:c>
      <x:c r="C323" s="59" t="str">
        <x:v>PASS</x:v>
      </x:c>
    </x:row>
    <x:row r="324" ht="30" customHeight="1">
      <x:c r="A324" s="59" t="str">
        <x:v>Kontrola lokalna</x:v>
      </x:c>
      <x:c r="B324" s="59" t="str">
        <x:v>no_uncalibrated_numeric_quality:GRID_OZE_PORTAL</x:v>
      </x:c>
      <x:c r="C324" s="59" t="str">
        <x:v>PASS</x:v>
      </x:c>
    </x:row>
    <x:row r="325" ht="30" customHeight="1">
      <x:c r="A325" s="59" t="str">
        <x:v>Kontrola lokalna</x:v>
      </x:c>
      <x:c r="B325" s="59" t="str">
        <x:v>source_rank:GRID_OZE_PORTAL</x:v>
      </x:c>
      <x:c r="C325" s="59" t="str">
        <x:v>PASS</x:v>
      </x:c>
    </x:row>
    <x:row r="326" ht="30" customHeight="1">
      <x:c r="A326" s="59" t="str">
        <x:v>Kontrola lokalna</x:v>
      </x:c>
      <x:c r="B326" s="59" t="str">
        <x:v>sample_has_local_evidence:GRID_OZE_PORTAL</x:v>
      </x:c>
      <x:c r="C326" s="59" t="str">
        <x:v>PASS</x:v>
      </x:c>
    </x:row>
    <x:row r="327" ht="30" customHeight="1">
      <x:c r="A327" s="59" t="str">
        <x:v>Kontrola lokalna</x:v>
      </x:c>
      <x:c r="B327" s="59" t="str">
        <x:v>catalog_fields:EMP_PW</x:v>
      </x:c>
      <x:c r="C327" s="59" t="str">
        <x:v>PASS: []</x:v>
      </x:c>
    </x:row>
    <x:row r="328" ht="30" customHeight="1">
      <x:c r="A328" s="59" t="str">
        <x:v>Kontrola lokalna</x:v>
      </x:c>
      <x:c r="B328" s="59" t="str">
        <x:v>catalog_url:EMP_PW</x:v>
      </x:c>
      <x:c r="C328" s="59" t="str">
        <x:v>PASS</x:v>
      </x:c>
    </x:row>
    <x:row r="329" ht="30" customHeight="1">
      <x:c r="A329" s="59" t="str">
        <x:v>Kontrola lokalna</x:v>
      </x:c>
      <x:c r="B329" s="59" t="str">
        <x:v>catalog_status:EMP_PW</x:v>
      </x:c>
      <x:c r="C329" s="59" t="str">
        <x:v>PASS</x:v>
      </x:c>
    </x:row>
    <x:row r="330" ht="30" customHeight="1">
      <x:c r="A330" s="59" t="str">
        <x:v>Kontrola lokalna</x:v>
      </x:c>
      <x:c r="B330" s="59" t="str">
        <x:v>no_uncalibrated_numeric_quality:EMP_PW</x:v>
      </x:c>
      <x:c r="C330" s="59" t="str">
        <x:v>PASS</x:v>
      </x:c>
    </x:row>
    <x:row r="331" ht="30" customHeight="1">
      <x:c r="A331" s="59" t="str">
        <x:v>Kontrola lokalna</x:v>
      </x:c>
      <x:c r="B331" s="59" t="str">
        <x:v>source_rank:EMP_PW</x:v>
      </x:c>
      <x:c r="C331" s="59" t="str">
        <x:v>PASS</x:v>
      </x:c>
    </x:row>
    <x:row r="332" ht="30" customHeight="1">
      <x:c r="A332" s="59" t="str">
        <x:v>Kontrola lokalna</x:v>
      </x:c>
      <x:c r="B332" s="59" t="str">
        <x:v>sample_has_local_evidence:EMP_PW</x:v>
      </x:c>
      <x:c r="C332" s="59" t="str">
        <x:v>PASS</x:v>
      </x:c>
    </x:row>
    <x:row r="333" ht="30" customHeight="1">
      <x:c r="A333" s="59" t="str">
        <x:v>Kontrola lokalna</x:v>
      </x:c>
      <x:c r="B333" s="59" t="str">
        <x:v>catalog_fields:GUGIK_OZE_DETAIL_2026</x:v>
      </x:c>
      <x:c r="C333" s="59" t="str">
        <x:v>PASS: []</x:v>
      </x:c>
    </x:row>
    <x:row r="334" ht="30" customHeight="1">
      <x:c r="A334" s="59" t="str">
        <x:v>Kontrola lokalna</x:v>
      </x:c>
      <x:c r="B334" s="59" t="str">
        <x:v>catalog_url:GUGIK_OZE_DETAIL_2026</x:v>
      </x:c>
      <x:c r="C334" s="59" t="str">
        <x:v>PASS</x:v>
      </x:c>
    </x:row>
    <x:row r="335" ht="30" customHeight="1">
      <x:c r="A335" s="59" t="str">
        <x:v>Kontrola lokalna</x:v>
      </x:c>
      <x:c r="B335" s="59" t="str">
        <x:v>catalog_status:GUGIK_OZE_DETAIL_2026</x:v>
      </x:c>
      <x:c r="C335" s="59" t="str">
        <x:v>PASS</x:v>
      </x:c>
    </x:row>
    <x:row r="336" ht="30" customHeight="1">
      <x:c r="A336" s="59" t="str">
        <x:v>Kontrola lokalna</x:v>
      </x:c>
      <x:c r="B336" s="59" t="str">
        <x:v>no_uncalibrated_numeric_quality:GUGIK_OZE_DETAIL_2026</x:v>
      </x:c>
      <x:c r="C336" s="59" t="str">
        <x:v>PASS</x:v>
      </x:c>
    </x:row>
    <x:row r="337" ht="30" customHeight="1">
      <x:c r="A337" s="59" t="str">
        <x:v>Kontrola lokalna</x:v>
      </x:c>
      <x:c r="B337" s="59" t="str">
        <x:v>source_rank:GUGIK_OZE_DETAIL_2026</x:v>
      </x:c>
      <x:c r="C337" s="59" t="str">
        <x:v>PASS</x:v>
      </x:c>
    </x:row>
    <x:row r="338" ht="30" customHeight="1">
      <x:c r="A338" s="59" t="str">
        <x:v>Kontrola lokalna</x:v>
      </x:c>
      <x:c r="B338" s="59" t="str">
        <x:v>catalog_fields:PSE_INVESTMENTS_RADK</x:v>
      </x:c>
      <x:c r="C338" s="59" t="str">
        <x:v>PASS: []</x:v>
      </x:c>
    </x:row>
    <x:row r="339" ht="30" customHeight="1">
      <x:c r="A339" s="59" t="str">
        <x:v>Kontrola lokalna</x:v>
      </x:c>
      <x:c r="B339" s="59" t="str">
        <x:v>catalog_url:PSE_INVESTMENTS_RADK</x:v>
      </x:c>
      <x:c r="C339" s="59" t="str">
        <x:v>PASS</x:v>
      </x:c>
    </x:row>
    <x:row r="340" ht="30" customHeight="1">
      <x:c r="A340" s="59" t="str">
        <x:v>Kontrola lokalna</x:v>
      </x:c>
      <x:c r="B340" s="59" t="str">
        <x:v>catalog_status:PSE_INVESTMENTS_RADK</x:v>
      </x:c>
      <x:c r="C340" s="59" t="str">
        <x:v>PASS</x:v>
      </x:c>
    </x:row>
    <x:row r="341" ht="30" customHeight="1">
      <x:c r="A341" s="59" t="str">
        <x:v>Kontrola lokalna</x:v>
      </x:c>
      <x:c r="B341" s="59" t="str">
        <x:v>no_uncalibrated_numeric_quality:PSE_INVESTMENTS_RADK</x:v>
      </x:c>
      <x:c r="C341" s="59" t="str">
        <x:v>PASS</x:v>
      </x:c>
    </x:row>
    <x:row r="342" ht="30" customHeight="1">
      <x:c r="A342" s="59" t="str">
        <x:v>Kontrola lokalna</x:v>
      </x:c>
      <x:c r="B342" s="59" t="str">
        <x:v>source_rank:PSE_INVESTMENTS_RADK</x:v>
      </x:c>
      <x:c r="C342" s="59" t="str">
        <x:v>PASS</x:v>
      </x:c>
    </x:row>
    <x:row r="343" ht="30" customHeight="1">
      <x:c r="A343" s="59" t="str">
        <x:v>Kontrola lokalna</x:v>
      </x:c>
      <x:c r="B343" s="59" t="str">
        <x:v>catalog_fields:CHECINY_ENERGY_PLAN</x:v>
      </x:c>
      <x:c r="C343" s="59" t="str">
        <x:v>PASS: []</x:v>
      </x:c>
    </x:row>
    <x:row r="344" ht="30" customHeight="1">
      <x:c r="A344" s="59" t="str">
        <x:v>Kontrola lokalna</x:v>
      </x:c>
      <x:c r="B344" s="59" t="str">
        <x:v>catalog_url:CHECINY_ENERGY_PLAN</x:v>
      </x:c>
      <x:c r="C344" s="59" t="str">
        <x:v>PASS</x:v>
      </x:c>
    </x:row>
    <x:row r="345" ht="30" customHeight="1">
      <x:c r="A345" s="59" t="str">
        <x:v>Kontrola lokalna</x:v>
      </x:c>
      <x:c r="B345" s="59" t="str">
        <x:v>catalog_status:CHECINY_ENERGY_PLAN</x:v>
      </x:c>
      <x:c r="C345" s="59" t="str">
        <x:v>PASS</x:v>
      </x:c>
    </x:row>
    <x:row r="346" ht="30" customHeight="1">
      <x:c r="A346" s="59" t="str">
        <x:v>Kontrola lokalna</x:v>
      </x:c>
      <x:c r="B346" s="59" t="str">
        <x:v>no_uncalibrated_numeric_quality:CHECINY_ENERGY_PLAN</x:v>
      </x:c>
      <x:c r="C346" s="59" t="str">
        <x:v>PASS</x:v>
      </x:c>
    </x:row>
    <x:row r="347" ht="30" customHeight="1">
      <x:c r="A347" s="59" t="str">
        <x:v>Kontrola lokalna</x:v>
      </x:c>
      <x:c r="B347" s="59" t="str">
        <x:v>source_rank:CHECINY_ENERGY_PLAN</x:v>
      </x:c>
      <x:c r="C347" s="59" t="str">
        <x:v>PASS</x:v>
      </x:c>
    </x:row>
    <x:row r="348" ht="30" customHeight="1">
      <x:c r="A348" s="59" t="str">
        <x:v>Kontrola lokalna</x:v>
      </x:c>
      <x:c r="B348" s="59" t="str">
        <x:v>catalog_fields:PSE_TARIFF_2026</x:v>
      </x:c>
      <x:c r="C348" s="59" t="str">
        <x:v>PASS: []</x:v>
      </x:c>
    </x:row>
    <x:row r="349" ht="30" customHeight="1">
      <x:c r="A349" s="59" t="str">
        <x:v>Kontrola lokalna</x:v>
      </x:c>
      <x:c r="B349" s="59" t="str">
        <x:v>catalog_url:PSE_TARIFF_2026</x:v>
      </x:c>
      <x:c r="C349" s="59" t="str">
        <x:v>PASS</x:v>
      </x:c>
    </x:row>
    <x:row r="350" ht="30" customHeight="1">
      <x:c r="A350" s="59" t="str">
        <x:v>Kontrola lokalna</x:v>
      </x:c>
      <x:c r="B350" s="59" t="str">
        <x:v>catalog_status:PSE_TARIFF_2026</x:v>
      </x:c>
      <x:c r="C350" s="59" t="str">
        <x:v>PASS</x:v>
      </x:c>
    </x:row>
    <x:row r="351" ht="30" customHeight="1">
      <x:c r="A351" s="59" t="str">
        <x:v>Kontrola lokalna</x:v>
      </x:c>
      <x:c r="B351" s="59" t="str">
        <x:v>no_uncalibrated_numeric_quality:PSE_TARIFF_2026</x:v>
      </x:c>
      <x:c r="C351" s="59" t="str">
        <x:v>PASS</x:v>
      </x:c>
    </x:row>
    <x:row r="352" ht="30" customHeight="1">
      <x:c r="A352" s="59" t="str">
        <x:v>Kontrola lokalna</x:v>
      </x:c>
      <x:c r="B352" s="59" t="str">
        <x:v>source_rank:PSE_TARIFF_2026</x:v>
      </x:c>
      <x:c r="C352" s="59" t="str">
        <x:v>PASS</x:v>
      </x:c>
    </x:row>
    <x:row r="353" ht="30" customHeight="1">
      <x:c r="A353" s="59" t="str">
        <x:v>Kontrola lokalna</x:v>
      </x:c>
      <x:c r="B353" s="59" t="str">
        <x:v>catalog_fields:PGE_RADK_CAPACITY_ATTEMPT</x:v>
      </x:c>
      <x:c r="C353" s="59" t="str">
        <x:v>PASS: []</x:v>
      </x:c>
    </x:row>
    <x:row r="354" ht="30" customHeight="1">
      <x:c r="A354" s="59" t="str">
        <x:v>Kontrola lokalna</x:v>
      </x:c>
      <x:c r="B354" s="59" t="str">
        <x:v>catalog_url:PGE_RADK_CAPACITY_ATTEMPT</x:v>
      </x:c>
      <x:c r="C354" s="59" t="str">
        <x:v>PASS</x:v>
      </x:c>
    </x:row>
    <x:row r="355" ht="30" customHeight="1">
      <x:c r="A355" s="59" t="str">
        <x:v>Kontrola lokalna</x:v>
      </x:c>
      <x:c r="B355" s="59" t="str">
        <x:v>catalog_status:PGE_RADK_CAPACITY_ATTEMPT</x:v>
      </x:c>
      <x:c r="C355" s="59" t="str">
        <x:v>PASS</x:v>
      </x:c>
    </x:row>
    <x:row r="356" ht="30" customHeight="1">
      <x:c r="A356" s="59" t="str">
        <x:v>Kontrola lokalna</x:v>
      </x:c>
      <x:c r="B356" s="59" t="str">
        <x:v>no_uncalibrated_numeric_quality:PGE_RADK_CAPACITY_ATTEMPT</x:v>
      </x:c>
      <x:c r="C356" s="59" t="str">
        <x:v>PASS</x:v>
      </x:c>
    </x:row>
    <x:row r="357" ht="30" customHeight="1">
      <x:c r="A357" s="59" t="str">
        <x:v>Kontrola lokalna</x:v>
      </x:c>
      <x:c r="B357" s="59" t="str">
        <x:v>source_rank:PGE_RADK_CAPACITY_ATTEMPT</x:v>
      </x:c>
      <x:c r="C357" s="59" t="str">
        <x:v>PASS</x:v>
      </x:c>
    </x:row>
    <x:row r="358" ht="30" customHeight="1">
      <x:c r="A358" s="59" t="str">
        <x:v>Kontrola lokalna</x:v>
      </x:c>
      <x:c r="B358" s="59" t="str">
        <x:v>unverified_not_successful:PGE_RADK_CAPACITY_ATTEMPT</x:v>
      </x:c>
      <x:c r="C358" s="59" t="str">
        <x:v>PASS</x:v>
      </x:c>
    </x:row>
    <x:row r="359" ht="30" customHeight="1">
      <x:c r="A359" s="59" t="str">
        <x:v>Kontrola lokalna</x:v>
      </x:c>
      <x:c r="B359" s="59" t="str">
        <x:v>catalog_fields:SUW_RADK_WOLICA_3_2024</x:v>
      </x:c>
      <x:c r="C359" s="59" t="str">
        <x:v>PASS: []</x:v>
      </x:c>
    </x:row>
    <x:row r="360" ht="30" customHeight="1">
      <x:c r="A360" s="59" t="str">
        <x:v>Kontrola lokalna</x:v>
      </x:c>
      <x:c r="B360" s="59" t="str">
        <x:v>catalog_url:SUW_RADK_WOLICA_3_2024</x:v>
      </x:c>
      <x:c r="C360" s="59" t="str">
        <x:v>PASS</x:v>
      </x:c>
    </x:row>
    <x:row r="361" ht="30" customHeight="1">
      <x:c r="A361" s="59" t="str">
        <x:v>Kontrola lokalna</x:v>
      </x:c>
      <x:c r="B361" s="59" t="str">
        <x:v>catalog_status:SUW_RADK_WOLICA_3_2024</x:v>
      </x:c>
      <x:c r="C361" s="59" t="str">
        <x:v>PASS</x:v>
      </x:c>
    </x:row>
    <x:row r="362" ht="30" customHeight="1">
      <x:c r="A362" s="59" t="str">
        <x:v>Kontrola lokalna</x:v>
      </x:c>
      <x:c r="B362" s="59" t="str">
        <x:v>no_uncalibrated_numeric_quality:SUW_RADK_WOLICA_3_2024</x:v>
      </x:c>
      <x:c r="C362" s="59" t="str">
        <x:v>PASS</x:v>
      </x:c>
    </x:row>
    <x:row r="363" ht="30" customHeight="1">
      <x:c r="A363" s="59" t="str">
        <x:v>Kontrola lokalna</x:v>
      </x:c>
      <x:c r="B363" s="59" t="str">
        <x:v>source_rank:SUW_RADK_WOLICA_3_2024</x:v>
      </x:c>
      <x:c r="C363" s="59" t="str">
        <x:v>PASS</x:v>
      </x:c>
    </x:row>
    <x:row r="364" ht="30" customHeight="1">
      <x:c r="A364" s="59" t="str">
        <x:v>Kontrola lokalna</x:v>
      </x:c>
      <x:c r="B364" s="59" t="str">
        <x:v>catalog_fields:PSE_RADK_BRIDGE_NOTICE_2025</x:v>
      </x:c>
      <x:c r="C364" s="59" t="str">
        <x:v>PASS: []</x:v>
      </x:c>
    </x:row>
    <x:row r="365" ht="30" customHeight="1">
      <x:c r="A365" s="59" t="str">
        <x:v>Kontrola lokalna</x:v>
      </x:c>
      <x:c r="B365" s="59" t="str">
        <x:v>catalog_url:PSE_RADK_BRIDGE_NOTICE_2025</x:v>
      </x:c>
      <x:c r="C365" s="59" t="str">
        <x:v>PASS</x:v>
      </x:c>
    </x:row>
    <x:row r="366" ht="30" customHeight="1">
      <x:c r="A366" s="59" t="str">
        <x:v>Kontrola lokalna</x:v>
      </x:c>
      <x:c r="B366" s="59" t="str">
        <x:v>catalog_status:PSE_RADK_BRIDGE_NOTICE_2025</x:v>
      </x:c>
      <x:c r="C366" s="59" t="str">
        <x:v>PASS</x:v>
      </x:c>
    </x:row>
    <x:row r="367" ht="30" customHeight="1">
      <x:c r="A367" s="59" t="str">
        <x:v>Kontrola lokalna</x:v>
      </x:c>
      <x:c r="B367" s="59" t="str">
        <x:v>no_uncalibrated_numeric_quality:PSE_RADK_BRIDGE_NOTICE_2025</x:v>
      </x:c>
      <x:c r="C367" s="59" t="str">
        <x:v>PASS</x:v>
      </x:c>
    </x:row>
    <x:row r="368" ht="30" customHeight="1">
      <x:c r="A368" s="59" t="str">
        <x:v>Kontrola lokalna</x:v>
      </x:c>
      <x:c r="B368" s="59" t="str">
        <x:v>source_rank:PSE_RADK_BRIDGE_NOTICE_2025</x:v>
      </x:c>
      <x:c r="C368" s="59" t="str">
        <x:v>PASS</x:v>
      </x:c>
    </x:row>
    <x:row r="369" ht="30" customHeight="1">
      <x:c r="A369" s="59" t="str">
        <x:v>Kontrola lokalna</x:v>
      </x:c>
      <x:c r="B369" s="59" t="str">
        <x:v>catalog_fields:RDOS_RADK_PIASKI_NOTICE_2025</x:v>
      </x:c>
      <x:c r="C369" s="59" t="str">
        <x:v>PASS: []</x:v>
      </x:c>
    </x:row>
    <x:row r="370" ht="30" customHeight="1">
      <x:c r="A370" s="59" t="str">
        <x:v>Kontrola lokalna</x:v>
      </x:c>
      <x:c r="B370" s="59" t="str">
        <x:v>catalog_url:RDOS_RADK_PIASKI_NOTICE_2025</x:v>
      </x:c>
      <x:c r="C370" s="59" t="str">
        <x:v>PASS</x:v>
      </x:c>
    </x:row>
    <x:row r="371" ht="30" customHeight="1">
      <x:c r="A371" s="59" t="str">
        <x:v>Kontrola lokalna</x:v>
      </x:c>
      <x:c r="B371" s="59" t="str">
        <x:v>catalog_status:RDOS_RADK_PIASKI_NOTICE_2025</x:v>
      </x:c>
      <x:c r="C371" s="59" t="str">
        <x:v>PASS</x:v>
      </x:c>
    </x:row>
    <x:row r="372" ht="30" customHeight="1">
      <x:c r="A372" s="59" t="str">
        <x:v>Kontrola lokalna</x:v>
      </x:c>
      <x:c r="B372" s="59" t="str">
        <x:v>no_uncalibrated_numeric_quality:RDOS_RADK_PIASKI_NOTICE_2025</x:v>
      </x:c>
      <x:c r="C372" s="59" t="str">
        <x:v>PASS</x:v>
      </x:c>
    </x:row>
    <x:row r="373" ht="30" customHeight="1">
      <x:c r="A373" s="59" t="str">
        <x:v>Kontrola lokalna</x:v>
      </x:c>
      <x:c r="B373" s="59" t="str">
        <x:v>source_rank:RDOS_RADK_PIASKI_NOTICE_2025</x:v>
      </x:c>
      <x:c r="C373" s="59" t="str">
        <x:v>PASS</x:v>
      </x:c>
    </x:row>
    <x:row r="374" ht="30" customHeight="1">
      <x:c r="A374" s="59" t="str">
        <x:v>Kontrola lokalna</x:v>
      </x:c>
      <x:c r="B374" s="59" t="str">
        <x:v>catalog_fields:RDOS_RADK_PIASKI_DECISION_2025</x:v>
      </x:c>
      <x:c r="C374" s="59" t="str">
        <x:v>PASS: []</x:v>
      </x:c>
    </x:row>
    <x:row r="375" ht="30" customHeight="1">
      <x:c r="A375" s="59" t="str">
        <x:v>Kontrola lokalna</x:v>
      </x:c>
      <x:c r="B375" s="59" t="str">
        <x:v>catalog_url:RDOS_RADK_PIASKI_DECISION_2025</x:v>
      </x:c>
      <x:c r="C375" s="59" t="str">
        <x:v>PASS</x:v>
      </x:c>
    </x:row>
    <x:row r="376" ht="30" customHeight="1">
      <x:c r="A376" s="59" t="str">
        <x:v>Kontrola lokalna</x:v>
      </x:c>
      <x:c r="B376" s="59" t="str">
        <x:v>catalog_status:RDOS_RADK_PIASKI_DECISION_2025</x:v>
      </x:c>
      <x:c r="C376" s="59" t="str">
        <x:v>PASS</x:v>
      </x:c>
    </x:row>
    <x:row r="377" ht="30" customHeight="1">
      <x:c r="A377" s="59" t="str">
        <x:v>Kontrola lokalna</x:v>
      </x:c>
      <x:c r="B377" s="59" t="str">
        <x:v>no_uncalibrated_numeric_quality:RDOS_RADK_PIASKI_DECISION_2025</x:v>
      </x:c>
      <x:c r="C377" s="59" t="str">
        <x:v>PASS</x:v>
      </x:c>
    </x:row>
    <x:row r="378" ht="30" customHeight="1">
      <x:c r="A378" s="59" t="str">
        <x:v>Kontrola lokalna</x:v>
      </x:c>
      <x:c r="B378" s="59" t="str">
        <x:v>source_rank:RDOS_RADK_PIASKI_DECISION_2025</x:v>
      </x:c>
      <x:c r="C378" s="59" t="str">
        <x:v>PASS</x:v>
      </x:c>
    </x:row>
    <x:row r="379" ht="30" customHeight="1">
      <x:c r="A379" s="59" t="str">
        <x:v>Kontrola lokalna</x:v>
      </x:c>
      <x:c r="B379" s="59" t="str">
        <x:v>catalog_fields:PSE_IMPACT_REPORT_2023</x:v>
      </x:c>
      <x:c r="C379" s="59" t="str">
        <x:v>PASS: []</x:v>
      </x:c>
    </x:row>
    <x:row r="380" ht="30" customHeight="1">
      <x:c r="A380" s="59" t="str">
        <x:v>Kontrola lokalna</x:v>
      </x:c>
      <x:c r="B380" s="59" t="str">
        <x:v>catalog_url:PSE_IMPACT_REPORT_2023</x:v>
      </x:c>
      <x:c r="C380" s="59" t="str">
        <x:v>PASS</x:v>
      </x:c>
    </x:row>
    <x:row r="381" ht="30" customHeight="1">
      <x:c r="A381" s="59" t="str">
        <x:v>Kontrola lokalna</x:v>
      </x:c>
      <x:c r="B381" s="59" t="str">
        <x:v>catalog_status:PSE_IMPACT_REPORT_2023</x:v>
      </x:c>
      <x:c r="C381" s="59" t="str">
        <x:v>PASS</x:v>
      </x:c>
    </x:row>
    <x:row r="382" ht="30" customHeight="1">
      <x:c r="A382" s="59" t="str">
        <x:v>Kontrola lokalna</x:v>
      </x:c>
      <x:c r="B382" s="59" t="str">
        <x:v>no_uncalibrated_numeric_quality:PSE_IMPACT_REPORT_2023</x:v>
      </x:c>
      <x:c r="C382" s="59" t="str">
        <x:v>PASS</x:v>
      </x:c>
    </x:row>
    <x:row r="383" ht="30" customHeight="1">
      <x:c r="A383" s="59" t="str">
        <x:v>Kontrola lokalna</x:v>
      </x:c>
      <x:c r="B383" s="59" t="str">
        <x:v>source_rank:PSE_IMPACT_REPORT_2023</x:v>
      </x:c>
      <x:c r="C383" s="59" t="str">
        <x:v>PASS</x:v>
      </x:c>
    </x:row>
    <x:row r="384" ht="30" customHeight="1">
      <x:c r="A384" s="59" t="str">
        <x:v>Kontrola lokalna</x:v>
      </x:c>
      <x:c r="B384" s="59" t="str">
        <x:v>catalog_fields:PSE_PRSP_2027_2036_POST_CONSULTATION</x:v>
      </x:c>
      <x:c r="C384" s="59" t="str">
        <x:v>PASS: []</x:v>
      </x:c>
    </x:row>
    <x:row r="385" ht="30" customHeight="1">
      <x:c r="A385" s="59" t="str">
        <x:v>Kontrola lokalna</x:v>
      </x:c>
      <x:c r="B385" s="59" t="str">
        <x:v>catalog_url:PSE_PRSP_2027_2036_POST_CONSULTATION</x:v>
      </x:c>
      <x:c r="C385" s="59" t="str">
        <x:v>PASS</x:v>
      </x:c>
    </x:row>
    <x:row r="386" ht="30" customHeight="1">
      <x:c r="A386" s="59" t="str">
        <x:v>Kontrola lokalna</x:v>
      </x:c>
      <x:c r="B386" s="59" t="str">
        <x:v>catalog_status:PSE_PRSP_2027_2036_POST_CONSULTATION</x:v>
      </x:c>
      <x:c r="C386" s="59" t="str">
        <x:v>PASS</x:v>
      </x:c>
    </x:row>
    <x:row r="387" ht="30" customHeight="1">
      <x:c r="A387" s="59" t="str">
        <x:v>Kontrola lokalna</x:v>
      </x:c>
      <x:c r="B387" s="59" t="str">
        <x:v>no_uncalibrated_numeric_quality:PSE_PRSP_2027_2036_POST_CONSULTATION</x:v>
      </x:c>
      <x:c r="C387" s="59" t="str">
        <x:v>PASS</x:v>
      </x:c>
    </x:row>
    <x:row r="388" ht="30" customHeight="1">
      <x:c r="A388" s="59" t="str">
        <x:v>Kontrola lokalna</x:v>
      </x:c>
      <x:c r="B388" s="59" t="str">
        <x:v>source_rank:PSE_PRSP_2027_2036_POST_CONSULTATION</x:v>
      </x:c>
      <x:c r="C388" s="59" t="str">
        <x:v>PASS</x:v>
      </x:c>
    </x:row>
    <x:row r="389" ht="30" customHeight="1">
      <x:c r="A389" s="59" t="str">
        <x:v>Kontrola lokalna</x:v>
      </x:c>
      <x:c r="B389" s="59" t="str">
        <x:v>catalog_fields:EBIN_ELECTRICITY</x:v>
      </x:c>
      <x:c r="C389" s="59" t="str">
        <x:v>PASS: []</x:v>
      </x:c>
    </x:row>
    <x:row r="390" ht="30" customHeight="1">
      <x:c r="A390" s="59" t="str">
        <x:v>Kontrola lokalna</x:v>
      </x:c>
      <x:c r="B390" s="59" t="str">
        <x:v>catalog_url:EBIN_ELECTRICITY</x:v>
      </x:c>
      <x:c r="C390" s="59" t="str">
        <x:v>PASS</x:v>
      </x:c>
    </x:row>
    <x:row r="391" ht="30" customHeight="1">
      <x:c r="A391" s="59" t="str">
        <x:v>Kontrola lokalna</x:v>
      </x:c>
      <x:c r="B391" s="59" t="str">
        <x:v>catalog_status:EBIN_ELECTRICITY</x:v>
      </x:c>
      <x:c r="C391" s="59" t="str">
        <x:v>PASS</x:v>
      </x:c>
    </x:row>
    <x:row r="392" ht="30" customHeight="1">
      <x:c r="A392" s="59" t="str">
        <x:v>Kontrola lokalna</x:v>
      </x:c>
      <x:c r="B392" s="59" t="str">
        <x:v>no_uncalibrated_numeric_quality:EBIN_ELECTRICITY</x:v>
      </x:c>
      <x:c r="C392" s="59" t="str">
        <x:v>PASS</x:v>
      </x:c>
    </x:row>
    <x:row r="393" ht="30" customHeight="1">
      <x:c r="A393" s="59" t="str">
        <x:v>Kontrola lokalna</x:v>
      </x:c>
      <x:c r="B393" s="59" t="str">
        <x:v>source_rank:EBIN_ELECTRICITY</x:v>
      </x:c>
      <x:c r="C393" s="59" t="str">
        <x:v>PASS</x:v>
      </x:c>
    </x:row>
    <x:row r="394" ht="30" customHeight="1">
      <x:c r="A394" s="59" t="str">
        <x:v>Kontrola lokalna</x:v>
      </x:c>
      <x:c r="B394" s="59" t="str">
        <x:v>catalog_fields:OSM_RADK_STATION_OBJECT</x:v>
      </x:c>
      <x:c r="C394" s="59" t="str">
        <x:v>PASS: []</x:v>
      </x:c>
    </x:row>
    <x:row r="395" ht="30" customHeight="1">
      <x:c r="A395" s="59" t="str">
        <x:v>Kontrola lokalna</x:v>
      </x:c>
      <x:c r="B395" s="59" t="str">
        <x:v>catalog_url:OSM_RADK_STATION_OBJECT</x:v>
      </x:c>
      <x:c r="C395" s="59" t="str">
        <x:v>PASS</x:v>
      </x:c>
    </x:row>
    <x:row r="396" ht="30" customHeight="1">
      <x:c r="A396" s="59" t="str">
        <x:v>Kontrola lokalna</x:v>
      </x:c>
      <x:c r="B396" s="59" t="str">
        <x:v>catalog_status:OSM_RADK_STATION_OBJECT</x:v>
      </x:c>
      <x:c r="C396" s="59" t="str">
        <x:v>PASS</x:v>
      </x:c>
    </x:row>
    <x:row r="397" ht="30" customHeight="1">
      <x:c r="A397" s="59" t="str">
        <x:v>Kontrola lokalna</x:v>
      </x:c>
      <x:c r="B397" s="59" t="str">
        <x:v>no_uncalibrated_numeric_quality:OSM_RADK_STATION_OBJECT</x:v>
      </x:c>
      <x:c r="C397" s="59" t="str">
        <x:v>PASS</x:v>
      </x:c>
    </x:row>
    <x:row r="398" ht="30" customHeight="1">
      <x:c r="A398" s="59" t="str">
        <x:v>Kontrola lokalna</x:v>
      </x:c>
      <x:c r="B398" s="59" t="str">
        <x:v>source_rank:OSM_RADK_STATION_OBJECT</x:v>
      </x:c>
      <x:c r="C398" s="59" t="str">
        <x:v>PASS</x:v>
      </x:c>
    </x:row>
    <x:row r="399" ht="30" customHeight="1">
      <x:c r="A399" s="59" t="str">
        <x:v>Kontrola lokalna</x:v>
      </x:c>
      <x:c r="B399" s="59" t="str">
        <x:v>sample_has_local_evidence:OSM_RADK_STATION_OBJECT</x:v>
      </x:c>
      <x:c r="C399" s="59" t="str">
        <x:v>PASS</x:v>
      </x:c>
    </x:row>
    <x:row r="400" ht="30" customHeight="1">
      <x:c r="A400" s="59" t="str">
        <x:v>Kontrola lokalna</x:v>
      </x:c>
      <x:c r="B400" s="59" t="str">
        <x:v>catalog_fields:OSM_RADK_STATION_AREA</x:v>
      </x:c>
      <x:c r="C400" s="59" t="str">
        <x:v>PASS: []</x:v>
      </x:c>
    </x:row>
    <x:row r="401" ht="30" customHeight="1">
      <x:c r="A401" s="59" t="str">
        <x:v>Kontrola lokalna</x:v>
      </x:c>
      <x:c r="B401" s="59" t="str">
        <x:v>catalog_url:OSM_RADK_STATION_AREA</x:v>
      </x:c>
      <x:c r="C401" s="59" t="str">
        <x:v>PASS</x:v>
      </x:c>
    </x:row>
    <x:row r="402" ht="30" customHeight="1">
      <x:c r="A402" s="59" t="str">
        <x:v>Kontrola lokalna</x:v>
      </x:c>
      <x:c r="B402" s="59" t="str">
        <x:v>catalog_status:OSM_RADK_STATION_AREA</x:v>
      </x:c>
      <x:c r="C402" s="59" t="str">
        <x:v>PASS</x:v>
      </x:c>
    </x:row>
    <x:row r="403" ht="30" customHeight="1">
      <x:c r="A403" s="59" t="str">
        <x:v>Kontrola lokalna</x:v>
      </x:c>
      <x:c r="B403" s="59" t="str">
        <x:v>no_uncalibrated_numeric_quality:OSM_RADK_STATION_AREA</x:v>
      </x:c>
      <x:c r="C403" s="59" t="str">
        <x:v>PASS</x:v>
      </x:c>
    </x:row>
    <x:row r="404" ht="30" customHeight="1">
      <x:c r="A404" s="59" t="str">
        <x:v>Kontrola lokalna</x:v>
      </x:c>
      <x:c r="B404" s="59" t="str">
        <x:v>source_rank:OSM_RADK_STATION_AREA</x:v>
      </x:c>
      <x:c r="C404" s="59" t="str">
        <x:v>PASS</x:v>
      </x:c>
    </x:row>
    <x:row r="405" ht="30" customHeight="1">
      <x:c r="A405" s="59" t="str">
        <x:v>Kontrola lokalna</x:v>
      </x:c>
      <x:c r="B405" s="59" t="str">
        <x:v>sample_has_local_evidence:OSM_RADK_STATION_AREA</x:v>
      </x:c>
      <x:c r="C405" s="59" t="str">
        <x:v>PASS</x:v>
      </x:c>
    </x:row>
    <x:row r="406" ht="30" customHeight="1">
      <x:c r="A406" s="59" t="str">
        <x:v>Kontrola lokalna</x:v>
      </x:c>
      <x:c r="B406" s="59" t="str">
        <x:v>probe_snapshot_identities_unique</x:v>
      </x:c>
      <x:c r="C406" s="59" t="str">
        <x:v>PASS</x:v>
      </x:c>
    </x:row>
    <x:row r="407" ht="30" customHeight="1">
      <x:c r="A407" s="59" t="str">
        <x:v>Kontrola lokalna</x:v>
      </x:c>
      <x:c r="B407" s="59" t="str">
        <x:v>probe_references:PSE_API</x:v>
      </x:c>
      <x:c r="C407" s="59" t="str">
        <x:v>PASS</x:v>
      </x:c>
    </x:row>
    <x:row r="408" ht="30" customHeight="1">
      <x:c r="A408" s="59" t="str">
        <x:v>Kontrola lokalna</x:v>
      </x:c>
      <x:c r="B408" s="59" t="str">
        <x:v>probe_references:PSE_PIPELINE</x:v>
      </x:c>
      <x:c r="C408" s="59" t="str">
        <x:v>PASS</x:v>
      </x:c>
    </x:row>
    <x:row r="409" ht="30" customHeight="1">
      <x:c r="A409" s="59" t="str">
        <x:v>Kontrola lokalna</x:v>
      </x:c>
      <x:c r="B409" s="59" t="str">
        <x:v>probe_references:PSE_CAPACITY</x:v>
      </x:c>
      <x:c r="C409" s="59" t="str">
        <x:v>PASS</x:v>
      </x:c>
    </x:row>
    <x:row r="410" ht="30" customHeight="1">
      <x:c r="A410" s="59" t="str">
        <x:v>Kontrola lokalna</x:v>
      </x:c>
      <x:c r="B410" s="59" t="str">
        <x:v>probe_references:PSE_PLAN</x:v>
      </x:c>
      <x:c r="C410" s="59" t="str">
        <x:v>PASS</x:v>
      </x:c>
    </x:row>
    <x:row r="411" ht="30" customHeight="1">
      <x:c r="A411" s="59" t="str">
        <x:v>Kontrola lokalna</x:v>
      </x:c>
      <x:c r="B411" s="59" t="str">
        <x:v>probe_references:PSE_STRUCT_B2B</x:v>
      </x:c>
      <x:c r="C411" s="59" t="str">
        <x:v>PASS</x:v>
      </x:c>
    </x:row>
    <x:row r="412" ht="30" customHeight="1">
      <x:c r="A412" s="59" t="str">
        <x:v>Kontrola lokalna</x:v>
      </x:c>
      <x:c r="B412" s="59" t="str">
        <x:v>probe_references:ENERGA_LANDING</x:v>
      </x:c>
      <x:c r="C412" s="59" t="str">
        <x:v>PASS</x:v>
      </x:c>
    </x:row>
    <x:row r="413" ht="30" customHeight="1">
      <x:c r="A413" s="59" t="str">
        <x:v>Kontrola lokalna</x:v>
      </x:c>
      <x:c r="B413" s="59" t="str">
        <x:v>probe_references:ENERGA_EXPORT</x:v>
      </x:c>
      <x:c r="C413" s="59" t="str">
        <x:v>PASS</x:v>
      </x:c>
    </x:row>
    <x:row r="414" ht="30" customHeight="1">
      <x:c r="A414" s="59" t="str">
        <x:v>Kontrola lokalna</x:v>
      </x:c>
      <x:c r="B414" s="59" t="str">
        <x:v>probe_references:ENERGA_IMPORT</x:v>
      </x:c>
      <x:c r="C414" s="59" t="str">
        <x:v>PASS</x:v>
      </x:c>
    </x:row>
    <x:row r="415" ht="30" customHeight="1">
      <x:c r="A415" s="59" t="str">
        <x:v>Kontrola lokalna</x:v>
      </x:c>
      <x:c r="B415" s="59" t="str">
        <x:v>probe_references:ENERGA_PIPELINE</x:v>
      </x:c>
      <x:c r="C415" s="59" t="str">
        <x:v>PASS</x:v>
      </x:c>
    </x:row>
    <x:row r="416" ht="30" customHeight="1">
      <x:c r="A416" s="59" t="str">
        <x:v>Kontrola lokalna</x:v>
      </x:c>
      <x:c r="B416" s="59" t="str">
        <x:v>probe_references:ENERGA_PLAN</x:v>
      </x:c>
      <x:c r="C416" s="59" t="str">
        <x:v>PASS</x:v>
      </x:c>
    </x:row>
    <x:row r="417" ht="30" customHeight="1">
      <x:c r="A417" s="59" t="str">
        <x:v>Kontrola lokalna</x:v>
      </x:c>
      <x:c r="B417" s="59" t="str">
        <x:v>probe_references:ENEA_PIPELINE</x:v>
      </x:c>
      <x:c r="C417" s="59" t="str">
        <x:v>PASS</x:v>
      </x:c>
    </x:row>
    <x:row r="418" ht="30" customHeight="1">
      <x:c r="A418" s="59" t="str">
        <x:v>Kontrola lokalna</x:v>
      </x:c>
      <x:c r="B418" s="59" t="str">
        <x:v>probe_references:ENEA_MAP</x:v>
      </x:c>
      <x:c r="C418" s="59" t="str">
        <x:v>PASS</x:v>
      </x:c>
    </x:row>
    <x:row r="419" ht="30" customHeight="1">
      <x:c r="A419" s="59" t="str">
        <x:v>Kontrola lokalna</x:v>
      </x:c>
      <x:c r="B419" s="59" t="str">
        <x:v>probe_references:ENEA_PLAN</x:v>
      </x:c>
      <x:c r="C419" s="59" t="str">
        <x:v>PASS</x:v>
      </x:c>
    </x:row>
    <x:row r="420" ht="30" customHeight="1">
      <x:c r="A420" s="59" t="str">
        <x:v>Kontrola lokalna</x:v>
      </x:c>
      <x:c r="B420" s="59" t="str">
        <x:v>probe_references:TAURON_PIPELINE</x:v>
      </x:c>
      <x:c r="C420" s="59" t="str">
        <x:v>PASS</x:v>
      </x:c>
    </x:row>
    <x:row r="421" ht="30" customHeight="1">
      <x:c r="A421" s="59" t="str">
        <x:v>Kontrola lokalna</x:v>
      </x:c>
      <x:c r="B421" s="59" t="str">
        <x:v>probe_references:TAURON_MAP</x:v>
      </x:c>
      <x:c r="C421" s="59" t="str">
        <x:v>PASS</x:v>
      </x:c>
    </x:row>
    <x:row r="422" ht="30" customHeight="1">
      <x:c r="A422" s="59" t="str">
        <x:v>Kontrola lokalna</x:v>
      </x:c>
      <x:c r="B422" s="59" t="str">
        <x:v>probe_references:TAURON_PLAN</x:v>
      </x:c>
      <x:c r="C422" s="59" t="str">
        <x:v>PASS</x:v>
      </x:c>
    </x:row>
    <x:row r="423" ht="30" customHeight="1">
      <x:c r="A423" s="59" t="str">
        <x:v>Kontrola lokalna</x:v>
      </x:c>
      <x:c r="B423" s="59" t="str">
        <x:v>probe_references:STOEN_LANDING</x:v>
      </x:c>
      <x:c r="C423" s="59" t="str">
        <x:v>PASS</x:v>
      </x:c>
    </x:row>
    <x:row r="424" ht="30" customHeight="1">
      <x:c r="A424" s="59" t="str">
        <x:v>Kontrola lokalna</x:v>
      </x:c>
      <x:c r="B424" s="59" t="str">
        <x:v>probe_references:STOEN_EXPORT</x:v>
      </x:c>
      <x:c r="C424" s="59" t="str">
        <x:v>PASS</x:v>
      </x:c>
    </x:row>
    <x:row r="425" ht="30" customHeight="1">
      <x:c r="A425" s="59" t="str">
        <x:v>Kontrola lokalna</x:v>
      </x:c>
      <x:c r="B425" s="59" t="str">
        <x:v>probe_references:STOEN_IMPORT</x:v>
      </x:c>
      <x:c r="C425" s="59" t="str">
        <x:v>PASS</x:v>
      </x:c>
    </x:row>
    <x:row r="426" ht="30" customHeight="1">
      <x:c r="A426" s="59" t="str">
        <x:v>Kontrola lokalna</x:v>
      </x:c>
      <x:c r="B426" s="59" t="str">
        <x:v>probe_references:STOEN_PIPELINE</x:v>
      </x:c>
      <x:c r="C426" s="59" t="str">
        <x:v>PASS</x:v>
      </x:c>
    </x:row>
    <x:row r="427" ht="30" customHeight="1">
      <x:c r="A427" s="59" t="str">
        <x:v>Kontrola lokalna</x:v>
      </x:c>
      <x:c r="B427" s="59" t="str">
        <x:v>probe_references:STOEN_STORAGE</x:v>
      </x:c>
      <x:c r="C427" s="59" t="str">
        <x:v>PASS</x:v>
      </x:c>
    </x:row>
    <x:row r="428" ht="30" customHeight="1">
      <x:c r="A428" s="59" t="str">
        <x:v>Kontrola lokalna</x:v>
      </x:c>
      <x:c r="B428" s="59" t="str">
        <x:v>probe_references:STOEN_PLAN</x:v>
      </x:c>
      <x:c r="C428" s="59" t="str">
        <x:v>PASS</x:v>
      </x:c>
    </x:row>
    <x:row r="429" ht="30" customHeight="1">
      <x:c r="A429" s="59" t="str">
        <x:v>Kontrola lokalna</x:v>
      </x:c>
      <x:c r="B429" s="59" t="str">
        <x:v>probe_references:PGE_LANDING</x:v>
      </x:c>
      <x:c r="C429" s="59" t="str">
        <x:v>PASS</x:v>
      </x:c>
    </x:row>
    <x:row r="430" ht="30" customHeight="1">
      <x:c r="A430" s="59" t="str">
        <x:v>Kontrola lokalna</x:v>
      </x:c>
      <x:c r="B430" s="59" t="str">
        <x:v>probe_references:PGE_EXPORT_DISCOVERY</x:v>
      </x:c>
      <x:c r="C430" s="59" t="str">
        <x:v>PASS</x:v>
      </x:c>
    </x:row>
    <x:row r="431" ht="30" customHeight="1">
      <x:c r="A431" s="59" t="str">
        <x:v>Kontrola lokalna</x:v>
      </x:c>
      <x:c r="B431" s="59" t="str">
        <x:v>probe_references:PGE_PLAN_DISCOVERY</x:v>
      </x:c>
      <x:c r="C431" s="59" t="str">
        <x:v>PASS</x:v>
      </x:c>
    </x:row>
    <x:row r="432" ht="30" customHeight="1">
      <x:c r="A432" s="59" t="str">
        <x:v>Kontrola lokalna</x:v>
      </x:c>
      <x:c r="B432" s="59" t="str">
        <x:v>probe_references:KGHM_OSD</x:v>
      </x:c>
      <x:c r="C432" s="59" t="str">
        <x:v>PASS</x:v>
      </x:c>
    </x:row>
    <x:row r="433" ht="30" customHeight="1">
      <x:c r="A433" s="59" t="str">
        <x:v>Kontrola lokalna</x:v>
      </x:c>
      <x:c r="B433" s="59" t="str">
        <x:v>probe_references:URE_REGISTERS</x:v>
      </x:c>
      <x:c r="C433" s="59" t="str">
        <x:v>PASS</x:v>
      </x:c>
    </x:row>
    <x:row r="434" ht="30" customHeight="1">
      <x:c r="A434" s="59" t="str">
        <x:v>Kontrola lokalna</x:v>
      </x:c>
      <x:c r="B434" s="59" t="str">
        <x:v>probe_references:ENERGY_LAW_516</x:v>
      </x:c>
      <x:c r="C434" s="59" t="str">
        <x:v>PASS</x:v>
      </x:c>
    </x:row>
    <x:row r="435" ht="30" customHeight="1">
      <x:c r="A435" s="59" t="str">
        <x:v>Kontrola lokalna</x:v>
      </x:c>
      <x:c r="B435" s="59" t="str">
        <x:v>probe_references:BIP_ENV_DISCOVERY</x:v>
      </x:c>
      <x:c r="C435" s="59" t="str">
        <x:v>PASS</x:v>
      </x:c>
    </x:row>
    <x:row r="436" ht="30" customHeight="1">
      <x:c r="A436" s="59" t="str">
        <x:v>Kontrola lokalna</x:v>
      </x:c>
      <x:c r="B436" s="59" t="str">
        <x:v>probe_references:KRS_API_DOCS</x:v>
      </x:c>
      <x:c r="C436" s="59" t="str">
        <x:v>PASS</x:v>
      </x:c>
    </x:row>
    <x:row r="437" ht="30" customHeight="1">
      <x:c r="A437" s="59" t="str">
        <x:v>Kontrola lokalna</x:v>
      </x:c>
      <x:c r="B437" s="59" t="str">
        <x:v>probe_references:GUGIK_EGIB</x:v>
      </x:c>
      <x:c r="C437" s="59" t="str">
        <x:v>PASS</x:v>
      </x:c>
    </x:row>
    <x:row r="438" ht="30" customHeight="1">
      <x:c r="A438" s="59" t="str">
        <x:v>Kontrola lokalna</x:v>
      </x:c>
      <x:c r="B438" s="59" t="str">
        <x:v>probe_references:GUGIK_BDOT</x:v>
      </x:c>
      <x:c r="C438" s="59" t="str">
        <x:v>PASS</x:v>
      </x:c>
    </x:row>
    <x:row r="439" ht="30" customHeight="1">
      <x:c r="A439" s="59" t="str">
        <x:v>Kontrola lokalna</x:v>
      </x:c>
      <x:c r="B439" s="59" t="str">
        <x:v>probe_references:GUGIK_BDOT_PARQUET</x:v>
      </x:c>
      <x:c r="C439" s="59" t="str">
        <x:v>PASS</x:v>
      </x:c>
    </x:row>
    <x:row r="440" ht="30" customHeight="1">
      <x:c r="A440" s="59" t="str">
        <x:v>Kontrola lokalna</x:v>
      </x:c>
      <x:c r="B440" s="59" t="str">
        <x:v>probe_references:GUGIK_ORTHO</x:v>
      </x:c>
      <x:c r="C440" s="59" t="str">
        <x:v>PASS</x:v>
      </x:c>
    </x:row>
    <x:row r="441" ht="30" customHeight="1">
      <x:c r="A441" s="59" t="str">
        <x:v>Kontrola lokalna</x:v>
      </x:c>
      <x:c r="B441" s="59" t="str">
        <x:v>probe_references:GUGIK_NMT</x:v>
      </x:c>
      <x:c r="C441" s="59" t="str">
        <x:v>PASS</x:v>
      </x:c>
    </x:row>
    <x:row r="442" ht="30" customHeight="1">
      <x:c r="A442" s="59" t="str">
        <x:v>Kontrola lokalna</x:v>
      </x:c>
      <x:c r="B442" s="59" t="str">
        <x:v>probe_references:GUGIK_MPZP</x:v>
      </x:c>
      <x:c r="C442" s="59" t="str">
        <x:v>PASS</x:v>
      </x:c>
    </x:row>
    <x:row r="443" ht="30" customHeight="1">
      <x:c r="A443" s="59" t="str">
        <x:v>Kontrola lokalna</x:v>
      </x:c>
      <x:c r="B443" s="59" t="str">
        <x:v>probe_references:URBAN_REGISTER</x:v>
      </x:c>
      <x:c r="C443" s="59" t="str">
        <x:v>PASS</x:v>
      </x:c>
    </x:row>
    <x:row r="444" ht="30" customHeight="1">
      <x:c r="A444" s="59" t="str">
        <x:v>Kontrola lokalna</x:v>
      </x:c>
      <x:c r="B444" s="59" t="str">
        <x:v>probe_references:GDOS_GIS</x:v>
      </x:c>
      <x:c r="C444" s="59" t="str">
        <x:v>PASS</x:v>
      </x:c>
    </x:row>
    <x:row r="445" ht="30" customHeight="1">
      <x:c r="A445" s="59" t="str">
        <x:v>Kontrola lokalna</x:v>
      </x:c>
      <x:c r="B445" s="59" t="str">
        <x:v>probe_references:WODY_SIGW</x:v>
      </x:c>
      <x:c r="C445" s="59" t="str">
        <x:v>PASS</x:v>
      </x:c>
    </x:row>
    <x:row r="446" ht="30" customHeight="1">
      <x:c r="A446" s="59" t="str">
        <x:v>Kontrola lokalna</x:v>
      </x:c>
      <x:c r="B446" s="59" t="str">
        <x:v>probe_references:BDL_GIS</x:v>
      </x:c>
      <x:c r="C446" s="59" t="str">
        <x:v>PASS</x:v>
      </x:c>
    </x:row>
    <x:row r="447" ht="30" customHeight="1">
      <x:c r="A447" s="59" t="str">
        <x:v>Kontrola lokalna</x:v>
      </x:c>
      <x:c r="B447" s="59" t="str">
        <x:v>probe_references:ENTSOE_TP</x:v>
      </x:c>
      <x:c r="C447" s="59" t="str">
        <x:v>PASS</x:v>
      </x:c>
    </x:row>
    <x:row r="448" ht="30" customHeight="1">
      <x:c r="A448" s="59" t="str">
        <x:v>Kontrola lokalna</x:v>
      </x:c>
      <x:c r="B448" s="59" t="str">
        <x:v>probe_references:ENTSOE_MAP</x:v>
      </x:c>
      <x:c r="C448" s="59" t="str">
        <x:v>PASS</x:v>
      </x:c>
    </x:row>
    <x:row r="449" ht="30" customHeight="1">
      <x:c r="A449" s="59" t="str">
        <x:v>Kontrola lokalna</x:v>
      </x:c>
      <x:c r="B449" s="59" t="str">
        <x:v>probe_references:OSM_LICENSE</x:v>
      </x:c>
      <x:c r="C449" s="59" t="str">
        <x:v>PASS</x:v>
      </x:c>
    </x:row>
    <x:row r="450" ht="30" customHeight="1">
      <x:c r="A450" s="59" t="str">
        <x:v>Kontrola lokalna</x:v>
      </x:c>
      <x:c r="B450" s="59" t="str">
        <x:v>probe_references:GEOFABRIK_PL</x:v>
      </x:c>
      <x:c r="C450" s="59" t="str">
        <x:v>PASS</x:v>
      </x:c>
    </x:row>
    <x:row r="451" ht="30" customHeight="1">
      <x:c r="A451" s="59" t="str">
        <x:v>Kontrola lokalna</x:v>
      </x:c>
      <x:c r="B451" s="59" t="str">
        <x:v>probe_references:OPENINFRAMAP</x:v>
      </x:c>
      <x:c r="C451" s="59" t="str">
        <x:v>PASS</x:v>
      </x:c>
    </x:row>
    <x:row r="452" ht="30" customHeight="1">
      <x:c r="A452" s="59" t="str">
        <x:v>Kontrola lokalna</x:v>
      </x:c>
      <x:c r="B452" s="59" t="str">
        <x:v>probe_references:PYPSA_EUR</x:v>
      </x:c>
      <x:c r="C452" s="59" t="str">
        <x:v>PASS</x:v>
      </x:c>
    </x:row>
    <x:row r="453" ht="30" customHeight="1">
      <x:c r="A453" s="59" t="str">
        <x:v>Kontrola lokalna</x:v>
      </x:c>
      <x:c r="B453" s="59" t="str">
        <x:v>probe_references:MATPOWER_POLAND</x:v>
      </x:c>
      <x:c r="C453" s="59" t="str">
        <x:v>PASS</x:v>
      </x:c>
    </x:row>
    <x:row r="454" ht="30" customHeight="1">
      <x:c r="A454" s="59" t="str">
        <x:v>Kontrola lokalna</x:v>
      </x:c>
      <x:c r="B454" s="59" t="str">
        <x:v>probe_references:PANDAPOWER</x:v>
      </x:c>
      <x:c r="C454" s="59" t="str">
        <x:v>PASS</x:v>
      </x:c>
    </x:row>
    <x:row r="455" ht="30" customHeight="1">
      <x:c r="A455" s="59" t="str">
        <x:v>Kontrola lokalna</x:v>
      </x:c>
      <x:c r="B455" s="59" t="str">
        <x:v>probe_references:VERAGRID</x:v>
      </x:c>
      <x:c r="C455" s="59" t="str">
        <x:v>PASS</x:v>
      </x:c>
    </x:row>
    <x:row r="456" ht="30" customHeight="1">
      <x:c r="A456" s="59" t="str">
        <x:v>Kontrola lokalna</x:v>
      </x:c>
      <x:c r="B456" s="59" t="str">
        <x:v>probe_references:MATPOWER_LIBRARY</x:v>
      </x:c>
      <x:c r="C456" s="59" t="str">
        <x:v>PASS</x:v>
      </x:c>
    </x:row>
    <x:row r="457" ht="30" customHeight="1">
      <x:c r="A457" s="59" t="str">
        <x:v>Kontrola lokalna</x:v>
      </x:c>
      <x:c r="B457" s="59" t="str">
        <x:v>probe_references:POWERMODELS</x:v>
      </x:c>
      <x:c r="C457" s="59" t="str">
        <x:v>PASS</x:v>
      </x:c>
    </x:row>
    <x:row r="458" ht="30" customHeight="1">
      <x:c r="A458" s="59" t="str">
        <x:v>Kontrola lokalna</x:v>
      </x:c>
      <x:c r="B458" s="59" t="str">
        <x:v>probe_references:OPSD_TIMESERIES</x:v>
      </x:c>
      <x:c r="C458" s="59" t="str">
        <x:v>PASS</x:v>
      </x:c>
    </x:row>
    <x:row r="459" ht="30" customHeight="1">
      <x:c r="A459" s="59" t="str">
        <x:v>Kontrola lokalna</x:v>
      </x:c>
      <x:c r="B459" s="59" t="str">
        <x:v>probe_references:ENERGY_CHARTS</x:v>
      </x:c>
      <x:c r="C459" s="59" t="str">
        <x:v>PASS</x:v>
      </x:c>
    </x:row>
    <x:row r="460" ht="30" customHeight="1">
      <x:c r="A460" s="59" t="str">
        <x:v>Kontrola lokalna</x:v>
      </x:c>
      <x:c r="B460" s="59" t="str">
        <x:v>probe_references:EMBER_API</x:v>
      </x:c>
      <x:c r="C460" s="59" t="str">
        <x:v>PASS</x:v>
      </x:c>
    </x:row>
    <x:row r="461" ht="30" customHeight="1">
      <x:c r="A461" s="59" t="str">
        <x:v>Kontrola lokalna</x:v>
      </x:c>
      <x:c r="B461" s="59" t="str">
        <x:v>probe_references:JRC_IDEES</x:v>
      </x:c>
      <x:c r="C461" s="59" t="str">
        <x:v>PASS</x:v>
      </x:c>
    </x:row>
    <x:row r="462" ht="30" customHeight="1">
      <x:c r="A462" s="59" t="str">
        <x:v>Kontrola lokalna</x:v>
      </x:c>
      <x:c r="B462" s="59" t="str">
        <x:v>probe_references:COPERNICUS</x:v>
      </x:c>
      <x:c r="C462" s="59" t="str">
        <x:v>PASS</x:v>
      </x:c>
    </x:row>
    <x:row r="463" ht="30" customHeight="1">
      <x:c r="A463" s="59" t="str">
        <x:v>Kontrola lokalna</x:v>
      </x:c>
      <x:c r="B463" s="59" t="str">
        <x:v>probe_references:GRID_OZE_REPORT</x:v>
      </x:c>
      <x:c r="C463" s="59" t="str">
        <x:v>PASS</x:v>
      </x:c>
    </x:row>
    <x:row r="464" ht="30" customHeight="1">
      <x:c r="A464" s="59" t="str">
        <x:v>Kontrola lokalna</x:v>
      </x:c>
      <x:c r="B464" s="59" t="str">
        <x:v>probe_references:GRID_OZE_PORTAL</x:v>
      </x:c>
      <x:c r="C464" s="59" t="str">
        <x:v>PASS</x:v>
      </x:c>
    </x:row>
    <x:row r="465" ht="30" customHeight="1">
      <x:c r="A465" s="59" t="str">
        <x:v>Kontrola lokalna</x:v>
      </x:c>
      <x:c r="B465" s="59" t="str">
        <x:v>probe_references:EMP_PW</x:v>
      </x:c>
      <x:c r="C465" s="59" t="str">
        <x:v>PASS</x:v>
      </x:c>
    </x:row>
    <x:row r="466" ht="30" customHeight="1">
      <x:c r="A466" s="59" t="str">
        <x:v>Kontrola lokalna</x:v>
      </x:c>
      <x:c r="B466" s="59" t="str">
        <x:v>probe_references:GUGIK_OZE_DETAIL_2026</x:v>
      </x:c>
      <x:c r="C466" s="59" t="str">
        <x:v>PASS</x:v>
      </x:c>
    </x:row>
    <x:row r="467" ht="30" customHeight="1">
      <x:c r="A467" s="59" t="str">
        <x:v>Kontrola lokalna</x:v>
      </x:c>
      <x:c r="B467" s="59" t="str">
        <x:v>probe_references:PSE_INVESTMENTS_RADK</x:v>
      </x:c>
      <x:c r="C467" s="59" t="str">
        <x:v>PASS</x:v>
      </x:c>
    </x:row>
    <x:row r="468" ht="30" customHeight="1">
      <x:c r="A468" s="59" t="str">
        <x:v>Kontrola lokalna</x:v>
      </x:c>
      <x:c r="B468" s="59" t="str">
        <x:v>probe_references:CHECINY_ENERGY_PLAN</x:v>
      </x:c>
      <x:c r="C468" s="59" t="str">
        <x:v>PASS</x:v>
      </x:c>
    </x:row>
    <x:row r="469" ht="30" customHeight="1">
      <x:c r="A469" s="59" t="str">
        <x:v>Kontrola lokalna</x:v>
      </x:c>
      <x:c r="B469" s="59" t="str">
        <x:v>probe_references:PSE_TARIFF_2026</x:v>
      </x:c>
      <x:c r="C469" s="59" t="str">
        <x:v>PASS</x:v>
      </x:c>
    </x:row>
    <x:row r="470" ht="30" customHeight="1">
      <x:c r="A470" s="59" t="str">
        <x:v>Kontrola lokalna</x:v>
      </x:c>
      <x:c r="B470" s="59" t="str">
        <x:v>probe_references:PGE_RADK_CAPACITY_ATTEMPT</x:v>
      </x:c>
      <x:c r="C470" s="59" t="str">
        <x:v>PASS</x:v>
      </x:c>
    </x:row>
    <x:row r="471" ht="30" customHeight="1">
      <x:c r="A471" s="59" t="str">
        <x:v>Kontrola lokalna</x:v>
      </x:c>
      <x:c r="B471" s="59" t="str">
        <x:v>probe_references:SUW_RADK_WOLICA_3_2024</x:v>
      </x:c>
      <x:c r="C471" s="59" t="str">
        <x:v>PASS</x:v>
      </x:c>
    </x:row>
    <x:row r="472" ht="30" customHeight="1">
      <x:c r="A472" s="59" t="str">
        <x:v>Kontrola lokalna</x:v>
      </x:c>
      <x:c r="B472" s="59" t="str">
        <x:v>probe_references:PSE_RADK_BRIDGE_NOTICE_2025</x:v>
      </x:c>
      <x:c r="C472" s="59" t="str">
        <x:v>PASS</x:v>
      </x:c>
    </x:row>
    <x:row r="473" ht="30" customHeight="1">
      <x:c r="A473" s="59" t="str">
        <x:v>Kontrola lokalna</x:v>
      </x:c>
      <x:c r="B473" s="59" t="str">
        <x:v>probe_references:RDOS_RADK_PIASKI_NOTICE_2025</x:v>
      </x:c>
      <x:c r="C473" s="59" t="str">
        <x:v>PASS</x:v>
      </x:c>
    </x:row>
    <x:row r="474" ht="30" customHeight="1">
      <x:c r="A474" s="59" t="str">
        <x:v>Kontrola lokalna</x:v>
      </x:c>
      <x:c r="B474" s="59" t="str">
        <x:v>probe_references:RDOS_RADK_PIASKI_DECISION_2025</x:v>
      </x:c>
      <x:c r="C474" s="59" t="str">
        <x:v>PASS</x:v>
      </x:c>
    </x:row>
    <x:row r="475" ht="30" customHeight="1">
      <x:c r="A475" s="59" t="str">
        <x:v>Kontrola lokalna</x:v>
      </x:c>
      <x:c r="B475" s="59" t="str">
        <x:v>probe_references:PSE_IMPACT_REPORT_2023</x:v>
      </x:c>
      <x:c r="C475" s="59" t="str">
        <x:v>PASS</x:v>
      </x:c>
    </x:row>
    <x:row r="476" ht="30" customHeight="1">
      <x:c r="A476" s="59" t="str">
        <x:v>Kontrola lokalna</x:v>
      </x:c>
      <x:c r="B476" s="59" t="str">
        <x:v>probe_references:PSE_PRSP_2027_2036_POST_CONSULTATION</x:v>
      </x:c>
      <x:c r="C476" s="59" t="str">
        <x:v>PASS</x:v>
      </x:c>
    </x:row>
    <x:row r="477" ht="30" customHeight="1">
      <x:c r="A477" s="59" t="str">
        <x:v>Kontrola lokalna</x:v>
      </x:c>
      <x:c r="B477" s="59" t="str">
        <x:v>probe_references:EBIN_ELECTRICITY</x:v>
      </x:c>
      <x:c r="C477" s="59" t="str">
        <x:v>PASS</x:v>
      </x:c>
    </x:row>
    <x:row r="478" ht="30" customHeight="1">
      <x:c r="A478" s="59" t="str">
        <x:v>Kontrola lokalna</x:v>
      </x:c>
      <x:c r="B478" s="59" t="str">
        <x:v>probe_references:OSM_RADK_STATION_OBJECT</x:v>
      </x:c>
      <x:c r="C478" s="59" t="str">
        <x:v>PASS</x:v>
      </x:c>
    </x:row>
    <x:row r="479" ht="30" customHeight="1">
      <x:c r="A479" s="59" t="str">
        <x:v>Kontrola lokalna</x:v>
      </x:c>
      <x:c r="B479" s="59" t="str">
        <x:v>probe_references:OSM_RADK_STATION_AREA</x:v>
      </x:c>
      <x:c r="C479" s="59" t="str">
        <x:v>PASS</x:v>
      </x:c>
    </x:row>
    <x:row r="480" ht="30" customHeight="1">
      <x:c r="A480" s="59" t="str">
        <x:v>Kontrola lokalna</x:v>
      </x:c>
      <x:c r="B480" s="59" t="str">
        <x:v>snapshot_within_raw:PSE_API_DOCS</x:v>
      </x:c>
      <x:c r="C480" s="59" t="str">
        <x:v>PASS</x:v>
      </x:c>
    </x:row>
    <x:row r="481" ht="30" customHeight="1">
      <x:c r="A481" s="59" t="str">
        <x:v>Kontrola lokalna</x:v>
      </x:c>
      <x:c r="B481" s="59" t="str">
        <x:v>snapshot_exists:PSE_API_DOCS</x:v>
      </x:c>
      <x:c r="C481" s="59" t="str">
        <x:v>PASS</x:v>
      </x:c>
    </x:row>
    <x:row r="482" ht="30" customHeight="1">
      <x:c r="A482" s="59" t="str">
        <x:v>Kontrola lokalna</x:v>
      </x:c>
      <x:c r="B482" s="59" t="str">
        <x:v>snapshot_bytes:PSE_API_DOCS</x:v>
      </x:c>
      <x:c r="C482" s="59" t="str">
        <x:v>PASS</x:v>
      </x:c>
    </x:row>
    <x:row r="483" ht="30" customHeight="1">
      <x:c r="A483" s="59" t="str">
        <x:v>Kontrola lokalna</x:v>
      </x:c>
      <x:c r="B483" s="59" t="str">
        <x:v>snapshot_sha256:PSE_API_DOCS</x:v>
      </x:c>
      <x:c r="C483" s="59" t="str">
        <x:v>PASS</x:v>
      </x:c>
    </x:row>
    <x:row r="484" ht="30" customHeight="1">
      <x:c r="A484" s="59" t="str">
        <x:v>Kontrola lokalna</x:v>
      </x:c>
      <x:c r="B484" s="59" t="str">
        <x:v>snapshot_within_raw:PSE_CAPACITY</x:v>
      </x:c>
      <x:c r="C484" s="59" t="str">
        <x:v>PASS</x:v>
      </x:c>
    </x:row>
    <x:row r="485" ht="30" customHeight="1">
      <x:c r="A485" s="59" t="str">
        <x:v>Kontrola lokalna</x:v>
      </x:c>
      <x:c r="B485" s="59" t="str">
        <x:v>snapshot_exists:PSE_CAPACITY</x:v>
      </x:c>
      <x:c r="C485" s="59" t="str">
        <x:v>PASS</x:v>
      </x:c>
    </x:row>
    <x:row r="486" ht="30" customHeight="1">
      <x:c r="A486" s="59" t="str">
        <x:v>Kontrola lokalna</x:v>
      </x:c>
      <x:c r="B486" s="59" t="str">
        <x:v>snapshot_bytes:PSE_CAPACITY</x:v>
      </x:c>
      <x:c r="C486" s="59" t="str">
        <x:v>PASS</x:v>
      </x:c>
    </x:row>
    <x:row r="487" ht="30" customHeight="1">
      <x:c r="A487" s="59" t="str">
        <x:v>Kontrola lokalna</x:v>
      </x:c>
      <x:c r="B487" s="59" t="str">
        <x:v>snapshot_sha256:PSE_CAPACITY</x:v>
      </x:c>
      <x:c r="C487" s="59" t="str">
        <x:v>PASS</x:v>
      </x:c>
    </x:row>
    <x:row r="488" ht="30" customHeight="1">
      <x:c r="A488" s="59" t="str">
        <x:v>Kontrola lokalna</x:v>
      </x:c>
      <x:c r="B488" s="59" t="str">
        <x:v>snapshot_within_raw:ENERGA_PIPELINE</x:v>
      </x:c>
      <x:c r="C488" s="59" t="str">
        <x:v>PASS</x:v>
      </x:c>
    </x:row>
    <x:row r="489" ht="30" customHeight="1">
      <x:c r="A489" s="59" t="str">
        <x:v>Kontrola lokalna</x:v>
      </x:c>
      <x:c r="B489" s="59" t="str">
        <x:v>snapshot_exists:ENERGA_PIPELINE</x:v>
      </x:c>
      <x:c r="C489" s="59" t="str">
        <x:v>PASS</x:v>
      </x:c>
    </x:row>
    <x:row r="490" ht="30" customHeight="1">
      <x:c r="A490" s="59" t="str">
        <x:v>Kontrola lokalna</x:v>
      </x:c>
      <x:c r="B490" s="59" t="str">
        <x:v>snapshot_bytes:ENERGA_PIPELINE</x:v>
      </x:c>
      <x:c r="C490" s="59" t="str">
        <x:v>PASS</x:v>
      </x:c>
    </x:row>
    <x:row r="491" ht="30" customHeight="1">
      <x:c r="A491" s="59" t="str">
        <x:v>Kontrola lokalna</x:v>
      </x:c>
      <x:c r="B491" s="59" t="str">
        <x:v>snapshot_sha256:ENERGA_PIPELINE</x:v>
      </x:c>
      <x:c r="C491" s="59" t="str">
        <x:v>PASS</x:v>
      </x:c>
    </x:row>
    <x:row r="492" ht="30" customHeight="1">
      <x:c r="A492" s="59" t="str">
        <x:v>Kontrola lokalna</x:v>
      </x:c>
      <x:c r="B492" s="59" t="str">
        <x:v>snapshot_within_raw:ENERGA_IMPORT</x:v>
      </x:c>
      <x:c r="C492" s="59" t="str">
        <x:v>PASS</x:v>
      </x:c>
    </x:row>
    <x:row r="493" ht="30" customHeight="1">
      <x:c r="A493" s="59" t="str">
        <x:v>Kontrola lokalna</x:v>
      </x:c>
      <x:c r="B493" s="59" t="str">
        <x:v>snapshot_exists:ENERGA_IMPORT</x:v>
      </x:c>
      <x:c r="C493" s="59" t="str">
        <x:v>PASS</x:v>
      </x:c>
    </x:row>
    <x:row r="494" ht="30" customHeight="1">
      <x:c r="A494" s="59" t="str">
        <x:v>Kontrola lokalna</x:v>
      </x:c>
      <x:c r="B494" s="59" t="str">
        <x:v>snapshot_bytes:ENERGA_IMPORT</x:v>
      </x:c>
      <x:c r="C494" s="59" t="str">
        <x:v>PASS</x:v>
      </x:c>
    </x:row>
    <x:row r="495" ht="30" customHeight="1">
      <x:c r="A495" s="59" t="str">
        <x:v>Kontrola lokalna</x:v>
      </x:c>
      <x:c r="B495" s="59" t="str">
        <x:v>snapshot_sha256:ENERGA_IMPORT</x:v>
      </x:c>
      <x:c r="C495" s="59" t="str">
        <x:v>PASS</x:v>
      </x:c>
    </x:row>
    <x:row r="496" ht="30" customHeight="1">
      <x:c r="A496" s="59" t="str">
        <x:v>Kontrola lokalna</x:v>
      </x:c>
      <x:c r="B496" s="59" t="str">
        <x:v>snapshot_within_raw:ENERGA_EXPORT</x:v>
      </x:c>
      <x:c r="C496" s="59" t="str">
        <x:v>PASS</x:v>
      </x:c>
    </x:row>
    <x:row r="497" ht="30" customHeight="1">
      <x:c r="A497" s="59" t="str">
        <x:v>Kontrola lokalna</x:v>
      </x:c>
      <x:c r="B497" s="59" t="str">
        <x:v>snapshot_exists:ENERGA_EXPORT</x:v>
      </x:c>
      <x:c r="C497" s="59" t="str">
        <x:v>PASS</x:v>
      </x:c>
    </x:row>
    <x:row r="498" ht="30" customHeight="1">
      <x:c r="A498" s="59" t="str">
        <x:v>Kontrola lokalna</x:v>
      </x:c>
      <x:c r="B498" s="59" t="str">
        <x:v>snapshot_bytes:ENERGA_EXPORT</x:v>
      </x:c>
      <x:c r="C498" s="59" t="str">
        <x:v>PASS</x:v>
      </x:c>
    </x:row>
    <x:row r="499" ht="30" customHeight="1">
      <x:c r="A499" s="59" t="str">
        <x:v>Kontrola lokalna</x:v>
      </x:c>
      <x:c r="B499" s="59" t="str">
        <x:v>snapshot_sha256:ENERGA_EXPORT</x:v>
      </x:c>
      <x:c r="C499" s="59" t="str">
        <x:v>PASS</x:v>
      </x:c>
    </x:row>
    <x:row r="500" ht="30" customHeight="1">
      <x:c r="A500" s="59" t="str">
        <x:v>Kontrola lokalna</x:v>
      </x:c>
      <x:c r="B500" s="59" t="str">
        <x:v>snapshot_within_raw:PGE_LANDING</x:v>
      </x:c>
      <x:c r="C500" s="59" t="str">
        <x:v>PASS</x:v>
      </x:c>
    </x:row>
    <x:row r="501" ht="30" customHeight="1">
      <x:c r="A501" s="59" t="str">
        <x:v>Kontrola lokalna</x:v>
      </x:c>
      <x:c r="B501" s="59" t="str">
        <x:v>snapshot_exists:PGE_LANDING</x:v>
      </x:c>
      <x:c r="C501" s="59" t="str">
        <x:v>PASS</x:v>
      </x:c>
    </x:row>
    <x:row r="502" ht="30" customHeight="1">
      <x:c r="A502" s="59" t="str">
        <x:v>Kontrola lokalna</x:v>
      </x:c>
      <x:c r="B502" s="59" t="str">
        <x:v>snapshot_bytes:PGE_LANDING</x:v>
      </x:c>
      <x:c r="C502" s="59" t="str">
        <x:v>PASS</x:v>
      </x:c>
    </x:row>
    <x:row r="503" ht="30" customHeight="1">
      <x:c r="A503" s="59" t="str">
        <x:v>Kontrola lokalna</x:v>
      </x:c>
      <x:c r="B503" s="59" t="str">
        <x:v>snapshot_sha256:PGE_LANDING</x:v>
      </x:c>
      <x:c r="C503" s="59" t="str">
        <x:v>PASS</x:v>
      </x:c>
    </x:row>
    <x:row r="504" ht="30" customHeight="1">
      <x:c r="A504" s="59" t="str">
        <x:v>Kontrola lokalna</x:v>
      </x:c>
      <x:c r="B504" s="59" t="str">
        <x:v>snapshot_within_raw:TAURON_PIPELINE</x:v>
      </x:c>
      <x:c r="C504" s="59" t="str">
        <x:v>PASS</x:v>
      </x:c>
    </x:row>
    <x:row r="505" ht="30" customHeight="1">
      <x:c r="A505" s="59" t="str">
        <x:v>Kontrola lokalna</x:v>
      </x:c>
      <x:c r="B505" s="59" t="str">
        <x:v>snapshot_exists:TAURON_PIPELINE</x:v>
      </x:c>
      <x:c r="C505" s="59" t="str">
        <x:v>PASS</x:v>
      </x:c>
    </x:row>
    <x:row r="506" ht="30" customHeight="1">
      <x:c r="A506" s="59" t="str">
        <x:v>Kontrola lokalna</x:v>
      </x:c>
      <x:c r="B506" s="59" t="str">
        <x:v>snapshot_bytes:TAURON_PIPELINE</x:v>
      </x:c>
      <x:c r="C506" s="59" t="str">
        <x:v>PASS</x:v>
      </x:c>
    </x:row>
    <x:row r="507" ht="30" customHeight="1">
      <x:c r="A507" s="59" t="str">
        <x:v>Kontrola lokalna</x:v>
      </x:c>
      <x:c r="B507" s="59" t="str">
        <x:v>snapshot_sha256:TAURON_PIPELINE</x:v>
      </x:c>
      <x:c r="C507" s="59" t="str">
        <x:v>PASS</x:v>
      </x:c>
    </x:row>
    <x:row r="508" ht="30" customHeight="1">
      <x:c r="A508" s="59" t="str">
        <x:v>Kontrola lokalna</x:v>
      </x:c>
      <x:c r="B508" s="59" t="str">
        <x:v>snapshot_within_raw:ENERGA_LANDING</x:v>
      </x:c>
      <x:c r="C508" s="59" t="str">
        <x:v>PASS</x:v>
      </x:c>
    </x:row>
    <x:row r="509" ht="30" customHeight="1">
      <x:c r="A509" s="59" t="str">
        <x:v>Kontrola lokalna</x:v>
      </x:c>
      <x:c r="B509" s="59" t="str">
        <x:v>snapshot_exists:ENERGA_LANDING</x:v>
      </x:c>
      <x:c r="C509" s="59" t="str">
        <x:v>PASS</x:v>
      </x:c>
    </x:row>
    <x:row r="510" ht="30" customHeight="1">
      <x:c r="A510" s="59" t="str">
        <x:v>Kontrola lokalna</x:v>
      </x:c>
      <x:c r="B510" s="59" t="str">
        <x:v>snapshot_bytes:ENERGA_LANDING</x:v>
      </x:c>
      <x:c r="C510" s="59" t="str">
        <x:v>PASS</x:v>
      </x:c>
    </x:row>
    <x:row r="511" ht="30" customHeight="1">
      <x:c r="A511" s="59" t="str">
        <x:v>Kontrola lokalna</x:v>
      </x:c>
      <x:c r="B511" s="59" t="str">
        <x:v>snapshot_sha256:ENERGA_LANDING</x:v>
      </x:c>
      <x:c r="C511" s="59" t="str">
        <x:v>PASS</x:v>
      </x:c>
    </x:row>
    <x:row r="512" ht="30" customHeight="1">
      <x:c r="A512" s="59" t="str">
        <x:v>Kontrola lokalna</x:v>
      </x:c>
      <x:c r="B512" s="59" t="str">
        <x:v>snapshot_within_raw:GUGIK_EGIB_CAPABILITIES</x:v>
      </x:c>
      <x:c r="C512" s="59" t="str">
        <x:v>PASS</x:v>
      </x:c>
    </x:row>
    <x:row r="513" ht="30" customHeight="1">
      <x:c r="A513" s="59" t="str">
        <x:v>Kontrola lokalna</x:v>
      </x:c>
      <x:c r="B513" s="59" t="str">
        <x:v>snapshot_exists:GUGIK_EGIB_CAPABILITIES</x:v>
      </x:c>
      <x:c r="C513" s="59" t="str">
        <x:v>PASS</x:v>
      </x:c>
    </x:row>
    <x:row r="514" ht="30" customHeight="1">
      <x:c r="A514" s="59" t="str">
        <x:v>Kontrola lokalna</x:v>
      </x:c>
      <x:c r="B514" s="59" t="str">
        <x:v>snapshot_bytes:GUGIK_EGIB_CAPABILITIES</x:v>
      </x:c>
      <x:c r="C514" s="59" t="str">
        <x:v>PASS</x:v>
      </x:c>
    </x:row>
    <x:row r="515" ht="30" customHeight="1">
      <x:c r="A515" s="59" t="str">
        <x:v>Kontrola lokalna</x:v>
      </x:c>
      <x:c r="B515" s="59" t="str">
        <x:v>snapshot_sha256:GUGIK_EGIB_CAPABILITIES</x:v>
      </x:c>
      <x:c r="C515" s="59" t="str">
        <x:v>PASS</x:v>
      </x:c>
    </x:row>
    <x:row r="516" ht="30" customHeight="1">
      <x:c r="A516" s="59" t="str">
        <x:v>Kontrola lokalna</x:v>
      </x:c>
      <x:c r="B516" s="59" t="str">
        <x:v>snapshot_within_raw:GDOS_CAPABILITIES</x:v>
      </x:c>
      <x:c r="C516" s="59" t="str">
        <x:v>PASS</x:v>
      </x:c>
    </x:row>
    <x:row r="517" ht="30" customHeight="1">
      <x:c r="A517" s="59" t="str">
        <x:v>Kontrola lokalna</x:v>
      </x:c>
      <x:c r="B517" s="59" t="str">
        <x:v>snapshot_exists:GDOS_CAPABILITIES</x:v>
      </x:c>
      <x:c r="C517" s="59" t="str">
        <x:v>PASS</x:v>
      </x:c>
    </x:row>
    <x:row r="518" ht="30" customHeight="1">
      <x:c r="A518" s="59" t="str">
        <x:v>Kontrola lokalna</x:v>
      </x:c>
      <x:c r="B518" s="59" t="str">
        <x:v>snapshot_bytes:GDOS_CAPABILITIES</x:v>
      </x:c>
      <x:c r="C518" s="59" t="str">
        <x:v>PASS</x:v>
      </x:c>
    </x:row>
    <x:row r="519" ht="30" customHeight="1">
      <x:c r="A519" s="59" t="str">
        <x:v>Kontrola lokalna</x:v>
      </x:c>
      <x:c r="B519" s="59" t="str">
        <x:v>snapshot_sha256:GDOS_CAPABILITIES</x:v>
      </x:c>
      <x:c r="C519" s="59" t="str">
        <x:v>PASS</x:v>
      </x:c>
    </x:row>
    <x:row r="520" ht="30" customHeight="1">
      <x:c r="A520" s="59" t="str">
        <x:v>Kontrola lokalna</x:v>
      </x:c>
      <x:c r="B520" s="59" t="str">
        <x:v>snapshot_within_raw:ENERGY_CHARTS_DOCS</x:v>
      </x:c>
      <x:c r="C520" s="59" t="str">
        <x:v>PASS</x:v>
      </x:c>
    </x:row>
    <x:row r="521" ht="30" customHeight="1">
      <x:c r="A521" s="59" t="str">
        <x:v>Kontrola lokalna</x:v>
      </x:c>
      <x:c r="B521" s="59" t="str">
        <x:v>snapshot_exists:ENERGY_CHARTS_DOCS</x:v>
      </x:c>
      <x:c r="C521" s="59" t="str">
        <x:v>PASS</x:v>
      </x:c>
    </x:row>
    <x:row r="522" ht="30" customHeight="1">
      <x:c r="A522" s="59" t="str">
        <x:v>Kontrola lokalna</x:v>
      </x:c>
      <x:c r="B522" s="59" t="str">
        <x:v>snapshot_bytes:ENERGY_CHARTS_DOCS</x:v>
      </x:c>
      <x:c r="C522" s="59" t="str">
        <x:v>PASS</x:v>
      </x:c>
    </x:row>
    <x:row r="523" ht="30" customHeight="1">
      <x:c r="A523" s="59" t="str">
        <x:v>Kontrola lokalna</x:v>
      </x:c>
      <x:c r="B523" s="59" t="str">
        <x:v>snapshot_sha256:ENERGY_CHARTS_DOCS</x:v>
      </x:c>
      <x:c r="C523" s="59" t="str">
        <x:v>PASS</x:v>
      </x:c>
    </x:row>
    <x:row r="524" ht="30" customHeight="1">
      <x:c r="A524" s="59" t="str">
        <x:v>Kontrola lokalna</x:v>
      </x:c>
      <x:c r="B524" s="59" t="str">
        <x:v>snapshot_within_raw:PSE_API_JS</x:v>
      </x:c>
      <x:c r="C524" s="59" t="str">
        <x:v>PASS</x:v>
      </x:c>
    </x:row>
    <x:row r="525" ht="30" customHeight="1">
      <x:c r="A525" s="59" t="str">
        <x:v>Kontrola lokalna</x:v>
      </x:c>
      <x:c r="B525" s="59" t="str">
        <x:v>snapshot_exists:PSE_API_JS</x:v>
      </x:c>
      <x:c r="C525" s="59" t="str">
        <x:v>PASS</x:v>
      </x:c>
    </x:row>
    <x:row r="526" ht="30" customHeight="1">
      <x:c r="A526" s="59" t="str">
        <x:v>Kontrola lokalna</x:v>
      </x:c>
      <x:c r="B526" s="59" t="str">
        <x:v>snapshot_bytes:PSE_API_JS</x:v>
      </x:c>
      <x:c r="C526" s="59" t="str">
        <x:v>PASS</x:v>
      </x:c>
    </x:row>
    <x:row r="527" ht="30" customHeight="1">
      <x:c r="A527" s="59" t="str">
        <x:v>Kontrola lokalna</x:v>
      </x:c>
      <x:c r="B527" s="59" t="str">
        <x:v>snapshot_sha256:PSE_API_JS</x:v>
      </x:c>
      <x:c r="C527" s="59" t="str">
        <x:v>PASS</x:v>
      </x:c>
    </x:row>
    <x:row r="528" ht="30" customHeight="1">
      <x:c r="A528" s="59" t="str">
        <x:v>Kontrola lokalna</x:v>
      </x:c>
      <x:c r="B528" s="59" t="str">
        <x:v>snapshot_within_raw:ENERGY_CHARTS_OPENAPI</x:v>
      </x:c>
      <x:c r="C528" s="59" t="str">
        <x:v>PASS</x:v>
      </x:c>
    </x:row>
    <x:row r="529" ht="30" customHeight="1">
      <x:c r="A529" s="59" t="str">
        <x:v>Kontrola lokalna</x:v>
      </x:c>
      <x:c r="B529" s="59" t="str">
        <x:v>snapshot_exists:ENERGY_CHARTS_OPENAPI</x:v>
      </x:c>
      <x:c r="C529" s="59" t="str">
        <x:v>PASS</x:v>
      </x:c>
    </x:row>
    <x:row r="530" ht="30" customHeight="1">
      <x:c r="A530" s="59" t="str">
        <x:v>Kontrola lokalna</x:v>
      </x:c>
      <x:c r="B530" s="59" t="str">
        <x:v>snapshot_bytes:ENERGY_CHARTS_OPENAPI</x:v>
      </x:c>
      <x:c r="C530" s="59" t="str">
        <x:v>PASS</x:v>
      </x:c>
    </x:row>
    <x:row r="531" ht="30" customHeight="1">
      <x:c r="A531" s="59" t="str">
        <x:v>Kontrola lokalna</x:v>
      </x:c>
      <x:c r="B531" s="59" t="str">
        <x:v>snapshot_sha256:ENERGY_CHARTS_OPENAPI</x:v>
      </x:c>
      <x:c r="C531" s="59" t="str">
        <x:v>PASS</x:v>
      </x:c>
    </x:row>
    <x:row r="532" ht="30" customHeight="1">
      <x:c r="A532" s="59" t="str">
        <x:v>Kontrola lokalna</x:v>
      </x:c>
      <x:c r="B532" s="59" t="str">
        <x:v>snapshot_within_raw:TAURON_PIPELINE_PDF</x:v>
      </x:c>
      <x:c r="C532" s="59" t="str">
        <x:v>PASS</x:v>
      </x:c>
    </x:row>
    <x:row r="533" ht="30" customHeight="1">
      <x:c r="A533" s="59" t="str">
        <x:v>Kontrola lokalna</x:v>
      </x:c>
      <x:c r="B533" s="59" t="str">
        <x:v>snapshot_exists:TAURON_PIPELINE_PDF</x:v>
      </x:c>
      <x:c r="C533" s="59" t="str">
        <x:v>PASS</x:v>
      </x:c>
    </x:row>
    <x:row r="534" ht="30" customHeight="1">
      <x:c r="A534" s="59" t="str">
        <x:v>Kontrola lokalna</x:v>
      </x:c>
      <x:c r="B534" s="59" t="str">
        <x:v>snapshot_bytes:TAURON_PIPELINE_PDF</x:v>
      </x:c>
      <x:c r="C534" s="59" t="str">
        <x:v>PASS</x:v>
      </x:c>
    </x:row>
    <x:row r="535" ht="30" customHeight="1">
      <x:c r="A535" s="59" t="str">
        <x:v>Kontrola lokalna</x:v>
      </x:c>
      <x:c r="B535" s="59" t="str">
        <x:v>snapshot_sha256:TAURON_PIPELINE_PDF</x:v>
      </x:c>
      <x:c r="C535" s="59" t="str">
        <x:v>PASS</x:v>
      </x:c>
    </x:row>
    <x:row r="536" ht="30" customHeight="1">
      <x:c r="A536" s="59" t="str">
        <x:v>Kontrola lokalna</x:v>
      </x:c>
      <x:c r="B536" s="59" t="str">
        <x:v>snapshot_within_raw:STOEN_NETWORK_HTML</x:v>
      </x:c>
      <x:c r="C536" s="59" t="str">
        <x:v>PASS</x:v>
      </x:c>
    </x:row>
    <x:row r="537" ht="30" customHeight="1">
      <x:c r="A537" s="59" t="str">
        <x:v>Kontrola lokalna</x:v>
      </x:c>
      <x:c r="B537" s="59" t="str">
        <x:v>snapshot_exists:STOEN_NETWORK_HTML</x:v>
      </x:c>
      <x:c r="C537" s="59" t="str">
        <x:v>PASS</x:v>
      </x:c>
    </x:row>
    <x:row r="538" ht="30" customHeight="1">
      <x:c r="A538" s="59" t="str">
        <x:v>Kontrola lokalna</x:v>
      </x:c>
      <x:c r="B538" s="59" t="str">
        <x:v>snapshot_bytes:STOEN_NETWORK_HTML</x:v>
      </x:c>
      <x:c r="C538" s="59" t="str">
        <x:v>PASS</x:v>
      </x:c>
    </x:row>
    <x:row r="539" ht="30" customHeight="1">
      <x:c r="A539" s="59" t="str">
        <x:v>Kontrola lokalna</x:v>
      </x:c>
      <x:c r="B539" s="59" t="str">
        <x:v>snapshot_sha256:STOEN_NETWORK_HTML</x:v>
      </x:c>
      <x:c r="C539" s="59" t="str">
        <x:v>PASS</x:v>
      </x:c>
    </x:row>
    <x:row r="540" ht="30" customHeight="1">
      <x:c r="A540" s="59" t="str">
        <x:v>Kontrola lokalna</x:v>
      </x:c>
      <x:c r="B540" s="59" t="str">
        <x:v>snapshot_within_raw:ENEA_PIPELINE_HTML</x:v>
      </x:c>
      <x:c r="C540" s="59" t="str">
        <x:v>PASS</x:v>
      </x:c>
    </x:row>
    <x:row r="541" ht="30" customHeight="1">
      <x:c r="A541" s="59" t="str">
        <x:v>Kontrola lokalna</x:v>
      </x:c>
      <x:c r="B541" s="59" t="str">
        <x:v>snapshot_exists:ENEA_PIPELINE_HTML</x:v>
      </x:c>
      <x:c r="C541" s="59" t="str">
        <x:v>PASS</x:v>
      </x:c>
    </x:row>
    <x:row r="542" ht="30" customHeight="1">
      <x:c r="A542" s="59" t="str">
        <x:v>Kontrola lokalna</x:v>
      </x:c>
      <x:c r="B542" s="59" t="str">
        <x:v>snapshot_bytes:ENEA_PIPELINE_HTML</x:v>
      </x:c>
      <x:c r="C542" s="59" t="str">
        <x:v>PASS</x:v>
      </x:c>
    </x:row>
    <x:row r="543" ht="30" customHeight="1">
      <x:c r="A543" s="59" t="str">
        <x:v>Kontrola lokalna</x:v>
      </x:c>
      <x:c r="B543" s="59" t="str">
        <x:v>snapshot_sha256:ENEA_PIPELINE_HTML</x:v>
      </x:c>
      <x:c r="C543" s="59" t="str">
        <x:v>PASS</x:v>
      </x:c>
    </x:row>
    <x:row r="544" ht="30" customHeight="1">
      <x:c r="A544" s="59" t="str">
        <x:v>Kontrola lokalna</x:v>
      </x:c>
      <x:c r="B544" s="59" t="str">
        <x:v>snapshot_within_raw:PSE_PIPELINE_HTML</x:v>
      </x:c>
      <x:c r="C544" s="59" t="str">
        <x:v>PASS</x:v>
      </x:c>
    </x:row>
    <x:row r="545" ht="30" customHeight="1">
      <x:c r="A545" s="59" t="str">
        <x:v>Kontrola lokalna</x:v>
      </x:c>
      <x:c r="B545" s="59" t="str">
        <x:v>snapshot_exists:PSE_PIPELINE_HTML</x:v>
      </x:c>
      <x:c r="C545" s="59" t="str">
        <x:v>PASS</x:v>
      </x:c>
    </x:row>
    <x:row r="546" ht="30" customHeight="1">
      <x:c r="A546" s="59" t="str">
        <x:v>Kontrola lokalna</x:v>
      </x:c>
      <x:c r="B546" s="59" t="str">
        <x:v>snapshot_bytes:PSE_PIPELINE_HTML</x:v>
      </x:c>
      <x:c r="C546" s="59" t="str">
        <x:v>PASS</x:v>
      </x:c>
    </x:row>
    <x:row r="547" ht="30" customHeight="1">
      <x:c r="A547" s="59" t="str">
        <x:v>Kontrola lokalna</x:v>
      </x:c>
      <x:c r="B547" s="59" t="str">
        <x:v>snapshot_sha256:PSE_PIPELINE_HTML</x:v>
      </x:c>
      <x:c r="C547" s="59" t="str">
        <x:v>PASS</x:v>
      </x:c>
    </x:row>
    <x:row r="548" ht="30" customHeight="1">
      <x:c r="A548" s="59" t="str">
        <x:v>Kontrola lokalna</x:v>
      </x:c>
      <x:c r="B548" s="59" t="str">
        <x:v>snapshot_within_raw:PSE_OPENAPI</x:v>
      </x:c>
      <x:c r="C548" s="59" t="str">
        <x:v>PASS</x:v>
      </x:c>
    </x:row>
    <x:row r="549" ht="30" customHeight="1">
      <x:c r="A549" s="59" t="str">
        <x:v>Kontrola lokalna</x:v>
      </x:c>
      <x:c r="B549" s="59" t="str">
        <x:v>snapshot_exists:PSE_OPENAPI</x:v>
      </x:c>
      <x:c r="C549" s="59" t="str">
        <x:v>PASS</x:v>
      </x:c>
    </x:row>
    <x:row r="550" ht="30" customHeight="1">
      <x:c r="A550" s="59" t="str">
        <x:v>Kontrola lokalna</x:v>
      </x:c>
      <x:c r="B550" s="59" t="str">
        <x:v>snapshot_bytes:PSE_OPENAPI</x:v>
      </x:c>
      <x:c r="C550" s="59" t="str">
        <x:v>PASS</x:v>
      </x:c>
    </x:row>
    <x:row r="551" ht="30" customHeight="1">
      <x:c r="A551" s="59" t="str">
        <x:v>Kontrola lokalna</x:v>
      </x:c>
      <x:c r="B551" s="59" t="str">
        <x:v>snapshot_sha256:PSE_OPENAPI</x:v>
      </x:c>
      <x:c r="C551" s="59" t="str">
        <x:v>PASS</x:v>
      </x:c>
    </x:row>
    <x:row r="552" ht="30" customHeight="1">
      <x:c r="A552" s="59" t="str">
        <x:v>Kontrola lokalna</x:v>
      </x:c>
      <x:c r="B552" s="59" t="str">
        <x:v>snapshot_within_raw:PSE_PIPELINE_XLSX</x:v>
      </x:c>
      <x:c r="C552" s="59" t="str">
        <x:v>PASS</x:v>
      </x:c>
    </x:row>
    <x:row r="553" ht="30" customHeight="1">
      <x:c r="A553" s="59" t="str">
        <x:v>Kontrola lokalna</x:v>
      </x:c>
      <x:c r="B553" s="59" t="str">
        <x:v>snapshot_exists:PSE_PIPELINE_XLSX</x:v>
      </x:c>
      <x:c r="C553" s="59" t="str">
        <x:v>PASS</x:v>
      </x:c>
    </x:row>
    <x:row r="554" ht="30" customHeight="1">
      <x:c r="A554" s="59" t="str">
        <x:v>Kontrola lokalna</x:v>
      </x:c>
      <x:c r="B554" s="59" t="str">
        <x:v>snapshot_bytes:PSE_PIPELINE_XLSX</x:v>
      </x:c>
      <x:c r="C554" s="59" t="str">
        <x:v>PASS</x:v>
      </x:c>
    </x:row>
    <x:row r="555" ht="30" customHeight="1">
      <x:c r="A555" s="59" t="str">
        <x:v>Kontrola lokalna</x:v>
      </x:c>
      <x:c r="B555" s="59" t="str">
        <x:v>snapshot_sha256:PSE_PIPELINE_XLSX</x:v>
      </x:c>
      <x:c r="C555" s="59" t="str">
        <x:v>PASS</x:v>
      </x:c>
    </x:row>
    <x:row r="556" ht="30" customHeight="1">
      <x:c r="A556" s="59" t="str">
        <x:v>Kontrola lokalna</x:v>
      </x:c>
      <x:c r="B556" s="59" t="str">
        <x:v>snapshot_within_raw:ENEA_MAP</x:v>
      </x:c>
      <x:c r="C556" s="59" t="str">
        <x:v>PASS</x:v>
      </x:c>
    </x:row>
    <x:row r="557" ht="30" customHeight="1">
      <x:c r="A557" s="59" t="str">
        <x:v>Kontrola lokalna</x:v>
      </x:c>
      <x:c r="B557" s="59" t="str">
        <x:v>snapshot_exists:ENEA_MAP</x:v>
      </x:c>
      <x:c r="C557" s="59" t="str">
        <x:v>PASS</x:v>
      </x:c>
    </x:row>
    <x:row r="558" ht="30" customHeight="1">
      <x:c r="A558" s="59" t="str">
        <x:v>Kontrola lokalna</x:v>
      </x:c>
      <x:c r="B558" s="59" t="str">
        <x:v>snapshot_bytes:ENEA_MAP</x:v>
      </x:c>
      <x:c r="C558" s="59" t="str">
        <x:v>PASS</x:v>
      </x:c>
    </x:row>
    <x:row r="559" ht="30" customHeight="1">
      <x:c r="A559" s="59" t="str">
        <x:v>Kontrola lokalna</x:v>
      </x:c>
      <x:c r="B559" s="59" t="str">
        <x:v>snapshot_sha256:ENEA_MAP</x:v>
      </x:c>
      <x:c r="C559" s="59" t="str">
        <x:v>PASS</x:v>
      </x:c>
    </x:row>
    <x:row r="560" ht="30" customHeight="1">
      <x:c r="A560" s="59" t="str">
        <x:v>Kontrola lokalna</x:v>
      </x:c>
      <x:c r="B560" s="59" t="str">
        <x:v>snapshot_within_raw:ENEA_PLAN</x:v>
      </x:c>
      <x:c r="C560" s="59" t="str">
        <x:v>PASS</x:v>
      </x:c>
    </x:row>
    <x:row r="561" ht="30" customHeight="1">
      <x:c r="A561" s="59" t="str">
        <x:v>Kontrola lokalna</x:v>
      </x:c>
      <x:c r="B561" s="59" t="str">
        <x:v>snapshot_exists:ENEA_PLAN</x:v>
      </x:c>
      <x:c r="C561" s="59" t="str">
        <x:v>PASS</x:v>
      </x:c>
    </x:row>
    <x:row r="562" ht="30" customHeight="1">
      <x:c r="A562" s="59" t="str">
        <x:v>Kontrola lokalna</x:v>
      </x:c>
      <x:c r="B562" s="59" t="str">
        <x:v>snapshot_bytes:ENEA_PLAN</x:v>
      </x:c>
      <x:c r="C562" s="59" t="str">
        <x:v>PASS</x:v>
      </x:c>
    </x:row>
    <x:row r="563" ht="30" customHeight="1">
      <x:c r="A563" s="59" t="str">
        <x:v>Kontrola lokalna</x:v>
      </x:c>
      <x:c r="B563" s="59" t="str">
        <x:v>snapshot_sha256:ENEA_PLAN</x:v>
      </x:c>
      <x:c r="C563" s="59" t="str">
        <x:v>PASS</x:v>
      </x:c>
    </x:row>
    <x:row r="564" ht="30" customHeight="1">
      <x:c r="A564" s="59" t="str">
        <x:v>Kontrola lokalna</x:v>
      </x:c>
      <x:c r="B564" s="59" t="str">
        <x:v>snapshot_within_raw:STOEN_EXPORT</x:v>
      </x:c>
      <x:c r="C564" s="59" t="str">
        <x:v>PASS</x:v>
      </x:c>
    </x:row>
    <x:row r="565" ht="30" customHeight="1">
      <x:c r="A565" s="59" t="str">
        <x:v>Kontrola lokalna</x:v>
      </x:c>
      <x:c r="B565" s="59" t="str">
        <x:v>snapshot_exists:STOEN_EXPORT</x:v>
      </x:c>
      <x:c r="C565" s="59" t="str">
        <x:v>PASS</x:v>
      </x:c>
    </x:row>
    <x:row r="566" ht="30" customHeight="1">
      <x:c r="A566" s="59" t="str">
        <x:v>Kontrola lokalna</x:v>
      </x:c>
      <x:c r="B566" s="59" t="str">
        <x:v>snapshot_bytes:STOEN_EXPORT</x:v>
      </x:c>
      <x:c r="C566" s="59" t="str">
        <x:v>PASS</x:v>
      </x:c>
    </x:row>
    <x:row r="567" ht="30" customHeight="1">
      <x:c r="A567" s="59" t="str">
        <x:v>Kontrola lokalna</x:v>
      </x:c>
      <x:c r="B567" s="59" t="str">
        <x:v>snapshot_sha256:STOEN_EXPORT</x:v>
      </x:c>
      <x:c r="C567" s="59" t="str">
        <x:v>PASS</x:v>
      </x:c>
    </x:row>
    <x:row r="568" ht="30" customHeight="1">
      <x:c r="A568" s="59" t="str">
        <x:v>Kontrola lokalna</x:v>
      </x:c>
      <x:c r="B568" s="59" t="str">
        <x:v>snapshot_within_raw:STOEN_IMPORT</x:v>
      </x:c>
      <x:c r="C568" s="59" t="str">
        <x:v>PASS</x:v>
      </x:c>
    </x:row>
    <x:row r="569" ht="30" customHeight="1">
      <x:c r="A569" s="59" t="str">
        <x:v>Kontrola lokalna</x:v>
      </x:c>
      <x:c r="B569" s="59" t="str">
        <x:v>snapshot_exists:STOEN_IMPORT</x:v>
      </x:c>
      <x:c r="C569" s="59" t="str">
        <x:v>PASS</x:v>
      </x:c>
    </x:row>
    <x:row r="570" ht="30" customHeight="1">
      <x:c r="A570" s="59" t="str">
        <x:v>Kontrola lokalna</x:v>
      </x:c>
      <x:c r="B570" s="59" t="str">
        <x:v>snapshot_bytes:STOEN_IMPORT</x:v>
      </x:c>
      <x:c r="C570" s="59" t="str">
        <x:v>PASS</x:v>
      </x:c>
    </x:row>
    <x:row r="571" ht="30" customHeight="1">
      <x:c r="A571" s="59" t="str">
        <x:v>Kontrola lokalna</x:v>
      </x:c>
      <x:c r="B571" s="59" t="str">
        <x:v>snapshot_sha256:STOEN_IMPORT</x:v>
      </x:c>
      <x:c r="C571" s="59" t="str">
        <x:v>PASS</x:v>
      </x:c>
    </x:row>
    <x:row r="572" ht="30" customHeight="1">
      <x:c r="A572" s="59" t="str">
        <x:v>Kontrola lokalna</x:v>
      </x:c>
      <x:c r="B572" s="59" t="str">
        <x:v>snapshot_within_raw:LAW_2026_516</x:v>
      </x:c>
      <x:c r="C572" s="59" t="str">
        <x:v>PASS</x:v>
      </x:c>
    </x:row>
    <x:row r="573" ht="30" customHeight="1">
      <x:c r="A573" s="59" t="str">
        <x:v>Kontrola lokalna</x:v>
      </x:c>
      <x:c r="B573" s="59" t="str">
        <x:v>snapshot_exists:LAW_2026_516</x:v>
      </x:c>
      <x:c r="C573" s="59" t="str">
        <x:v>PASS</x:v>
      </x:c>
    </x:row>
    <x:row r="574" ht="30" customHeight="1">
      <x:c r="A574" s="59" t="str">
        <x:v>Kontrola lokalna</x:v>
      </x:c>
      <x:c r="B574" s="59" t="str">
        <x:v>snapshot_bytes:LAW_2026_516</x:v>
      </x:c>
      <x:c r="C574" s="59" t="str">
        <x:v>PASS</x:v>
      </x:c>
    </x:row>
    <x:row r="575" ht="30" customHeight="1">
      <x:c r="A575" s="59" t="str">
        <x:v>Kontrola lokalna</x:v>
      </x:c>
      <x:c r="B575" s="59" t="str">
        <x:v>snapshot_sha256:LAW_2026_516</x:v>
      </x:c>
      <x:c r="C575" s="59" t="str">
        <x:v>PASS</x:v>
      </x:c>
    </x:row>
    <x:row r="576" ht="30" customHeight="1">
      <x:c r="A576" s="59" t="str">
        <x:v>Kontrola lokalna</x:v>
      </x:c>
      <x:c r="B576" s="59" t="str">
        <x:v>snapshot_within_raw:PSE_NODES_SAMPLE</x:v>
      </x:c>
      <x:c r="C576" s="59" t="str">
        <x:v>PASS</x:v>
      </x:c>
    </x:row>
    <x:row r="577" ht="30" customHeight="1">
      <x:c r="A577" s="59" t="str">
        <x:v>Kontrola lokalna</x:v>
      </x:c>
      <x:c r="B577" s="59" t="str">
        <x:v>snapshot_exists:PSE_NODES_SAMPLE</x:v>
      </x:c>
      <x:c r="C577" s="59" t="str">
        <x:v>PASS</x:v>
      </x:c>
    </x:row>
    <x:row r="578" ht="30" customHeight="1">
      <x:c r="A578" s="59" t="str">
        <x:v>Kontrola lokalna</x:v>
      </x:c>
      <x:c r="B578" s="59" t="str">
        <x:v>snapshot_bytes:PSE_NODES_SAMPLE</x:v>
      </x:c>
      <x:c r="C578" s="59" t="str">
        <x:v>PASS</x:v>
      </x:c>
    </x:row>
    <x:row r="579" ht="30" customHeight="1">
      <x:c r="A579" s="59" t="str">
        <x:v>Kontrola lokalna</x:v>
      </x:c>
      <x:c r="B579" s="59" t="str">
        <x:v>snapshot_sha256:PSE_NODES_SAMPLE</x:v>
      </x:c>
      <x:c r="C579" s="59" t="str">
        <x:v>PASS</x:v>
      </x:c>
    </x:row>
    <x:row r="580" ht="30" customHeight="1">
      <x:c r="A580" s="59" t="str">
        <x:v>Kontrola lokalna</x:v>
      </x:c>
      <x:c r="B580" s="59" t="str">
        <x:v>snapshot_within_raw:PSE_REDISPATCH_SAMPLE</x:v>
      </x:c>
      <x:c r="C580" s="59" t="str">
        <x:v>PASS</x:v>
      </x:c>
    </x:row>
    <x:row r="581" ht="30" customHeight="1">
      <x:c r="A581" s="59" t="str">
        <x:v>Kontrola lokalna</x:v>
      </x:c>
      <x:c r="B581" s="59" t="str">
        <x:v>snapshot_exists:PSE_REDISPATCH_SAMPLE</x:v>
      </x:c>
      <x:c r="C581" s="59" t="str">
        <x:v>PASS</x:v>
      </x:c>
    </x:row>
    <x:row r="582" ht="30" customHeight="1">
      <x:c r="A582" s="59" t="str">
        <x:v>Kontrola lokalna</x:v>
      </x:c>
      <x:c r="B582" s="59" t="str">
        <x:v>snapshot_bytes:PSE_REDISPATCH_SAMPLE</x:v>
      </x:c>
      <x:c r="C582" s="59" t="str">
        <x:v>PASS</x:v>
      </x:c>
    </x:row>
    <x:row r="583" ht="30" customHeight="1">
      <x:c r="A583" s="59" t="str">
        <x:v>Kontrola lokalna</x:v>
      </x:c>
      <x:c r="B583" s="59" t="str">
        <x:v>snapshot_sha256:PSE_REDISPATCH_SAMPLE</x:v>
      </x:c>
      <x:c r="C583" s="59" t="str">
        <x:v>PASS</x:v>
      </x:c>
    </x:row>
    <x:row r="584" ht="30" customHeight="1">
      <x:c r="A584" s="59" t="str">
        <x:v>Kontrola lokalna</x:v>
      </x:c>
      <x:c r="B584" s="59" t="str">
        <x:v>snapshot_within_raw:PSE_FLOWS_SAMPLE</x:v>
      </x:c>
      <x:c r="C584" s="59" t="str">
        <x:v>PASS</x:v>
      </x:c>
    </x:row>
    <x:row r="585" ht="30" customHeight="1">
      <x:c r="A585" s="59" t="str">
        <x:v>Kontrola lokalna</x:v>
      </x:c>
      <x:c r="B585" s="59" t="str">
        <x:v>snapshot_exists:PSE_FLOWS_SAMPLE</x:v>
      </x:c>
      <x:c r="C585" s="59" t="str">
        <x:v>PASS</x:v>
      </x:c>
    </x:row>
    <x:row r="586" ht="30" customHeight="1">
      <x:c r="A586" s="59" t="str">
        <x:v>Kontrola lokalna</x:v>
      </x:c>
      <x:c r="B586" s="59" t="str">
        <x:v>snapshot_bytes:PSE_FLOWS_SAMPLE</x:v>
      </x:c>
      <x:c r="C586" s="59" t="str">
        <x:v>PASS</x:v>
      </x:c>
    </x:row>
    <x:row r="587" ht="30" customHeight="1">
      <x:c r="A587" s="59" t="str">
        <x:v>Kontrola lokalna</x:v>
      </x:c>
      <x:c r="B587" s="59" t="str">
        <x:v>snapshot_sha256:PSE_FLOWS_SAMPLE</x:v>
      </x:c>
      <x:c r="C587" s="59" t="str">
        <x:v>PASS</x:v>
      </x:c>
    </x:row>
    <x:row r="588" ht="30" customHeight="1">
      <x:c r="A588" s="59" t="str">
        <x:v>Kontrola lokalna</x:v>
      </x:c>
      <x:c r="B588" s="59" t="str">
        <x:v>snapshot_within_raw:ENERGY_CHARTS_SAMPLE</x:v>
      </x:c>
      <x:c r="C588" s="59" t="str">
        <x:v>PASS</x:v>
      </x:c>
    </x:row>
    <x:row r="589" ht="30" customHeight="1">
      <x:c r="A589" s="59" t="str">
        <x:v>Kontrola lokalna</x:v>
      </x:c>
      <x:c r="B589" s="59" t="str">
        <x:v>snapshot_exists:ENERGY_CHARTS_SAMPLE</x:v>
      </x:c>
      <x:c r="C589" s="59" t="str">
        <x:v>PASS</x:v>
      </x:c>
    </x:row>
    <x:row r="590" ht="30" customHeight="1">
      <x:c r="A590" s="59" t="str">
        <x:v>Kontrola lokalna</x:v>
      </x:c>
      <x:c r="B590" s="59" t="str">
        <x:v>snapshot_bytes:ENERGY_CHARTS_SAMPLE</x:v>
      </x:c>
      <x:c r="C590" s="59" t="str">
        <x:v>PASS</x:v>
      </x:c>
    </x:row>
    <x:row r="591" ht="30" customHeight="1">
      <x:c r="A591" s="59" t="str">
        <x:v>Kontrola lokalna</x:v>
      </x:c>
      <x:c r="B591" s="59" t="str">
        <x:v>snapshot_sha256:ENERGY_CHARTS_SAMPLE</x:v>
      </x:c>
      <x:c r="C591" s="59" t="str">
        <x:v>PASS</x:v>
      </x:c>
    </x:row>
    <x:row r="592" ht="30" customHeight="1">
      <x:c r="A592" s="59" t="str">
        <x:v>Kontrola lokalna</x:v>
      </x:c>
      <x:c r="B592" s="59" t="str">
        <x:v>snapshot_within_raw:EBIN_ELECTRICITY</x:v>
      </x:c>
      <x:c r="C592" s="59" t="str">
        <x:v>PASS</x:v>
      </x:c>
    </x:row>
    <x:row r="593" ht="30" customHeight="1">
      <x:c r="A593" s="59" t="str">
        <x:v>Kontrola lokalna</x:v>
      </x:c>
      <x:c r="B593" s="59" t="str">
        <x:v>snapshot_exists:EBIN_ELECTRICITY</x:v>
      </x:c>
      <x:c r="C593" s="59" t="str">
        <x:v>PASS</x:v>
      </x:c>
    </x:row>
    <x:row r="594" ht="30" customHeight="1">
      <x:c r="A594" s="59" t="str">
        <x:v>Kontrola lokalna</x:v>
      </x:c>
      <x:c r="B594" s="59" t="str">
        <x:v>snapshot_bytes:EBIN_ELECTRICITY</x:v>
      </x:c>
      <x:c r="C594" s="59" t="str">
        <x:v>PASS</x:v>
      </x:c>
    </x:row>
    <x:row r="595" ht="30" customHeight="1">
      <x:c r="A595" s="59" t="str">
        <x:v>Kontrola lokalna</x:v>
      </x:c>
      <x:c r="B595" s="59" t="str">
        <x:v>snapshot_sha256:EBIN_ELECTRICITY</x:v>
      </x:c>
      <x:c r="C595" s="59" t="str">
        <x:v>PASS</x:v>
      </x:c>
    </x:row>
    <x:row r="596" ht="30" customHeight="1">
      <x:c r="A596" s="59" t="str">
        <x:v>Kontrola lokalna</x:v>
      </x:c>
      <x:c r="B596" s="59" t="str">
        <x:v>snapshot_within_raw:EBIN_ELECTRICITY</x:v>
      </x:c>
      <x:c r="C596" s="59" t="str">
        <x:v>PASS</x:v>
      </x:c>
    </x:row>
    <x:row r="597" ht="30" customHeight="1">
      <x:c r="A597" s="59" t="str">
        <x:v>Kontrola lokalna</x:v>
      </x:c>
      <x:c r="B597" s="59" t="str">
        <x:v>snapshot_exists:EBIN_ELECTRICITY</x:v>
      </x:c>
      <x:c r="C597" s="59" t="str">
        <x:v>PASS</x:v>
      </x:c>
    </x:row>
    <x:row r="598" ht="30" customHeight="1">
      <x:c r="A598" s="59" t="str">
        <x:v>Kontrola lokalna</x:v>
      </x:c>
      <x:c r="B598" s="59" t="str">
        <x:v>snapshot_bytes:EBIN_ELECTRICITY</x:v>
      </x:c>
      <x:c r="C598" s="59" t="str">
        <x:v>PASS</x:v>
      </x:c>
    </x:row>
    <x:row r="599" ht="30" customHeight="1">
      <x:c r="A599" s="59" t="str">
        <x:v>Kontrola lokalna</x:v>
      </x:c>
      <x:c r="B599" s="59" t="str">
        <x:v>snapshot_sha256:EBIN_ELECTRICITY</x:v>
      </x:c>
      <x:c r="C599" s="59" t="str">
        <x:v>PASS</x:v>
      </x:c>
    </x:row>
    <x:row r="600" ht="30" customHeight="1">
      <x:c r="A600" s="59" t="str">
        <x:v>Kontrola lokalna</x:v>
      </x:c>
      <x:c r="B600" s="59" t="str">
        <x:v>snapshot_within_raw:EBIN_ELECTRICITY</x:v>
      </x:c>
      <x:c r="C600" s="59" t="str">
        <x:v>PASS</x:v>
      </x:c>
    </x:row>
    <x:row r="601" ht="30" customHeight="1">
      <x:c r="A601" s="59" t="str">
        <x:v>Kontrola lokalna</x:v>
      </x:c>
      <x:c r="B601" s="59" t="str">
        <x:v>snapshot_exists:EBIN_ELECTRICITY</x:v>
      </x:c>
      <x:c r="C601" s="59" t="str">
        <x:v>PASS</x:v>
      </x:c>
    </x:row>
    <x:row r="602" ht="30" customHeight="1">
      <x:c r="A602" s="59" t="str">
        <x:v>Kontrola lokalna</x:v>
      </x:c>
      <x:c r="B602" s="59" t="str">
        <x:v>snapshot_bytes:EBIN_ELECTRICITY</x:v>
      </x:c>
      <x:c r="C602" s="59" t="str">
        <x:v>PASS</x:v>
      </x:c>
    </x:row>
    <x:row r="603" ht="30" customHeight="1">
      <x:c r="A603" s="59" t="str">
        <x:v>Kontrola lokalna</x:v>
      </x:c>
      <x:c r="B603" s="59" t="str">
        <x:v>snapshot_sha256:EBIN_ELECTRICITY</x:v>
      </x:c>
      <x:c r="C603" s="59" t="str">
        <x:v>PASS</x:v>
      </x:c>
    </x:row>
    <x:row r="604" ht="30" customHeight="1">
      <x:c r="A604" s="59" t="str">
        <x:v>Kontrola lokalna</x:v>
      </x:c>
      <x:c r="B604" s="59" t="str">
        <x:v>snapshot_within_raw:EBIN_ELECTRICITY</x:v>
      </x:c>
      <x:c r="C604" s="59" t="str">
        <x:v>PASS</x:v>
      </x:c>
    </x:row>
    <x:row r="605" ht="30" customHeight="1">
      <x:c r="A605" s="59" t="str">
        <x:v>Kontrola lokalna</x:v>
      </x:c>
      <x:c r="B605" s="59" t="str">
        <x:v>snapshot_exists:EBIN_ELECTRICITY</x:v>
      </x:c>
      <x:c r="C605" s="59" t="str">
        <x:v>PASS</x:v>
      </x:c>
    </x:row>
    <x:row r="606" ht="30" customHeight="1">
      <x:c r="A606" s="59" t="str">
        <x:v>Kontrola lokalna</x:v>
      </x:c>
      <x:c r="B606" s="59" t="str">
        <x:v>snapshot_bytes:EBIN_ELECTRICITY</x:v>
      </x:c>
      <x:c r="C606" s="59" t="str">
        <x:v>PASS</x:v>
      </x:c>
    </x:row>
    <x:row r="607" ht="30" customHeight="1">
      <x:c r="A607" s="59" t="str">
        <x:v>Kontrola lokalna</x:v>
      </x:c>
      <x:c r="B607" s="59" t="str">
        <x:v>snapshot_sha256:EBIN_ELECTRICITY</x:v>
      </x:c>
      <x:c r="C607" s="59" t="str">
        <x:v>PASS</x:v>
      </x:c>
    </x:row>
    <x:row r="608" ht="30" customHeight="1">
      <x:c r="A608" s="59" t="str">
        <x:v>Kontrola lokalna</x:v>
      </x:c>
      <x:c r="B608" s="59" t="str">
        <x:v>snapshot_within_raw:OSM_RADK_STATION_OBJECT</x:v>
      </x:c>
      <x:c r="C608" s="59" t="str">
        <x:v>PASS</x:v>
      </x:c>
    </x:row>
    <x:row r="609" ht="30" customHeight="1">
      <x:c r="A609" s="59" t="str">
        <x:v>Kontrola lokalna</x:v>
      </x:c>
      <x:c r="B609" s="59" t="str">
        <x:v>snapshot_exists:OSM_RADK_STATION_OBJECT</x:v>
      </x:c>
      <x:c r="C609" s="59" t="str">
        <x:v>PASS</x:v>
      </x:c>
    </x:row>
    <x:row r="610" ht="30" customHeight="1">
      <x:c r="A610" s="59" t="str">
        <x:v>Kontrola lokalna</x:v>
      </x:c>
      <x:c r="B610" s="59" t="str">
        <x:v>snapshot_bytes:OSM_RADK_STATION_OBJECT</x:v>
      </x:c>
      <x:c r="C610" s="59" t="str">
        <x:v>PASS</x:v>
      </x:c>
    </x:row>
    <x:row r="611" ht="30" customHeight="1">
      <x:c r="A611" s="59" t="str">
        <x:v>Kontrola lokalna</x:v>
      </x:c>
      <x:c r="B611" s="59" t="str">
        <x:v>snapshot_sha256:OSM_RADK_STATION_OBJECT</x:v>
      </x:c>
      <x:c r="C611" s="59" t="str">
        <x:v>PASS</x:v>
      </x:c>
    </x:row>
    <x:row r="612" ht="30" customHeight="1">
      <x:c r="A612" s="59" t="str">
        <x:v>Kontrola lokalna</x:v>
      </x:c>
      <x:c r="B612" s="59" t="str">
        <x:v>snapshot_within_raw:OSM_RADK_STATION_AREA</x:v>
      </x:c>
      <x:c r="C612" s="59" t="str">
        <x:v>PASS</x:v>
      </x:c>
    </x:row>
    <x:row r="613" ht="30" customHeight="1">
      <x:c r="A613" s="59" t="str">
        <x:v>Kontrola lokalna</x:v>
      </x:c>
      <x:c r="B613" s="59" t="str">
        <x:v>snapshot_exists:OSM_RADK_STATION_AREA</x:v>
      </x:c>
      <x:c r="C613" s="59" t="str">
        <x:v>PASS</x:v>
      </x:c>
    </x:row>
    <x:row r="614" ht="30" customHeight="1">
      <x:c r="A614" s="59" t="str">
        <x:v>Kontrola lokalna</x:v>
      </x:c>
      <x:c r="B614" s="59" t="str">
        <x:v>snapshot_bytes:OSM_RADK_STATION_AREA</x:v>
      </x:c>
      <x:c r="C614" s="59" t="str">
        <x:v>PASS</x:v>
      </x:c>
    </x:row>
    <x:row r="615" ht="30" customHeight="1">
      <x:c r="A615" s="59" t="str">
        <x:v>Kontrola lokalna</x:v>
      </x:c>
      <x:c r="B615" s="59" t="str">
        <x:v>snapshot_sha256:OSM_RADK_STATION_AREA</x:v>
      </x:c>
      <x:c r="C615" s="59" t="str">
        <x:v>PASS</x:v>
      </x:c>
    </x:row>
    <x:row r="616" ht="30" customHeight="1">
      <x:c r="A616" s="59" t="str">
        <x:v>Kontrola lokalna</x:v>
      </x:c>
      <x:c r="B616" s="59" t="str">
        <x:v>snapshot_within_raw:GRID_OZE_PORTAL</x:v>
      </x:c>
      <x:c r="C616" s="59" t="str">
        <x:v>PASS</x:v>
      </x:c>
    </x:row>
    <x:row r="617" ht="30" customHeight="1">
      <x:c r="A617" s="59" t="str">
        <x:v>Kontrola lokalna</x:v>
      </x:c>
      <x:c r="B617" s="59" t="str">
        <x:v>snapshot_exists:GRID_OZE_PORTAL</x:v>
      </x:c>
      <x:c r="C617" s="59" t="str">
        <x:v>PASS</x:v>
      </x:c>
    </x:row>
    <x:row r="618" ht="30" customHeight="1">
      <x:c r="A618" s="59" t="str">
        <x:v>Kontrola lokalna</x:v>
      </x:c>
      <x:c r="B618" s="59" t="str">
        <x:v>snapshot_bytes:GRID_OZE_PORTAL</x:v>
      </x:c>
      <x:c r="C618" s="59" t="str">
        <x:v>PASS</x:v>
      </x:c>
    </x:row>
    <x:row r="619" ht="30" customHeight="1">
      <x:c r="A619" s="59" t="str">
        <x:v>Kontrola lokalna</x:v>
      </x:c>
      <x:c r="B619" s="59" t="str">
        <x:v>snapshot_sha256:GRID_OZE_PORTAL</x:v>
      </x:c>
      <x:c r="C619" s="59" t="str">
        <x:v>PASS</x:v>
      </x:c>
    </x:row>
    <x:row r="620" ht="30" customHeight="1">
      <x:c r="A620" s="59" t="str">
        <x:v>Kontrola lokalna</x:v>
      </x:c>
      <x:c r="B620" s="59" t="str">
        <x:v>snapshot_within_raw:EMP_PW</x:v>
      </x:c>
      <x:c r="C620" s="59" t="str">
        <x:v>PASS</x:v>
      </x:c>
    </x:row>
    <x:row r="621" ht="30" customHeight="1">
      <x:c r="A621" s="59" t="str">
        <x:v>Kontrola lokalna</x:v>
      </x:c>
      <x:c r="B621" s="59" t="str">
        <x:v>snapshot_exists:EMP_PW</x:v>
      </x:c>
      <x:c r="C621" s="59" t="str">
        <x:v>PASS</x:v>
      </x:c>
    </x:row>
    <x:row r="622" ht="30" customHeight="1">
      <x:c r="A622" s="59" t="str">
        <x:v>Kontrola lokalna</x:v>
      </x:c>
      <x:c r="B622" s="59" t="str">
        <x:v>snapshot_bytes:EMP_PW</x:v>
      </x:c>
      <x:c r="C622" s="59" t="str">
        <x:v>PASS</x:v>
      </x:c>
    </x:row>
    <x:row r="623" ht="30" customHeight="1">
      <x:c r="A623" s="59" t="str">
        <x:v>Kontrola lokalna</x:v>
      </x:c>
      <x:c r="B623" s="59" t="str">
        <x:v>snapshot_sha256:EMP_PW</x:v>
      </x:c>
      <x:c r="C623" s="59" t="str">
        <x:v>PASS</x:v>
      </x:c>
    </x:row>
    <x:row r="624" ht="30" customHeight="1">
      <x:c r="A624" s="59" t="str">
        <x:v>Kontrola lokalna</x:v>
      </x:c>
      <x:c r="B624" s="59" t="str">
        <x:v>snapshot_within_raw:GRID_OZE_REPORT</x:v>
      </x:c>
      <x:c r="C624" s="59" t="str">
        <x:v>PASS</x:v>
      </x:c>
    </x:row>
    <x:row r="625" ht="30" customHeight="1">
      <x:c r="A625" s="59" t="str">
        <x:v>Kontrola lokalna</x:v>
      </x:c>
      <x:c r="B625" s="59" t="str">
        <x:v>snapshot_exists:GRID_OZE_REPORT</x:v>
      </x:c>
      <x:c r="C625" s="59" t="str">
        <x:v>PASS</x:v>
      </x:c>
    </x:row>
    <x:row r="626" ht="30" customHeight="1">
      <x:c r="A626" s="59" t="str">
        <x:v>Kontrola lokalna</x:v>
      </x:c>
      <x:c r="B626" s="59" t="str">
        <x:v>snapshot_bytes:GRID_OZE_REPORT</x:v>
      </x:c>
      <x:c r="C626" s="59" t="str">
        <x:v>PASS</x:v>
      </x:c>
    </x:row>
    <x:row r="627" ht="30" customHeight="1">
      <x:c r="A627" s="59" t="str">
        <x:v>Kontrola lokalna</x:v>
      </x:c>
      <x:c r="B627" s="59" t="str">
        <x:v>snapshot_sha256:GRID_OZE_REPORT</x:v>
      </x:c>
      <x:c r="C627" s="59" t="str">
        <x:v>PASS</x:v>
      </x:c>
    </x:row>
    <x:row r="628" ht="30" customHeight="1">
      <x:c r="A628" s="59" t="str">
        <x:v>Kontrola lokalna</x:v>
      </x:c>
      <x:c r="B628" s="59" t="str">
        <x:v>snapshot_within_raw:GRID_OZE_PORTAL</x:v>
      </x:c>
      <x:c r="C628" s="59" t="str">
        <x:v>PASS</x:v>
      </x:c>
    </x:row>
    <x:row r="629" ht="30" customHeight="1">
      <x:c r="A629" s="59" t="str">
        <x:v>Kontrola lokalna</x:v>
      </x:c>
      <x:c r="B629" s="59" t="str">
        <x:v>snapshot_exists:GRID_OZE_PORTAL</x:v>
      </x:c>
      <x:c r="C629" s="59" t="str">
        <x:v>PASS</x:v>
      </x:c>
    </x:row>
    <x:row r="630" ht="30" customHeight="1">
      <x:c r="A630" s="59" t="str">
        <x:v>Kontrola lokalna</x:v>
      </x:c>
      <x:c r="B630" s="59" t="str">
        <x:v>snapshot_bytes:GRID_OZE_PORTAL</x:v>
      </x:c>
      <x:c r="C630" s="59" t="str">
        <x:v>PASS</x:v>
      </x:c>
    </x:row>
    <x:row r="631" ht="30" customHeight="1">
      <x:c r="A631" s="59" t="str">
        <x:v>Kontrola lokalna</x:v>
      </x:c>
      <x:c r="B631" s="59" t="str">
        <x:v>snapshot_sha256:GRID_OZE_PORTAL</x:v>
      </x:c>
      <x:c r="C631" s="59" t="str">
        <x:v>PASS</x:v>
      </x:c>
    </x:row>
    <x:row r="632" ht="30" customHeight="1">
      <x:c r="A632" s="59" t="str">
        <x:v>Kontrola lokalna</x:v>
      </x:c>
      <x:c r="B632" s="59" t="str">
        <x:v>snapshot_within_raw:GRID_OZE_PORTAL</x:v>
      </x:c>
      <x:c r="C632" s="59" t="str">
        <x:v>PASS</x:v>
      </x:c>
    </x:row>
    <x:row r="633" ht="30" customHeight="1">
      <x:c r="A633" s="59" t="str">
        <x:v>Kontrola lokalna</x:v>
      </x:c>
      <x:c r="B633" s="59" t="str">
        <x:v>snapshot_exists:GRID_OZE_PORTAL</x:v>
      </x:c>
      <x:c r="C633" s="59" t="str">
        <x:v>PASS</x:v>
      </x:c>
    </x:row>
    <x:row r="634" ht="30" customHeight="1">
      <x:c r="A634" s="59" t="str">
        <x:v>Kontrola lokalna</x:v>
      </x:c>
      <x:c r="B634" s="59" t="str">
        <x:v>snapshot_bytes:GRID_OZE_PORTAL</x:v>
      </x:c>
      <x:c r="C634" s="59" t="str">
        <x:v>PASS</x:v>
      </x:c>
    </x:row>
    <x:row r="635" ht="30" customHeight="1">
      <x:c r="A635" s="59" t="str">
        <x:v>Kontrola lokalna</x:v>
      </x:c>
      <x:c r="B635" s="59" t="str">
        <x:v>snapshot_sha256:GRID_OZE_PORTAL</x:v>
      </x:c>
      <x:c r="C635" s="59" t="str">
        <x:v>PASS</x:v>
      </x:c>
    </x:row>
    <x:row r="636" ht="30" customHeight="1">
      <x:c r="A636" s="59" t="str">
        <x:v>Kontrola lokalna</x:v>
      </x:c>
      <x:c r="B636" s="59" t="str">
        <x:v>snapshot_within_raw:GRID_OZE_PORTAL</x:v>
      </x:c>
      <x:c r="C636" s="59" t="str">
        <x:v>PASS</x:v>
      </x:c>
    </x:row>
    <x:row r="637" ht="30" customHeight="1">
      <x:c r="A637" s="59" t="str">
        <x:v>Kontrola lokalna</x:v>
      </x:c>
      <x:c r="B637" s="59" t="str">
        <x:v>snapshot_exists:GRID_OZE_PORTAL</x:v>
      </x:c>
      <x:c r="C637" s="59" t="str">
        <x:v>PASS</x:v>
      </x:c>
    </x:row>
    <x:row r="638" ht="30" customHeight="1">
      <x:c r="A638" s="59" t="str">
        <x:v>Kontrola lokalna</x:v>
      </x:c>
      <x:c r="B638" s="59" t="str">
        <x:v>snapshot_bytes:GRID_OZE_PORTAL</x:v>
      </x:c>
      <x:c r="C638" s="59" t="str">
        <x:v>PASS</x:v>
      </x:c>
    </x:row>
    <x:row r="639" ht="30" customHeight="1">
      <x:c r="A639" s="59" t="str">
        <x:v>Kontrola lokalna</x:v>
      </x:c>
      <x:c r="B639" s="59" t="str">
        <x:v>snapshot_sha256:GRID_OZE_PORTAL</x:v>
      </x:c>
      <x:c r="C639" s="59" t="str">
        <x:v>PASS</x:v>
      </x:c>
    </x:row>
    <x:row r="640" ht="30" customHeight="1">
      <x:c r="A640" s="59" t="str">
        <x:v>Kontrola lokalna</x:v>
      </x:c>
      <x:c r="B640" s="59" t="str">
        <x:v>snapshot_within_raw:EMP_PW</x:v>
      </x:c>
      <x:c r="C640" s="59" t="str">
        <x:v>PASS</x:v>
      </x:c>
    </x:row>
    <x:row r="641" ht="30" customHeight="1">
      <x:c r="A641" s="59" t="str">
        <x:v>Kontrola lokalna</x:v>
      </x:c>
      <x:c r="B641" s="59" t="str">
        <x:v>snapshot_exists:EMP_PW</x:v>
      </x:c>
      <x:c r="C641" s="59" t="str">
        <x:v>PASS</x:v>
      </x:c>
    </x:row>
    <x:row r="642" ht="30" customHeight="1">
      <x:c r="A642" s="59" t="str">
        <x:v>Kontrola lokalna</x:v>
      </x:c>
      <x:c r="B642" s="59" t="str">
        <x:v>snapshot_bytes:EMP_PW</x:v>
      </x:c>
      <x:c r="C642" s="59" t="str">
        <x:v>PASS</x:v>
      </x:c>
    </x:row>
    <x:row r="643" ht="30" customHeight="1">
      <x:c r="A643" s="59" t="str">
        <x:v>Kontrola lokalna</x:v>
      </x:c>
      <x:c r="B643" s="59" t="str">
        <x:v>snapshot_sha256:EMP_PW</x:v>
      </x:c>
      <x:c r="C643" s="59" t="str">
        <x:v>PASS</x:v>
      </x:c>
    </x:row>
    <x:row r="644" ht="30" customHeight="1">
      <x:c r="A644" s="59" t="str">
        <x:v>Kontrola lokalna</x:v>
      </x:c>
      <x:c r="B644" s="59" t="str">
        <x:v>snapshot_within_raw:EMP_PW</x:v>
      </x:c>
      <x:c r="C644" s="59" t="str">
        <x:v>PASS</x:v>
      </x:c>
    </x:row>
    <x:row r="645" ht="30" customHeight="1">
      <x:c r="A645" s="59" t="str">
        <x:v>Kontrola lokalna</x:v>
      </x:c>
      <x:c r="B645" s="59" t="str">
        <x:v>snapshot_exists:EMP_PW</x:v>
      </x:c>
      <x:c r="C645" s="59" t="str">
        <x:v>PASS</x:v>
      </x:c>
    </x:row>
    <x:row r="646" ht="30" customHeight="1">
      <x:c r="A646" s="59" t="str">
        <x:v>Kontrola lokalna</x:v>
      </x:c>
      <x:c r="B646" s="59" t="str">
        <x:v>snapshot_bytes:EMP_PW</x:v>
      </x:c>
      <x:c r="C646" s="59" t="str">
        <x:v>PASS</x:v>
      </x:c>
    </x:row>
    <x:row r="647" ht="30" customHeight="1">
      <x:c r="A647" s="59" t="str">
        <x:v>Kontrola lokalna</x:v>
      </x:c>
      <x:c r="B647" s="59" t="str">
        <x:v>snapshot_sha256:EMP_PW</x:v>
      </x:c>
      <x:c r="C647" s="59" t="str">
        <x:v>PASS</x:v>
      </x:c>
    </x:row>
    <x:row r="648" ht="30" customHeight="1">
      <x:c r="A648" s="59" t="str">
        <x:v>Kontrola lokalna</x:v>
      </x:c>
      <x:c r="B648" s="59" t="str">
        <x:v>snapshot_within_raw:GRID_OZE_PORTAL</x:v>
      </x:c>
      <x:c r="C648" s="59" t="str">
        <x:v>PASS</x:v>
      </x:c>
    </x:row>
    <x:row r="649" ht="30" customHeight="1">
      <x:c r="A649" s="59" t="str">
        <x:v>Kontrola lokalna</x:v>
      </x:c>
      <x:c r="B649" s="59" t="str">
        <x:v>snapshot_exists:GRID_OZE_PORTAL</x:v>
      </x:c>
      <x:c r="C649" s="59" t="str">
        <x:v>PASS</x:v>
      </x:c>
    </x:row>
    <x:row r="650" ht="30" customHeight="1">
      <x:c r="A650" s="59" t="str">
        <x:v>Kontrola lokalna</x:v>
      </x:c>
      <x:c r="B650" s="59" t="str">
        <x:v>snapshot_bytes:GRID_OZE_PORTAL</x:v>
      </x:c>
      <x:c r="C650" s="59" t="str">
        <x:v>PASS</x:v>
      </x:c>
    </x:row>
    <x:row r="651" ht="30" customHeight="1">
      <x:c r="A651" s="59" t="str">
        <x:v>Kontrola lokalna</x:v>
      </x:c>
      <x:c r="B651" s="59" t="str">
        <x:v>snapshot_sha256:GRID_OZE_PORTAL</x:v>
      </x:c>
      <x:c r="C651" s="59" t="str">
        <x:v>PASS</x:v>
      </x:c>
    </x:row>
    <x:row r="652" ht="30" customHeight="1">
      <x:c r="A652" s="59" t="str">
        <x:v>Kontrola lokalna</x:v>
      </x:c>
      <x:c r="B652" s="59" t="str">
        <x:v>snapshot_within_raw:GRID_OZE_PORTAL</x:v>
      </x:c>
      <x:c r="C652" s="59" t="str">
        <x:v>PASS</x:v>
      </x:c>
    </x:row>
    <x:row r="653" ht="30" customHeight="1">
      <x:c r="A653" s="59" t="str">
        <x:v>Kontrola lokalna</x:v>
      </x:c>
      <x:c r="B653" s="59" t="str">
        <x:v>snapshot_exists:GRID_OZE_PORTAL</x:v>
      </x:c>
      <x:c r="C653" s="59" t="str">
        <x:v>PASS</x:v>
      </x:c>
    </x:row>
    <x:row r="654" ht="30" customHeight="1">
      <x:c r="A654" s="59" t="str">
        <x:v>Kontrola lokalna</x:v>
      </x:c>
      <x:c r="B654" s="59" t="str">
        <x:v>snapshot_bytes:GRID_OZE_PORTAL</x:v>
      </x:c>
      <x:c r="C654" s="59" t="str">
        <x:v>PASS</x:v>
      </x:c>
    </x:row>
    <x:row r="655" ht="30" customHeight="1">
      <x:c r="A655" s="59" t="str">
        <x:v>Kontrola lokalna</x:v>
      </x:c>
      <x:c r="B655" s="59" t="str">
        <x:v>snapshot_sha256:GRID_OZE_PORTAL</x:v>
      </x:c>
      <x:c r="C655" s="59" t="str">
        <x:v>PASS</x:v>
      </x:c>
    </x:row>
    <x:row r="656" ht="30" customHeight="1">
      <x:c r="A656" s="59" t="str">
        <x:v>Kontrola lokalna</x:v>
      </x:c>
      <x:c r="B656" s="59" t="str">
        <x:v>snapshot_within_raw:GRID_OZE_PORTAL</x:v>
      </x:c>
      <x:c r="C656" s="59" t="str">
        <x:v>PASS</x:v>
      </x:c>
    </x:row>
    <x:row r="657" ht="30" customHeight="1">
      <x:c r="A657" s="59" t="str">
        <x:v>Kontrola lokalna</x:v>
      </x:c>
      <x:c r="B657" s="59" t="str">
        <x:v>snapshot_exists:GRID_OZE_PORTAL</x:v>
      </x:c>
      <x:c r="C657" s="59" t="str">
        <x:v>PASS</x:v>
      </x:c>
    </x:row>
    <x:row r="658" ht="30" customHeight="1">
      <x:c r="A658" s="59" t="str">
        <x:v>Kontrola lokalna</x:v>
      </x:c>
      <x:c r="B658" s="59" t="str">
        <x:v>snapshot_bytes:GRID_OZE_PORTAL</x:v>
      </x:c>
      <x:c r="C658" s="59" t="str">
        <x:v>PASS</x:v>
      </x:c>
    </x:row>
    <x:row r="659" ht="30" customHeight="1">
      <x:c r="A659" s="59" t="str">
        <x:v>Kontrola lokalna</x:v>
      </x:c>
      <x:c r="B659" s="59" t="str">
        <x:v>snapshot_sha256:GRID_OZE_PORTAL</x:v>
      </x:c>
      <x:c r="C659" s="59" t="str">
        <x:v>PASS</x:v>
      </x:c>
    </x:row>
    <x:row r="660" ht="30" customHeight="1">
      <x:c r="A660" s="59" t="str">
        <x:v>Kontrola lokalna</x:v>
      </x:c>
      <x:c r="B660" s="59" t="str">
        <x:v>snapshot_within_raw:GRID_OZE_PORTAL</x:v>
      </x:c>
      <x:c r="C660" s="59" t="str">
        <x:v>PASS</x:v>
      </x:c>
    </x:row>
    <x:row r="661" ht="30" customHeight="1">
      <x:c r="A661" s="59" t="str">
        <x:v>Kontrola lokalna</x:v>
      </x:c>
      <x:c r="B661" s="59" t="str">
        <x:v>snapshot_exists:GRID_OZE_PORTAL</x:v>
      </x:c>
      <x:c r="C661" s="59" t="str">
        <x:v>PASS</x:v>
      </x:c>
    </x:row>
    <x:row r="662" ht="30" customHeight="1">
      <x:c r="A662" s="59" t="str">
        <x:v>Kontrola lokalna</x:v>
      </x:c>
      <x:c r="B662" s="59" t="str">
        <x:v>snapshot_bytes:GRID_OZE_PORTAL</x:v>
      </x:c>
      <x:c r="C662" s="59" t="str">
        <x:v>PASS</x:v>
      </x:c>
    </x:row>
    <x:row r="663" ht="30" customHeight="1">
      <x:c r="A663" s="59" t="str">
        <x:v>Kontrola lokalna</x:v>
      </x:c>
      <x:c r="B663" s="59" t="str">
        <x:v>snapshot_sha256:GRID_OZE_PORTAL</x:v>
      </x:c>
      <x:c r="C663" s="59" t="str">
        <x:v>PASS</x:v>
      </x:c>
    </x:row>
    <x:row r="664" ht="30" customHeight="1">
      <x:c r="A664" s="59" t="str">
        <x:v>Kontrola lokalna</x:v>
      </x:c>
      <x:c r="B664" s="59" t="str">
        <x:v>snapshot_within_raw:RDOS_RADK_PIASKI_DECISION_2025</x:v>
      </x:c>
      <x:c r="C664" s="59" t="str">
        <x:v>PASS</x:v>
      </x:c>
    </x:row>
    <x:row r="665" ht="30" customHeight="1">
      <x:c r="A665" s="59" t="str">
        <x:v>Kontrola lokalna</x:v>
      </x:c>
      <x:c r="B665" s="59" t="str">
        <x:v>snapshot_exists:RDOS_RADK_PIASKI_DECISION_2025</x:v>
      </x:c>
      <x:c r="C665" s="59" t="str">
        <x:v>PASS</x:v>
      </x:c>
    </x:row>
    <x:row r="666" ht="30" customHeight="1">
      <x:c r="A666" s="59" t="str">
        <x:v>Kontrola lokalna</x:v>
      </x:c>
      <x:c r="B666" s="59" t="str">
        <x:v>snapshot_bytes:RDOS_RADK_PIASKI_DECISION_2025</x:v>
      </x:c>
      <x:c r="C666" s="59" t="str">
        <x:v>PASS</x:v>
      </x:c>
    </x:row>
    <x:row r="667" ht="30" customHeight="1">
      <x:c r="A667" s="59" t="str">
        <x:v>Kontrola lokalna</x:v>
      </x:c>
      <x:c r="B667" s="59" t="str">
        <x:v>snapshot_sha256:RDOS_RADK_PIASKI_DECISION_2025</x:v>
      </x:c>
      <x:c r="C667" s="59" t="str">
        <x:v>PASS</x:v>
      </x:c>
    </x:row>
    <x:row r="668" ht="30" customHeight="1">
      <x:c r="A668" s="59" t="str">
        <x:v>Kontrola lokalna</x:v>
      </x:c>
      <x:c r="B668" s="59" t="str">
        <x:v>snapshot_within_raw:PSE_RADK_BRIDGE_NOTICE_2025</x:v>
      </x:c>
      <x:c r="C668" s="59" t="str">
        <x:v>PASS</x:v>
      </x:c>
    </x:row>
    <x:row r="669" ht="30" customHeight="1">
      <x:c r="A669" s="59" t="str">
        <x:v>Kontrola lokalna</x:v>
      </x:c>
      <x:c r="B669" s="59" t="str">
        <x:v>snapshot_exists:PSE_RADK_BRIDGE_NOTICE_2025</x:v>
      </x:c>
      <x:c r="C669" s="59" t="str">
        <x:v>PASS</x:v>
      </x:c>
    </x:row>
    <x:row r="670" ht="30" customHeight="1">
      <x:c r="A670" s="59" t="str">
        <x:v>Kontrola lokalna</x:v>
      </x:c>
      <x:c r="B670" s="59" t="str">
        <x:v>snapshot_bytes:PSE_RADK_BRIDGE_NOTICE_2025</x:v>
      </x:c>
      <x:c r="C670" s="59" t="str">
        <x:v>PASS</x:v>
      </x:c>
    </x:row>
    <x:row r="671" ht="30" customHeight="1">
      <x:c r="A671" s="59" t="str">
        <x:v>Kontrola lokalna</x:v>
      </x:c>
      <x:c r="B671" s="59" t="str">
        <x:v>snapshot_sha256:PSE_RADK_BRIDGE_NOTICE_2025</x:v>
      </x:c>
      <x:c r="C671" s="59" t="str">
        <x:v>PASS</x:v>
      </x:c>
    </x:row>
    <x:row r="672" ht="30" customHeight="1">
      <x:c r="A672" s="59" t="str">
        <x:v>Kontrola lokalna</x:v>
      </x:c>
      <x:c r="B672" s="59" t="str">
        <x:v>snapshot_within_raw:RDOS_RADK_PIASKI_NOTICE_2025</x:v>
      </x:c>
      <x:c r="C672" s="59" t="str">
        <x:v>PASS</x:v>
      </x:c>
    </x:row>
    <x:row r="673" ht="30" customHeight="1">
      <x:c r="A673" s="59" t="str">
        <x:v>Kontrola lokalna</x:v>
      </x:c>
      <x:c r="B673" s="59" t="str">
        <x:v>snapshot_exists:RDOS_RADK_PIASKI_NOTICE_2025</x:v>
      </x:c>
      <x:c r="C673" s="59" t="str">
        <x:v>PASS</x:v>
      </x:c>
    </x:row>
    <x:row r="674" ht="30" customHeight="1">
      <x:c r="A674" s="59" t="str">
        <x:v>Kontrola lokalna</x:v>
      </x:c>
      <x:c r="B674" s="59" t="str">
        <x:v>snapshot_bytes:RDOS_RADK_PIASKI_NOTICE_2025</x:v>
      </x:c>
      <x:c r="C674" s="59" t="str">
        <x:v>PASS</x:v>
      </x:c>
    </x:row>
    <x:row r="675" ht="30" customHeight="1">
      <x:c r="A675" s="59" t="str">
        <x:v>Kontrola lokalna</x:v>
      </x:c>
      <x:c r="B675" s="59" t="str">
        <x:v>snapshot_sha256:RDOS_RADK_PIASKI_NOTICE_2025</x:v>
      </x:c>
      <x:c r="C675" s="59" t="str">
        <x:v>PASS</x:v>
      </x:c>
    </x:row>
    <x:row r="676" ht="30" customHeight="1">
      <x:c r="A676" s="59" t="str">
        <x:v>Kontrola lokalna</x:v>
      </x:c>
      <x:c r="B676" s="59" t="str">
        <x:v>snapshot_within_raw:PSE_INVESTMENTS_RADK</x:v>
      </x:c>
      <x:c r="C676" s="59" t="str">
        <x:v>PASS</x:v>
      </x:c>
    </x:row>
    <x:row r="677" ht="30" customHeight="1">
      <x:c r="A677" s="59" t="str">
        <x:v>Kontrola lokalna</x:v>
      </x:c>
      <x:c r="B677" s="59" t="str">
        <x:v>snapshot_exists:PSE_INVESTMENTS_RADK</x:v>
      </x:c>
      <x:c r="C677" s="59" t="str">
        <x:v>PASS</x:v>
      </x:c>
    </x:row>
    <x:row r="678" ht="30" customHeight="1">
      <x:c r="A678" s="59" t="str">
        <x:v>Kontrola lokalna</x:v>
      </x:c>
      <x:c r="B678" s="59" t="str">
        <x:v>snapshot_bytes:PSE_INVESTMENTS_RADK</x:v>
      </x:c>
      <x:c r="C678" s="59" t="str">
        <x:v>PASS</x:v>
      </x:c>
    </x:row>
    <x:row r="679" ht="30" customHeight="1">
      <x:c r="A679" s="59" t="str">
        <x:v>Kontrola lokalna</x:v>
      </x:c>
      <x:c r="B679" s="59" t="str">
        <x:v>snapshot_sha256:PSE_INVESTMENTS_RADK</x:v>
      </x:c>
      <x:c r="C679" s="59" t="str">
        <x:v>PASS</x:v>
      </x:c>
    </x:row>
    <x:row r="680" ht="30" customHeight="1">
      <x:c r="A680" s="59" t="str">
        <x:v>Kontrola lokalna</x:v>
      </x:c>
      <x:c r="B680" s="59" t="str">
        <x:v>snapshot_within_raw:PSE_IMPACT_REPORT_2023</x:v>
      </x:c>
      <x:c r="C680" s="59" t="str">
        <x:v>PASS</x:v>
      </x:c>
    </x:row>
    <x:row r="681" ht="30" customHeight="1">
      <x:c r="A681" s="59" t="str">
        <x:v>Kontrola lokalna</x:v>
      </x:c>
      <x:c r="B681" s="59" t="str">
        <x:v>snapshot_exists:PSE_IMPACT_REPORT_2023</x:v>
      </x:c>
      <x:c r="C681" s="59" t="str">
        <x:v>PASS</x:v>
      </x:c>
    </x:row>
    <x:row r="682" ht="30" customHeight="1">
      <x:c r="A682" s="59" t="str">
        <x:v>Kontrola lokalna</x:v>
      </x:c>
      <x:c r="B682" s="59" t="str">
        <x:v>snapshot_bytes:PSE_IMPACT_REPORT_2023</x:v>
      </x:c>
      <x:c r="C682" s="59" t="str">
        <x:v>PASS</x:v>
      </x:c>
    </x:row>
    <x:row r="683" ht="30" customHeight="1">
      <x:c r="A683" s="59" t="str">
        <x:v>Kontrola lokalna</x:v>
      </x:c>
      <x:c r="B683" s="59" t="str">
        <x:v>snapshot_sha256:PSE_IMPACT_REPORT_2023</x:v>
      </x:c>
      <x:c r="C683" s="59" t="str">
        <x:v>PASS</x:v>
      </x:c>
    </x:row>
    <x:row r="684" ht="30" customHeight="1">
      <x:c r="A684" s="59" t="str">
        <x:v>Kontrola lokalna</x:v>
      </x:c>
      <x:c r="B684" s="59" t="str">
        <x:v>snapshot_within_raw:PSE_INVESTMENTS_RADK</x:v>
      </x:c>
      <x:c r="C684" s="59" t="str">
        <x:v>PASS</x:v>
      </x:c>
    </x:row>
    <x:row r="685" ht="30" customHeight="1">
      <x:c r="A685" s="59" t="str">
        <x:v>Kontrola lokalna</x:v>
      </x:c>
      <x:c r="B685" s="59" t="str">
        <x:v>snapshot_exists:PSE_INVESTMENTS_RADK</x:v>
      </x:c>
      <x:c r="C685" s="59" t="str">
        <x:v>PASS</x:v>
      </x:c>
    </x:row>
    <x:row r="686" ht="30" customHeight="1">
      <x:c r="A686" s="59" t="str">
        <x:v>Kontrola lokalna</x:v>
      </x:c>
      <x:c r="B686" s="59" t="str">
        <x:v>snapshot_bytes:PSE_INVESTMENTS_RADK</x:v>
      </x:c>
      <x:c r="C686" s="59" t="str">
        <x:v>PASS</x:v>
      </x:c>
    </x:row>
    <x:row r="687" ht="30" customHeight="1">
      <x:c r="A687" s="59" t="str">
        <x:v>Kontrola lokalna</x:v>
      </x:c>
      <x:c r="B687" s="59" t="str">
        <x:v>snapshot_sha256:PSE_INVESTMENTS_RADK</x:v>
      </x:c>
      <x:c r="C687" s="59" t="str">
        <x:v>PASS</x:v>
      </x:c>
    </x:row>
    <x:row r="688" ht="30" customHeight="1">
      <x:c r="A688" s="59" t="str">
        <x:v>Kontrola lokalna</x:v>
      </x:c>
      <x:c r="B688" s="59" t="str">
        <x:v>snapshot_within_raw:PSE_PRSP_2027_2036_POST_CONSULTATION</x:v>
      </x:c>
      <x:c r="C688" s="59" t="str">
        <x:v>PASS</x:v>
      </x:c>
    </x:row>
    <x:row r="689" ht="30" customHeight="1">
      <x:c r="A689" s="59" t="str">
        <x:v>Kontrola lokalna</x:v>
      </x:c>
      <x:c r="B689" s="59" t="str">
        <x:v>snapshot_exists:PSE_PRSP_2027_2036_POST_CONSULTATION</x:v>
      </x:c>
      <x:c r="C689" s="59" t="str">
        <x:v>PASS</x:v>
      </x:c>
    </x:row>
    <x:row r="690" ht="30" customHeight="1">
      <x:c r="A690" s="59" t="str">
        <x:v>Kontrola lokalna</x:v>
      </x:c>
      <x:c r="B690" s="59" t="str">
        <x:v>snapshot_bytes:PSE_PRSP_2027_2036_POST_CONSULTATION</x:v>
      </x:c>
      <x:c r="C690" s="59" t="str">
        <x:v>PASS</x:v>
      </x:c>
    </x:row>
    <x:row r="691" ht="30" customHeight="1">
      <x:c r="A691" s="59" t="str">
        <x:v>Kontrola lokalna</x:v>
      </x:c>
      <x:c r="B691" s="59" t="str">
        <x:v>snapshot_sha256:PSE_PRSP_2027_2036_POST_CONSULTATION</x:v>
      </x:c>
      <x:c r="C691" s="59" t="str">
        <x:v>PASS</x:v>
      </x:c>
    </x:row>
    <x:row r="692" ht="30" customHeight="1">
      <x:c r="A692" s="59" t="str">
        <x:v>Kontrola lokalna</x:v>
      </x:c>
      <x:c r="B692" s="59" t="str">
        <x:v>snapshot_within_raw:SUW_RADK_WOLICA_3_2024</x:v>
      </x:c>
      <x:c r="C692" s="59" t="str">
        <x:v>PASS</x:v>
      </x:c>
    </x:row>
    <x:row r="693" ht="30" customHeight="1">
      <x:c r="A693" s="59" t="str">
        <x:v>Kontrola lokalna</x:v>
      </x:c>
      <x:c r="B693" s="59" t="str">
        <x:v>snapshot_exists:SUW_RADK_WOLICA_3_2024</x:v>
      </x:c>
      <x:c r="C693" s="59" t="str">
        <x:v>PASS</x:v>
      </x:c>
    </x:row>
    <x:row r="694" ht="30" customHeight="1">
      <x:c r="A694" s="59" t="str">
        <x:v>Kontrola lokalna</x:v>
      </x:c>
      <x:c r="B694" s="59" t="str">
        <x:v>snapshot_bytes:SUW_RADK_WOLICA_3_2024</x:v>
      </x:c>
      <x:c r="C694" s="59" t="str">
        <x:v>PASS</x:v>
      </x:c>
    </x:row>
    <x:row r="695" ht="30" customHeight="1">
      <x:c r="A695" s="59" t="str">
        <x:v>Kontrola lokalna</x:v>
      </x:c>
      <x:c r="B695" s="59" t="str">
        <x:v>snapshot_sha256:SUW_RADK_WOLICA_3_2024</x:v>
      </x:c>
      <x:c r="C695" s="59" t="str">
        <x:v>PASS</x:v>
      </x:c>
    </x:row>
    <x:row r="696" ht="30" customHeight="1">
      <x:c r="A696" s="59" t="str">
        <x:v>Kontrola lokalna</x:v>
      </x:c>
      <x:c r="B696" s="59" t="str">
        <x:v>snapshot_within_raw:PSE_INVESTMENTS_RADK</x:v>
      </x:c>
      <x:c r="C696" s="59" t="str">
        <x:v>PASS</x:v>
      </x:c>
    </x:row>
    <x:row r="697" ht="30" customHeight="1">
      <x:c r="A697" s="59" t="str">
        <x:v>Kontrola lokalna</x:v>
      </x:c>
      <x:c r="B697" s="59" t="str">
        <x:v>snapshot_exists:PSE_INVESTMENTS_RADK</x:v>
      </x:c>
      <x:c r="C697" s="59" t="str">
        <x:v>PASS</x:v>
      </x:c>
    </x:row>
    <x:row r="698" ht="30" customHeight="1">
      <x:c r="A698" s="59" t="str">
        <x:v>Kontrola lokalna</x:v>
      </x:c>
      <x:c r="B698" s="59" t="str">
        <x:v>snapshot_bytes:PSE_INVESTMENTS_RADK</x:v>
      </x:c>
      <x:c r="C698" s="59" t="str">
        <x:v>PASS</x:v>
      </x:c>
    </x:row>
    <x:row r="699" ht="30" customHeight="1">
      <x:c r="A699" s="59" t="str">
        <x:v>Kontrola lokalna</x:v>
      </x:c>
      <x:c r="B699" s="59" t="str">
        <x:v>snapshot_sha256:PSE_INVESTMENTS_RADK</x:v>
      </x:c>
      <x:c r="C699" s="59" t="str">
        <x:v>PASS</x:v>
      </x:c>
    </x:row>
    <x:row r="700" ht="30" customHeight="1">
      <x:c r="A700" s="59" t="str">
        <x:v>Kontrola lokalna</x:v>
      </x:c>
      <x:c r="B700" s="59" t="str">
        <x:v>snapshot_within_raw:CHECINY_ENERGY_PLAN</x:v>
      </x:c>
      <x:c r="C700" s="59" t="str">
        <x:v>PASS</x:v>
      </x:c>
    </x:row>
    <x:row r="701" ht="30" customHeight="1">
      <x:c r="A701" s="59" t="str">
        <x:v>Kontrola lokalna</x:v>
      </x:c>
      <x:c r="B701" s="59" t="str">
        <x:v>snapshot_exists:CHECINY_ENERGY_PLAN</x:v>
      </x:c>
      <x:c r="C701" s="59" t="str">
        <x:v>PASS</x:v>
      </x:c>
    </x:row>
    <x:row r="702" ht="30" customHeight="1">
      <x:c r="A702" s="59" t="str">
        <x:v>Kontrola lokalna</x:v>
      </x:c>
      <x:c r="B702" s="59" t="str">
        <x:v>snapshot_bytes:CHECINY_ENERGY_PLAN</x:v>
      </x:c>
      <x:c r="C702" s="59" t="str">
        <x:v>PASS</x:v>
      </x:c>
    </x:row>
    <x:row r="703" ht="30" customHeight="1">
      <x:c r="A703" s="59" t="str">
        <x:v>Kontrola lokalna</x:v>
      </x:c>
      <x:c r="B703" s="59" t="str">
        <x:v>snapshot_sha256:CHECINY_ENERGY_PLAN</x:v>
      </x:c>
      <x:c r="C703" s="59" t="str">
        <x:v>PASS</x:v>
      </x:c>
    </x:row>
    <x:row r="704" ht="30" customHeight="1">
      <x:c r="A704" s="59" t="str">
        <x:v>Kontrola lokalna</x:v>
      </x:c>
      <x:c r="B704" s="59" t="str">
        <x:v>snapshot_within_raw:PSE_TARIFF_2026</x:v>
      </x:c>
      <x:c r="C704" s="59" t="str">
        <x:v>PASS</x:v>
      </x:c>
    </x:row>
    <x:row r="705" ht="30" customHeight="1">
      <x:c r="A705" s="59" t="str">
        <x:v>Kontrola lokalna</x:v>
      </x:c>
      <x:c r="B705" s="59" t="str">
        <x:v>snapshot_exists:PSE_TARIFF_2026</x:v>
      </x:c>
      <x:c r="C705" s="59" t="str">
        <x:v>PASS</x:v>
      </x:c>
    </x:row>
    <x:row r="706" ht="30" customHeight="1">
      <x:c r="A706" s="59" t="str">
        <x:v>Kontrola lokalna</x:v>
      </x:c>
      <x:c r="B706" s="59" t="str">
        <x:v>snapshot_bytes:PSE_TARIFF_2026</x:v>
      </x:c>
      <x:c r="C706" s="59" t="str">
        <x:v>PASS</x:v>
      </x:c>
    </x:row>
    <x:row r="707" ht="30" customHeight="1">
      <x:c r="A707" s="59" t="str">
        <x:v>Kontrola lokalna</x:v>
      </x:c>
      <x:c r="B707" s="59" t="str">
        <x:v>snapshot_sha256:PSE_TARIFF_2026</x:v>
      </x:c>
      <x:c r="C707" s="59" t="str">
        <x:v>PASS</x:v>
      </x:c>
    </x:row>
    <x:row r="708" ht="30" customHeight="1">
      <x:c r="A708" s="59" t="str">
        <x:v>Kontrola lokalna</x:v>
      </x:c>
      <x:c r="B708" s="59" t="str">
        <x:v>all_raw_files_have_manifests</x:v>
      </x:c>
      <x:c r="C708" s="59" t="str">
        <x:v>PASS</x:v>
      </x:c>
    </x:row>
    <x:row r="709" ht="30" customHeight="1">
      <x:c r="A709" s="59" t="str">
        <x:v>Kontrola lokalna</x:v>
      </x:c>
      <x:c r="B709" s="59" t="str">
        <x:v>format_readable:enea_maps.html</x:v>
      </x:c>
      <x:c r="C709" s="59" t="str">
        <x:v>PASS</x:v>
      </x:c>
    </x:row>
    <x:row r="710" ht="30" customHeight="1">
      <x:c r="A710" s="59" t="str">
        <x:v>Kontrola lokalna</x:v>
      </x:c>
      <x:c r="B710" s="59" t="str">
        <x:v>format_readable:enea_pipeline_landing.html</x:v>
      </x:c>
      <x:c r="C710" s="59" t="str">
        <x:v>PASS</x:v>
      </x:c>
    </x:row>
    <x:row r="711" ht="30" customHeight="1">
      <x:c r="A711" s="59" t="str">
        <x:v>Kontrola lokalna</x:v>
      </x:c>
      <x:c r="B711" s="59" t="str">
        <x:v>format_readable:enea_plan_landing.html</x:v>
      </x:c>
      <x:c r="C711" s="59" t="str">
        <x:v>PASS</x:v>
      </x:c>
    </x:row>
    <x:row r="712" ht="30" customHeight="1">
      <x:c r="A712" s="59" t="str">
        <x:v>Kontrola lokalna</x:v>
      </x:c>
      <x:c r="B712" s="59" t="str">
        <x:v>pdf_text_layer:energa_export_2026-08-31.pdf</x:v>
      </x:c>
      <x:c r="C712" s="59" t="str">
        <x:v>PASS</x:v>
      </x:c>
    </x:row>
    <x:row r="713" ht="30" customHeight="1">
      <x:c r="A713" s="59" t="str">
        <x:v>Kontrola lokalna</x:v>
      </x:c>
      <x:c r="B713" s="59" t="str">
        <x:v>format_readable:energa_export_2026-08-31.pdf</x:v>
      </x:c>
      <x:c r="C713" s="59" t="str">
        <x:v>PASS</x:v>
      </x:c>
    </x:row>
    <x:row r="714" ht="30" customHeight="1">
      <x:c r="A714" s="59" t="str">
        <x:v>Kontrola lokalna</x:v>
      </x:c>
      <x:c r="B714" s="59" t="str">
        <x:v>pdf_text_layer:energa_import_2026-08-31.pdf</x:v>
      </x:c>
      <x:c r="C714" s="59" t="str">
        <x:v>PASS</x:v>
      </x:c>
    </x:row>
    <x:row r="715" ht="30" customHeight="1">
      <x:c r="A715" s="59" t="str">
        <x:v>Kontrola lokalna</x:v>
      </x:c>
      <x:c r="B715" s="59" t="str">
        <x:v>format_readable:energa_import_2026-08-31.pdf</x:v>
      </x:c>
      <x:c r="C715" s="59" t="str">
        <x:v>PASS</x:v>
      </x:c>
    </x:row>
    <x:row r="716" ht="30" customHeight="1">
      <x:c r="A716" s="59" t="str">
        <x:v>Kontrola lokalna</x:v>
      </x:c>
      <x:c r="B716" s="59" t="str">
        <x:v>format_readable:energa_landing.html</x:v>
      </x:c>
      <x:c r="C716" s="59" t="str">
        <x:v>PASS</x:v>
      </x:c>
    </x:row>
    <x:row r="717" ht="30" customHeight="1">
      <x:c r="A717" s="59" t="str">
        <x:v>Kontrola lokalna</x:v>
      </x:c>
      <x:c r="B717" s="59" t="str">
        <x:v>pdf_text_layer:energa_pipeline_2026-08-31.pdf</x:v>
      </x:c>
      <x:c r="C717" s="59" t="str">
        <x:v>PASS</x:v>
      </x:c>
    </x:row>
    <x:row r="718" ht="30" customHeight="1">
      <x:c r="A718" s="59" t="str">
        <x:v>Kontrola lokalna</x:v>
      </x:c>
      <x:c r="B718" s="59" t="str">
        <x:v>format_readable:energa_pipeline_2026-08-31.pdf</x:v>
      </x:c>
      <x:c r="C718" s="59" t="str">
        <x:v>PASS</x:v>
      </x:c>
    </x:row>
    <x:row r="719" ht="30" customHeight="1">
      <x:c r="A719" s="59" t="str">
        <x:v>Kontrola lokalna</x:v>
      </x:c>
      <x:c r="B719" s="59" t="str">
        <x:v>format_readable:energy_charts_index.html</x:v>
      </x:c>
      <x:c r="C719" s="59" t="str">
        <x:v>PASS</x:v>
      </x:c>
    </x:row>
    <x:row r="720" ht="30" customHeight="1">
      <x:c r="A720" s="59" t="str">
        <x:v>Kontrola lokalna</x:v>
      </x:c>
      <x:c r="B720" s="59" t="str">
        <x:v>format_readable:energy_charts_openapi.json</x:v>
      </x:c>
      <x:c r="C720" s="59" t="str">
        <x:v>PASS</x:v>
      </x:c>
    </x:row>
    <x:row r="721" ht="30" customHeight="1">
      <x:c r="A721" s="59" t="str">
        <x:v>Kontrola lokalna</x:v>
      </x:c>
      <x:c r="B721" s="59" t="str">
        <x:v>format_readable:energy_charts_pl_sample.json</x:v>
      </x:c>
      <x:c r="C721" s="59" t="str">
        <x:v>PASS</x:v>
      </x:c>
    </x:row>
    <x:row r="722" ht="30" customHeight="1">
      <x:c r="A722" s="59" t="str">
        <x:v>Kontrola lokalna</x:v>
      </x:c>
      <x:c r="B722" s="59" t="str">
        <x:v>wfs_capabilities:gdos_capabilities.xml</x:v>
      </x:c>
      <x:c r="C722" s="59" t="str">
        <x:v>PASS: "2.0.0"</x:v>
      </x:c>
    </x:row>
    <x:row r="723" ht="30" customHeight="1">
      <x:c r="A723" s="59" t="str">
        <x:v>Kontrola lokalna</x:v>
      </x:c>
      <x:c r="B723" s="59" t="str">
        <x:v>format_readable:gdos_capabilities.xml</x:v>
      </x:c>
      <x:c r="C723" s="59" t="str">
        <x:v>PASS</x:v>
      </x:c>
    </x:row>
    <x:row r="724" ht="30" customHeight="1">
      <x:c r="A724" s="59" t="str">
        <x:v>Kontrola lokalna</x:v>
      </x:c>
      <x:c r="B724" s="59" t="str">
        <x:v>wfs_capabilities:gugik_egib_capabilities.xml</x:v>
      </x:c>
      <x:c r="C724" s="59" t="str">
        <x:v>PASS: "2.0.0"</x:v>
      </x:c>
    </x:row>
    <x:row r="725" ht="30" customHeight="1">
      <x:c r="A725" s="59" t="str">
        <x:v>Kontrola lokalna</x:v>
      </x:c>
      <x:c r="B725" s="59" t="str">
        <x:v>format_readable:gugik_egib_capabilities.xml</x:v>
      </x:c>
      <x:c r="C725" s="59" t="str">
        <x:v>PASS</x:v>
      </x:c>
    </x:row>
    <x:row r="726" ht="30" customHeight="1">
      <x:c r="A726" s="59" t="str">
        <x:v>Kontrola lokalna</x:v>
      </x:c>
      <x:c r="B726" s="59" t="str">
        <x:v>format_readable:pge_capacity_landing.html</x:v>
      </x:c>
      <x:c r="C726" s="59" t="str">
        <x:v>PASS</x:v>
      </x:c>
    </x:row>
    <x:row r="727" ht="30" customHeight="1">
      <x:c r="A727" s="59" t="str">
        <x:v>Kontrola lokalna</x:v>
      </x:c>
      <x:c r="B727" s="59" t="str">
        <x:v>pdf_text_layer:prawo_energetyczne_zmiana_2026_516.pdf</x:v>
      </x:c>
      <x:c r="C727" s="59" t="str">
        <x:v>PASS</x:v>
      </x:c>
    </x:row>
    <x:row r="728" ht="30" customHeight="1">
      <x:c r="A728" s="59" t="str">
        <x:v>Kontrola lokalna</x:v>
      </x:c>
      <x:c r="B728" s="59" t="str">
        <x:v>format_readable:prawo_energetyczne_zmiana_2026_516.pdf</x:v>
      </x:c>
      <x:c r="C728" s="59" t="str">
        <x:v>PASS</x:v>
      </x:c>
    </x:row>
    <x:row r="729" ht="30" customHeight="1">
      <x:c r="A729" s="59" t="str">
        <x:v>Kontrola lokalna</x:v>
      </x:c>
      <x:c r="B729" s="59" t="str">
        <x:v>format_readable:pse_api_frontend.js</x:v>
      </x:c>
      <x:c r="C729" s="59" t="str">
        <x:v>PASS</x:v>
      </x:c>
    </x:row>
    <x:row r="730" ht="30" customHeight="1">
      <x:c r="A730" s="59" t="str">
        <x:v>Kontrola lokalna</x:v>
      </x:c>
      <x:c r="B730" s="59" t="str">
        <x:v>format_readable:pse_api_index.html</x:v>
      </x:c>
      <x:c r="C730" s="59" t="str">
        <x:v>PASS</x:v>
      </x:c>
    </x:row>
    <x:row r="731" ht="30" customHeight="1">
      <x:c r="A731" s="59" t="str">
        <x:v>Kontrola lokalna</x:v>
      </x:c>
      <x:c r="B731" s="59" t="str">
        <x:v>pdf_text_layer:pse_capacity_retrieved_2026-09-10.pdf</x:v>
      </x:c>
      <x:c r="C731" s="59" t="str">
        <x:v>PASS</x:v>
      </x:c>
    </x:row>
    <x:row r="732" ht="30" customHeight="1">
      <x:c r="A732" s="59" t="str">
        <x:v>Kontrola lokalna</x:v>
      </x:c>
      <x:c r="B732" s="59" t="str">
        <x:v>format_readable:pse_capacity_retrieved_2026-09-10.pdf</x:v>
      </x:c>
      <x:c r="C732" s="59" t="str">
        <x:v>PASS</x:v>
      </x:c>
    </x:row>
    <x:row r="733" ht="30" customHeight="1">
      <x:c r="A733" s="59" t="str">
        <x:v>Kontrola lokalna</x:v>
      </x:c>
      <x:c r="B733" s="59" t="str">
        <x:v>format_readable:pse_flows_sample.json</x:v>
      </x:c>
      <x:c r="C733" s="59" t="str">
        <x:v>PASS</x:v>
      </x:c>
    </x:row>
    <x:row r="734" ht="30" customHeight="1">
      <x:c r="A734" s="59" t="str">
        <x:v>Kontrola lokalna</x:v>
      </x:c>
      <x:c r="B734" s="59" t="str">
        <x:v>format_readable:pse_nodes_sample.json</x:v>
      </x:c>
      <x:c r="C734" s="59" t="str">
        <x:v>PASS</x:v>
      </x:c>
    </x:row>
    <x:row r="735" ht="30" customHeight="1">
      <x:c r="A735" s="59" t="str">
        <x:v>Kontrola lokalna</x:v>
      </x:c>
      <x:c r="B735" s="59" t="str">
        <x:v>format_readable:pse_openapi.json</x:v>
      </x:c>
      <x:c r="C735" s="59" t="str">
        <x:v>PASS</x:v>
      </x:c>
    </x:row>
    <x:row r="736" ht="30" customHeight="1">
      <x:c r="A736" s="59" t="str">
        <x:v>Kontrola lokalna</x:v>
      </x:c>
      <x:c r="B736" s="59" t="str">
        <x:v>format_readable:pse_pipeline_landing.html</x:v>
      </x:c>
      <x:c r="C736" s="59" t="str">
        <x:v>PASS</x:v>
      </x:c>
    </x:row>
    <x:row r="737" ht="30" customHeight="1">
      <x:c r="A737" s="59" t="str">
        <x:v>Kontrola lokalna</x:v>
      </x:c>
      <x:c r="B737" s="59" t="str">
        <x:v>pse_xlsx_expected_sheet</x:v>
      </x:c>
      <x:c r="C737" s="59" t="str">
        <x:v>PASS</x:v>
      </x:c>
    </x:row>
    <x:row r="738" ht="30" customHeight="1">
      <x:c r="A738" s="59" t="str">
        <x:v>Kontrola lokalna</x:v>
      </x:c>
      <x:c r="B738" s="59" t="str">
        <x:v>pse_xlsx_snapshot_date</x:v>
      </x:c>
      <x:c r="C738" s="59" t="str">
        <x:v>PASS: "Header date, not retrieval date"</x:v>
      </x:c>
    </x:row>
    <x:row r="739" ht="30" customHeight="1">
      <x:c r="A739" s="59" t="str">
        <x:v>Kontrola lokalna</x:v>
      </x:c>
      <x:c r="B739" s="59" t="str">
        <x:v>pse_xlsx_direction_fields</x:v>
      </x:c>
      <x:c r="C739" s="59" t="str">
        <x:v>PASS</x:v>
      </x:c>
    </x:row>
    <x:row r="740" ht="30" customHeight="1">
      <x:c r="A740" s="59" t="str">
        <x:v>Kontrola lokalna</x:v>
      </x:c>
      <x:c r="B740" s="59" t="str">
        <x:v>format_readable:pse_pipeline_url_2026-07-31.xlsx</x:v>
      </x:c>
      <x:c r="C740" s="59" t="str">
        <x:v>PASS</x:v>
      </x:c>
    </x:row>
    <x:row r="741" ht="30" customHeight="1">
      <x:c r="A741" s="59" t="str">
        <x:v>Kontrola lokalna</x:v>
      </x:c>
      <x:c r="B741" s="59" t="str">
        <x:v>format_readable:pse_redispatch_sample.json</x:v>
      </x:c>
      <x:c r="C741" s="59" t="str">
        <x:v>PASS</x:v>
      </x:c>
    </x:row>
    <x:row r="742" ht="30" customHeight="1">
      <x:c r="A742" s="59" t="str">
        <x:v>Kontrola lokalna</x:v>
      </x:c>
      <x:c r="B742" s="59" t="str">
        <x:v>pdf_text_layer:stoen_export_2026_q3.pdf</x:v>
      </x:c>
      <x:c r="C742" s="59" t="str">
        <x:v>PASS</x:v>
      </x:c>
    </x:row>
    <x:row r="743" ht="30" customHeight="1">
      <x:c r="A743" s="59" t="str">
        <x:v>Kontrola lokalna</x:v>
      </x:c>
      <x:c r="B743" s="59" t="str">
        <x:v>format_readable:stoen_export_2026_q3.pdf</x:v>
      </x:c>
      <x:c r="C743" s="59" t="str">
        <x:v>PASS</x:v>
      </x:c>
    </x:row>
    <x:row r="744" ht="30" customHeight="1">
      <x:c r="A744" s="59" t="str">
        <x:v>Kontrola lokalna</x:v>
      </x:c>
      <x:c r="B744" s="59" t="str">
        <x:v>pdf_text_layer:stoen_import_2026-08-31.pdf</x:v>
      </x:c>
      <x:c r="C744" s="59" t="str">
        <x:v>PASS</x:v>
      </x:c>
    </x:row>
    <x:row r="745" ht="30" customHeight="1">
      <x:c r="A745" s="59" t="str">
        <x:v>Kontrola lokalna</x:v>
      </x:c>
      <x:c r="B745" s="59" t="str">
        <x:v>format_readable:stoen_import_2026-08-31.pdf</x:v>
      </x:c>
      <x:c r="C745" s="59" t="str">
        <x:v>PASS</x:v>
      </x:c>
    </x:row>
    <x:row r="746" ht="30" customHeight="1">
      <x:c r="A746" s="59" t="str">
        <x:v>Kontrola lokalna</x:v>
      </x:c>
      <x:c r="B746" s="59" t="str">
        <x:v>format_readable:stoen_network_landing.html</x:v>
      </x:c>
      <x:c r="C746" s="59" t="str">
        <x:v>PASS</x:v>
      </x:c>
    </x:row>
    <x:row r="747" ht="30" customHeight="1">
      <x:c r="A747" s="59" t="str">
        <x:v>Kontrola lokalna</x:v>
      </x:c>
      <x:c r="B747" s="59" t="str">
        <x:v>format_readable:tauron_pipeline_landing.html</x:v>
      </x:c>
      <x:c r="C747" s="59" t="str">
        <x:v>PASS</x:v>
      </x:c>
    </x:row>
    <x:row r="748" ht="30" customHeight="1">
      <x:c r="A748" s="59" t="str">
        <x:v>Kontrola lokalna</x:v>
      </x:c>
      <x:c r="B748" s="59" t="str">
        <x:v>pdf_text_layer:tauron_pipeline_retrieved_2026-09-10.pdf</x:v>
      </x:c>
      <x:c r="C748" s="59" t="str">
        <x:v>PASS</x:v>
      </x:c>
    </x:row>
    <x:row r="749" ht="30" customHeight="1">
      <x:c r="A749" s="59" t="str">
        <x:v>Kontrola lokalna</x:v>
      </x:c>
      <x:c r="B749" s="59" t="str">
        <x:v>format_readable:tauron_pipeline_retrieved_2026-09-10.pdf</x:v>
      </x:c>
      <x:c r="C749" s="59" t="str">
        <x:v>PASS</x:v>
      </x:c>
    </x:row>
    <x:row r="750" ht="30" customHeight="1">
      <x:c r="A750" s="59" t="str">
        <x:v>Kontrola lokalna</x:v>
      </x:c>
      <x:c r="B750" s="59" t="str">
        <x:v>pdf_text_layer:checiny_energy_plan.pdf</x:v>
      </x:c>
      <x:c r="C750" s="59" t="str">
        <x:v>PASS</x:v>
      </x:c>
    </x:row>
    <x:row r="751" ht="30" customHeight="1">
      <x:c r="A751" s="59" t="str">
        <x:v>Kontrola lokalna</x:v>
      </x:c>
      <x:c r="B751" s="59" t="str">
        <x:v>format_readable:checiny_energy_plan.pdf</x:v>
      </x:c>
      <x:c r="C751" s="59" t="str">
        <x:v>PASS</x:v>
      </x:c>
    </x:row>
    <x:row r="752" ht="30" customHeight="1">
      <x:c r="A752" s="59" t="str">
        <x:v>Kontrola lokalna</x:v>
      </x:c>
      <x:c r="B752" s="59" t="str">
        <x:v>format_readable:pse_investments.html</x:v>
      </x:c>
      <x:c r="C752" s="59" t="str">
        <x:v>PASS</x:v>
      </x:c>
    </x:row>
    <x:row r="753" ht="30" customHeight="1">
      <x:c r="A753" s="59" t="str">
        <x:v>Kontrola lokalna</x:v>
      </x:c>
      <x:c r="B753" s="59" t="str">
        <x:v>pdf_text_layer:pse_tariff_2026.pdf</x:v>
      </x:c>
      <x:c r="C753" s="59" t="str">
        <x:v>PASS</x:v>
      </x:c>
    </x:row>
    <x:row r="754" ht="30" customHeight="1">
      <x:c r="A754" s="59" t="str">
        <x:v>Kontrola lokalna</x:v>
      </x:c>
      <x:c r="B754" s="59" t="str">
        <x:v>format_readable:pse_tariff_2026.pdf</x:v>
      </x:c>
      <x:c r="C754" s="59" t="str">
        <x:v>PASS</x:v>
      </x:c>
    </x:row>
    <x:row r="755" ht="30" customHeight="1">
      <x:c r="A755" s="59" t="str">
        <x:v>Kontrola lokalna</x:v>
      </x:c>
      <x:c r="B755" s="59" t="str">
        <x:v>pdf_text_layer:radkowice_wolica_decision_3_2024.pdf</x:v>
      </x:c>
      <x:c r="C755" s="59" t="str">
        <x:v>PASS</x:v>
      </x:c>
    </x:row>
    <x:row r="756" ht="30" customHeight="1">
      <x:c r="A756" s="59" t="str">
        <x:v>Kontrola lokalna</x:v>
      </x:c>
      <x:c r="B756" s="59" t="str">
        <x:v>format_readable:radkowice_wolica_decision_3_2024.pdf</x:v>
      </x:c>
      <x:c r="C756" s="59" t="str">
        <x:v>PASS</x:v>
      </x:c>
    </x:row>
    <x:row r="757" ht="30" customHeight="1">
      <x:c r="A757" s="59" t="str">
        <x:v>Kontrola lokalna</x:v>
      </x:c>
      <x:c r="B757" s="59" t="str">
        <x:v>pdf_text_layer:pse_bridge_notice_2025.pdf</x:v>
      </x:c>
      <x:c r="C757" s="59" t="str">
        <x:v>PASS</x:v>
      </x:c>
    </x:row>
    <x:row r="758" ht="30" customHeight="1">
      <x:c r="A758" s="59" t="str">
        <x:v>Kontrola lokalna</x:v>
      </x:c>
      <x:c r="B758" s="59" t="str">
        <x:v>format_readable:pse_bridge_notice_2025.pdf</x:v>
      </x:c>
      <x:c r="C758" s="59" t="str">
        <x:v>PASS</x:v>
      </x:c>
    </x:row>
    <x:row r="759" ht="30" customHeight="1">
      <x:c r="A759" s="59" t="str">
        <x:v>Kontrola lokalna</x:v>
      </x:c>
      <x:c r="B759" s="59" t="str">
        <x:v>format_readable:pse_investments_2026-09-15.html</x:v>
      </x:c>
      <x:c r="C759" s="59" t="str">
        <x:v>PASS</x:v>
      </x:c>
    </x:row>
    <x:row r="760" ht="30" customHeight="1">
      <x:c r="A760" s="59" t="str">
        <x:v>Kontrola lokalna</x:v>
      </x:c>
      <x:c r="B760" s="59" t="str">
        <x:v>format_readable:rdos_radkowice_piaski_2025.html</x:v>
      </x:c>
      <x:c r="C760" s="59" t="str">
        <x:v>PASS</x:v>
      </x:c>
    </x:row>
    <x:row r="761" ht="30" customHeight="1">
      <x:c r="A761" s="59" t="str">
        <x:v>Kontrola lokalna</x:v>
      </x:c>
      <x:c r="B761" s="59" t="str">
        <x:v>pdf_text_layer:rdos_radkowice_piaski_decision_2025.pdf</x:v>
      </x:c>
      <x:c r="C761" s="59" t="str">
        <x:v>PASS</x:v>
      </x:c>
    </x:row>
    <x:row r="762" ht="30" customHeight="1">
      <x:c r="A762" s="59" t="str">
        <x:v>Kontrola lokalna</x:v>
      </x:c>
      <x:c r="B762" s="59" t="str">
        <x:v>format_readable:rdos_radkowice_piaski_decision_2025.pdf</x:v>
      </x:c>
      <x:c r="C762" s="59" t="str">
        <x:v>PASS</x:v>
      </x:c>
    </x:row>
    <x:row r="763" ht="30" customHeight="1">
      <x:c r="A763" s="59" t="str">
        <x:v>Kontrola lokalna</x:v>
      </x:c>
      <x:c r="B763" s="59" t="str">
        <x:v>format_readable:ebin_electricity_landing.html</x:v>
      </x:c>
      <x:c r="C763" s="59" t="str">
        <x:v>PASS</x:v>
      </x:c>
    </x:row>
    <x:row r="764" ht="30" customHeight="1">
      <x:c r="A764" s="59" t="str">
        <x:v>Kontrola lokalna</x:v>
      </x:c>
      <x:c r="B764" s="59" t="str">
        <x:v>format_readable:ebin_electricity_locales.js</x:v>
      </x:c>
      <x:c r="C764" s="59" t="str">
        <x:v>PASS</x:v>
      </x:c>
    </x:row>
    <x:row r="765" ht="30" customHeight="1">
      <x:c r="A765" s="59" t="str">
        <x:v>Kontrola lokalna</x:v>
      </x:c>
      <x:c r="B765" s="59" t="str">
        <x:v>format_readable:ebin_electricity_map.js</x:v>
      </x:c>
      <x:c r="C765" s="59" t="str">
        <x:v>PASS</x:v>
      </x:c>
    </x:row>
    <x:row r="766" ht="30" customHeight="1">
      <x:c r="A766" s="59" t="str">
        <x:v>Kontrola lokalna</x:v>
      </x:c>
      <x:c r="B766" s="59" t="str">
        <x:v>format_readable:ebin_power_poland_tilejson.json</x:v>
      </x:c>
      <x:c r="C766" s="59" t="str">
        <x:v>PASS</x:v>
      </x:c>
    </x:row>
    <x:row r="767" ht="30" customHeight="1">
      <x:c r="A767" s="59" t="str">
        <x:v>Kontrola lokalna</x:v>
      </x:c>
      <x:c r="B767" s="59" t="str">
        <x:v>osm_version:osm_radkowice_station_area.xml</x:v>
      </x:c>
      <x:c r="C767" s="59" t="str">
        <x:v>PASS</x:v>
      </x:c>
    </x:row>
    <x:row r="768" ht="30" customHeight="1">
      <x:c r="A768" s="59" t="str">
        <x:v>Kontrola lokalna</x:v>
      </x:c>
      <x:c r="B768" s="59" t="str">
        <x:v>osm_elements:osm_radkowice_station_area.xml</x:v>
      </x:c>
      <x:c r="C768" s="59" t="str">
        <x:v>PASS</x:v>
      </x:c>
    </x:row>
    <x:row r="769" ht="30" customHeight="1">
      <x:c r="A769" s="59" t="str">
        <x:v>Kontrola lokalna</x:v>
      </x:c>
      <x:c r="B769" s="59" t="str">
        <x:v>format_readable:osm_radkowice_station_area.xml</x:v>
      </x:c>
      <x:c r="C769" s="59" t="str">
        <x:v>PASS</x:v>
      </x:c>
    </x:row>
    <x:row r="770" ht="30" customHeight="1">
      <x:c r="A770" s="59" t="str">
        <x:v>Kontrola lokalna</x:v>
      </x:c>
      <x:c r="B770" s="59" t="str">
        <x:v>osm_version:osm_radkowice_way_199098055.xml</x:v>
      </x:c>
      <x:c r="C770" s="59" t="str">
        <x:v>PASS</x:v>
      </x:c>
    </x:row>
    <x:row r="771" ht="30" customHeight="1">
      <x:c r="A771" s="59" t="str">
        <x:v>Kontrola lokalna</x:v>
      </x:c>
      <x:c r="B771" s="59" t="str">
        <x:v>osm_elements:osm_radkowice_way_199098055.xml</x:v>
      </x:c>
      <x:c r="C771" s="59" t="str">
        <x:v>PASS</x:v>
      </x:c>
    </x:row>
    <x:row r="772" ht="30" customHeight="1">
      <x:c r="A772" s="59" t="str">
        <x:v>Kontrola lokalna</x:v>
      </x:c>
      <x:c r="B772" s="59" t="str">
        <x:v>format_readable:osm_radkowice_way_199098055.xml</x:v>
      </x:c>
      <x:c r="C772" s="59" t="str">
        <x:v>PASS</x:v>
      </x:c>
    </x:row>
    <x:row r="773" ht="30" customHeight="1">
      <x:c r="A773" s="59" t="str">
        <x:v>Kontrola lokalna</x:v>
      </x:c>
      <x:c r="B773" s="59" t="str">
        <x:v>format_readable:emp.html</x:v>
      </x:c>
      <x:c r="C773" s="59" t="str">
        <x:v>PASS</x:v>
      </x:c>
    </x:row>
    <x:row r="774" ht="30" customHeight="1">
      <x:c r="A774" s="59" t="str">
        <x:v>Kontrola lokalna</x:v>
      </x:c>
      <x:c r="B774" s="59" t="str">
        <x:v>format_readable:emp.js</x:v>
      </x:c>
      <x:c r="C774" s="59" t="str">
        <x:v>PASS</x:v>
      </x:c>
    </x:row>
    <x:row r="775" ht="30" customHeight="1">
      <x:c r="A775" s="59" t="str">
        <x:v>Kontrola lokalna</x:v>
      </x:c>
      <x:c r="B775" s="59" t="str">
        <x:v>format_readable:emp_units.json</x:v>
      </x:c>
      <x:c r="C775" s="59" t="str">
        <x:v>PASS</x:v>
      </x:c>
    </x:row>
    <x:row r="776" ht="30" customHeight="1">
      <x:c r="A776" s="59" t="str">
        <x:v>Kontrola lokalna</x:v>
      </x:c>
      <x:c r="B776" s="59" t="str">
        <x:v>format_readable:gminy_sample.json</x:v>
      </x:c>
      <x:c r="C776" s="59" t="str">
        <x:v>PASS</x:v>
      </x:c>
    </x:row>
    <x:row r="777" ht="30" customHeight="1">
      <x:c r="A777" s="59" t="str">
        <x:v>Kontrola lokalna</x:v>
      </x:c>
      <x:c r="B777" s="59" t="str">
        <x:v>format_readable:grid.html</x:v>
      </x:c>
      <x:c r="C777" s="59" t="str">
        <x:v>PASS</x:v>
      </x:c>
    </x:row>
    <x:row r="778" ht="30" customHeight="1">
      <x:c r="A778" s="59" t="str">
        <x:v>Kontrola lokalna</x:v>
      </x:c>
      <x:c r="B778" s="59" t="str">
        <x:v>format_readable:grid_app.json</x:v>
      </x:c>
      <x:c r="C778" s="59" t="str">
        <x:v>PASS</x:v>
      </x:c>
    </x:row>
    <x:row r="779" ht="30" customHeight="1">
      <x:c r="A779" s="59" t="str">
        <x:v>Kontrola lokalna</x:v>
      </x:c>
      <x:c r="B779" s="59" t="str">
        <x:v>format_readable:grid_metadata.json</x:v>
      </x:c>
      <x:c r="C779" s="59" t="str">
        <x:v>PASS</x:v>
      </x:c>
    </x:row>
    <x:row r="780" ht="30" customHeight="1">
      <x:c r="A780" s="59" t="str">
        <x:v>Kontrola lokalna</x:v>
      </x:c>
      <x:c r="B780" s="59" t="str">
        <x:v>format_readable:grid_webmap.json</x:v>
      </x:c>
      <x:c r="C780" s="59" t="str">
        <x:v>PASS</x:v>
      </x:c>
    </x:row>
    <x:row r="781" ht="30" customHeight="1">
      <x:c r="A781" s="59" t="str">
        <x:v>Kontrola lokalna</x:v>
      </x:c>
      <x:c r="B781" s="59" t="str">
        <x:v>format_readable:pv_layer.json</x:v>
      </x:c>
      <x:c r="C781" s="59" t="str">
        <x:v>PASS</x:v>
      </x:c>
    </x:row>
    <x:row r="782" ht="30" customHeight="1">
      <x:c r="A782" s="59" t="str">
        <x:v>Kontrola lokalna</x:v>
      </x:c>
      <x:c r="B782" s="59" t="str">
        <x:v>format_readable:pv_metadata.json</x:v>
      </x:c>
      <x:c r="C782" s="59" t="str">
        <x:v>PASS</x:v>
      </x:c>
    </x:row>
    <x:row r="783" ht="30" customHeight="1">
      <x:c r="A783" s="59" t="str">
        <x:v>Kontrola lokalna</x:v>
      </x:c>
      <x:c r="B783" s="59" t="str">
        <x:v>format_readable:pv_sample.json</x:v>
      </x:c>
      <x:c r="C783" s="59" t="str">
        <x:v>PASS</x:v>
      </x:c>
    </x:row>
    <x:row r="784" ht="30" customHeight="1">
      <x:c r="A784" s="59" t="str">
        <x:v>Kontrola lokalna</x:v>
      </x:c>
      <x:c r="B784" s="59" t="str">
        <x:v>pdf_text_layer:report.pdf</x:v>
      </x:c>
      <x:c r="C784" s="59" t="str">
        <x:v>PASS</x:v>
      </x:c>
    </x:row>
    <x:row r="785" ht="30" customHeight="1">
      <x:c r="A785" s="59" t="str">
        <x:v>Kontrola lokalna</x:v>
      </x:c>
      <x:c r="B785" s="59" t="str">
        <x:v>format_readable:report.pdf</x:v>
      </x:c>
      <x:c r="C785" s="59" t="str">
        <x:v>PASS</x:v>
      </x:c>
    </x:row>
    <x:row r="786" ht="30" customHeight="1">
      <x:c r="A786" s="59" t="str">
        <x:v>Kontrola lokalna</x:v>
      </x:c>
      <x:c r="B786" s="59" t="str">
        <x:v>pdf_text_layer:pse_impact_report_2023.pdf</x:v>
      </x:c>
      <x:c r="C786" s="59" t="str">
        <x:v>PASS</x:v>
      </x:c>
    </x:row>
    <x:row r="787" ht="30" customHeight="1">
      <x:c r="A787" s="59" t="str">
        <x:v>Kontrola lokalna</x:v>
      </x:c>
      <x:c r="B787" s="59" t="str">
        <x:v>format_readable:pse_impact_report_2023.pdf</x:v>
      </x:c>
      <x:c r="C787" s="59" t="str">
        <x:v>PASS</x:v>
      </x:c>
    </x:row>
    <x:row r="788" ht="30" customHeight="1">
      <x:c r="A788" s="59" t="str">
        <x:v>Kontrola lokalna</x:v>
      </x:c>
      <x:c r="B788" s="59" t="str">
        <x:v>format_readable:pse_investment_map_2026-09-17.html</x:v>
      </x:c>
      <x:c r="C788" s="59" t="str">
        <x:v>PASS</x:v>
      </x:c>
    </x:row>
    <x:row r="789" ht="30" customHeight="1">
      <x:c r="A789" s="59" t="str">
        <x:v>Kontrola lokalna</x:v>
      </x:c>
      <x:c r="B789" s="59" t="str">
        <x:v>pdf_text_layer:pse_prsp_2027_2036_post_consultation.pdf</x:v>
      </x:c>
      <x:c r="C789" s="59" t="str">
        <x:v>PASS</x:v>
      </x:c>
    </x:row>
    <x:row r="790" ht="30" customHeight="1">
      <x:c r="A790" s="59" t="str">
        <x:v>Kontrola lokalna</x:v>
      </x:c>
      <x:c r="B790" s="59" t="str">
        <x:v>format_readable:pse_prsp_2027_2036_post_consultation.pdf</x:v>
      </x:c>
      <x:c r="C790" s="59" t="str">
        <x:v>PASS</x:v>
      </x:c>
    </x:row>
    <x:row r="791" ht="30" customHeight="1">
      <x:c r="A791" s="59" t="str">
        <x:v>Kontrola lokalna</x:v>
      </x:c>
      <x:c r="B791" s="59" t="str">
        <x:v>pge_block_body_identified</x:v>
      </x:c>
      <x:c r="C791" s="59" t="str">
        <x:v>PASS</x:v>
      </x:c>
    </x:row>
    <x:row r="792" ht="30" customHeight="1">
      <x:c r="A792" s="59" t="str">
        <x:v>Kontrola lokalna</x:v>
      </x:c>
      <x:c r="B792" s="59" t="str">
        <x:v>pge_catalog_not_data_success</x:v>
      </x:c>
      <x:c r="C792" s="59" t="str">
        <x:v>PASS</x:v>
      </x:c>
    </x:row>
    <x:row r="793" ht="30" customHeight="1">
      <x:c r="A793" s="59" t="str">
        <x:v>Kontrola lokalna</x:v>
      </x:c>
      <x:c r="B793" s="59" t="str">
        <x:v>energa_header_june_date</x:v>
      </x:c>
      <x:c r="C793" s="59" t="str">
        <x:v>PASS</x:v>
      </x:c>
    </x:row>
    <x:row r="794" ht="30" customHeight="1">
      <x:c r="A794" s="59" t="str">
        <x:v>Kontrola lokalna</x:v>
      </x:c>
      <x:c r="B794" s="59" t="str">
        <x:v>energa_conflict_preserved</x:v>
      </x:c>
      <x:c r="C794" s="59" t="str">
        <x:v>PASS</x:v>
      </x:c>
    </x:row>
    <x:row r="795" ht="30" customHeight="1">
      <x:c r="A795" s="59" t="str">
        <x:v>Kontrola lokalna</x:v>
      </x:c>
      <x:c r="B795" s="59" t="str">
        <x:v>pse_nodes_shape</x:v>
      </x:c>
      <x:c r="C795" s="59" t="str">
        <x:v>PASS</x:v>
      </x:c>
    </x:row>
    <x:row r="796" ht="30" customHeight="1">
      <x:c r="A796" s="59" t="str">
        <x:v>Kontrola lokalna</x:v>
      </x:c>
      <x:c r="B796" s="59" t="str">
        <x:v>pse_nodes_pagination</x:v>
      </x:c>
      <x:c r="C796" s="59" t="str">
        <x:v>PASS</x:v>
      </x:c>
    </x:row>
    <x:row r="797" ht="30" customHeight="1">
      <x:c r="A797" s="59" t="str">
        <x:v>Kontrola lokalna</x:v>
      </x:c>
      <x:c r="B797" s="59" t="str">
        <x:v>pse_redispatch_causes</x:v>
      </x:c>
      <x:c r="C797" s="59" t="str">
        <x:v>PASS</x:v>
      </x:c>
    </x:row>
    <x:row r="798" ht="30" customHeight="1">
      <x:c r="A798" s="59" t="str">
        <x:v>Kontrola lokalna</x:v>
      </x:c>
      <x:c r="B798" s="59" t="str">
        <x:v>pse_redispatch_null_preserved</x:v>
      </x:c>
      <x:c r="C798" s="59" t="str">
        <x:v>PASS</x:v>
      </x:c>
    </x:row>
    <x:row r="799" ht="30" customHeight="1">
      <x:c r="A799" s="59" t="str">
        <x:v>Kontrola lokalna</x:v>
      </x:c>
      <x:c r="B799" s="59" t="str">
        <x:v>pse_flows_sections</x:v>
      </x:c>
      <x:c r="C799" s="59" t="str">
        <x:v>PASS</x:v>
      </x:c>
    </x:row>
    <x:row r="800" ht="30" customHeight="1">
      <x:c r="A800" s="59" t="str">
        <x:v>Kontrola lokalna</x:v>
      </x:c>
      <x:c r="B800" s="59" t="str">
        <x:v>energy_charts_v2_timeseries_shape</x:v>
      </x:c>
      <x:c r="C800" s="59" t="str">
        <x:v>PASS</x:v>
      </x:c>
    </x:row>
    <x:row r="801" ht="30" customHeight="1">
      <x:c r="A801" s="59" t="str">
        <x:v>Kontrola lokalna</x:v>
      </x:c>
      <x:c r="B801" s="59" t="str">
        <x:v>energy_charts_v2_series_keys</x:v>
      </x:c>
      <x:c r="C801" s="59" t="str">
        <x:v>PASS</x:v>
      </x:c>
    </x:row>
    <x:row r="802" ht="30" customHeight="1">
      <x:c r="A802" s="59" t="str">
        <x:v>Kontrola lokalna</x:v>
      </x:c>
      <x:c r="B802" s="59" t="str">
        <x:v>energy_charts_v2_country_unit</x:v>
      </x:c>
      <x:c r="C802" s="59" t="str">
        <x:v>PASS</x:v>
      </x:c>
    </x:row>
    <x:row r="803" ht="30" customHeight="1">
      <x:c r="A803" s="59" t="str">
        <x:v>Kontrola lokalna</x:v>
      </x:c>
      <x:c r="B803" s="59" t="str">
        <x:v>energy_charts_v2_license_metadata</x:v>
      </x:c>
      <x:c r="C803" s="59" t="str">
        <x:v>PASS</x:v>
      </x:c>
    </x:row>
    <x:row r="804" ht="30" customHeight="1">
      <x:c r="A804" s="59" t="str">
        <x:v>Kontrola lokalna</x:v>
      </x:c>
      <x:c r="B804" s="59" t="str">
        <x:v>openapi_contract:pse_openapi.json</x:v>
      </x:c>
      <x:c r="C804" s="59" t="str">
        <x:v>PASS</x:v>
      </x:c>
    </x:row>
    <x:row r="805" ht="30" customHeight="1">
      <x:c r="A805" s="59" t="str">
        <x:v>Kontrola lokalna</x:v>
      </x:c>
      <x:c r="B805" s="59" t="str">
        <x:v>openapi_contract:energy_charts_openapi.json</x:v>
      </x:c>
      <x:c r="C805" s="59" t="str">
        <x:v>PASS</x:v>
      </x:c>
    </x:row>
    <x:row r="806" ht="30" customHeight="1">
      <x:c r="A806" s="59" t="str">
        <x:v>Kontrola lokalna</x:v>
      </x:c>
      <x:c r="B806" s="59" t="str">
        <x:v>local_link:README.md:docs/17_local_application.md</x:v>
      </x:c>
      <x:c r="C806" s="59" t="str">
        <x:v>PASS</x:v>
      </x:c>
    </x:row>
    <x:row r="807" ht="30" customHeight="1">
      <x:c r="A807" s="59" t="str">
        <x:v>Kontrola lokalna</x:v>
      </x:c>
      <x:c r="B807" s="59" t="str">
        <x:v>local_link:README.md:TODO.md</x:v>
      </x:c>
      <x:c r="C807" s="59" t="str">
        <x:v>PASS</x:v>
      </x:c>
    </x:row>
    <x:row r="808" ht="30" customHeight="1">
      <x:c r="A808" s="59" t="str">
        <x:v>Kontrola lokalna</x:v>
      </x:c>
      <x:c r="B808" s="59" t="str">
        <x:v>local_link:README.md:docs/project_reporting.md</x:v>
      </x:c>
      <x:c r="C808" s="59" t="str">
        <x:v>PASS</x:v>
      </x:c>
    </x:row>
    <x:row r="809" ht="30" customHeight="1">
      <x:c r="A809" s="59" t="str">
        <x:v>Kontrola lokalna</x:v>
      </x:c>
      <x:c r="B809" s="59" t="str">
        <x:v>local_link:README.md:docs/15_information_requests.md</x:v>
      </x:c>
      <x:c r="C809" s="59" t="str">
        <x:v>PASS</x:v>
      </x:c>
    </x:row>
    <x:row r="810" ht="30" customHeight="1">
      <x:c r="A810" s="59" t="str">
        <x:v>Kontrola lokalna</x:v>
      </x:c>
      <x:c r="B810" s="59" t="str">
        <x:v>local_link:README.md:docs/11_radkowice_evidence_model.md</x:v>
      </x:c>
      <x:c r="C810" s="59" t="str">
        <x:v>PASS</x:v>
      </x:c>
    </x:row>
    <x:row r="811" ht="30" customHeight="1">
      <x:c r="A811" s="59" t="str">
        <x:v>Kontrola lokalna</x:v>
      </x:c>
      <x:c r="B811" s="59" t="str">
        <x:v>local_link:README.md:docs/14_observation_history.md</x:v>
      </x:c>
      <x:c r="C811" s="59" t="str">
        <x:v>PASS</x:v>
      </x:c>
    </x:row>
    <x:row r="812" ht="30" customHeight="1">
      <x:c r="A812" s="59" t="str">
        <x:v>Kontrola lokalna</x:v>
      </x:c>
      <x:c r="B812" s="59" t="str">
        <x:v>local_link:README.md:docs/01_data_research.md</x:v>
      </x:c>
      <x:c r="C812" s="59" t="str">
        <x:v>PASS</x:v>
      </x:c>
    </x:row>
    <x:row r="813" ht="30" customHeight="1">
      <x:c r="A813" s="59" t="str">
        <x:v>Kontrola lokalna</x:v>
      </x:c>
      <x:c r="B813" s="59" t="str">
        <x:v>local_link:README.md:docs/data_sources.md</x:v>
      </x:c>
      <x:c r="C813" s="59" t="str">
        <x:v>PASS</x:v>
      </x:c>
    </x:row>
    <x:row r="814" ht="30" customHeight="1">
      <x:c r="A814" s="59" t="str">
        <x:v>Kontrola lokalna</x:v>
      </x:c>
      <x:c r="B814" s="59" t="str">
        <x:v>local_link:README.md:data/catalog/data_sources.json</x:v>
      </x:c>
      <x:c r="C814" s="59" t="str">
        <x:v>PASS</x:v>
      </x:c>
    </x:row>
    <x:row r="815" ht="30" customHeight="1">
      <x:c r="A815" s="59" t="str">
        <x:v>Kontrola lokalna</x:v>
      </x:c>
      <x:c r="B815" s="59" t="str">
        <x:v>local_link:README.md:docs/02_feasibility_matrix.md</x:v>
      </x:c>
      <x:c r="C815" s="59" t="str">
        <x:v>PASS</x:v>
      </x:c>
    </x:row>
    <x:row r="816" ht="30" customHeight="1">
      <x:c r="A816" s="59" t="str">
        <x:v>Kontrola lokalna</x:v>
      </x:c>
      <x:c r="B816" s="59" t="str">
        <x:v>local_link:README.md:docs/gpz_pipeline.md</x:v>
      </x:c>
      <x:c r="C816" s="59" t="str">
        <x:v>PASS</x:v>
      </x:c>
    </x:row>
    <x:row r="817" ht="30" customHeight="1">
      <x:c r="A817" s="59" t="str">
        <x:v>Kontrola lokalna</x:v>
      </x:c>
      <x:c r="B817" s="59" t="str">
        <x:v>local_link:README.md:docs/03_system_architecture.md</x:v>
      </x:c>
      <x:c r="C817" s="59" t="str">
        <x:v>PASS</x:v>
      </x:c>
    </x:row>
    <x:row r="818" ht="30" customHeight="1">
      <x:c r="A818" s="59" t="str">
        <x:v>Kontrola lokalna</x:v>
      </x:c>
      <x:c r="B818" s="59" t="str">
        <x:v>local_link:README.md:docs/04_data_model.md</x:v>
      </x:c>
      <x:c r="C818" s="59" t="str">
        <x:v>PASS</x:v>
      </x:c>
    </x:row>
    <x:row r="819" ht="30" customHeight="1">
      <x:c r="A819" s="59" t="str">
        <x:v>Kontrola lokalna</x:v>
      </x:c>
      <x:c r="B819" s="59" t="str">
        <x:v>local_link:README.md:docs/05_grid_capacity_methodology.md</x:v>
      </x:c>
      <x:c r="C819" s="59" t="str">
        <x:v>PASS</x:v>
      </x:c>
    </x:row>
    <x:row r="820" ht="30" customHeight="1">
      <x:c r="A820" s="59" t="str">
        <x:v>Kontrola lokalna</x:v>
      </x:c>
      <x:c r="B820" s="59" t="str">
        <x:v>local_link:README.md:docs/06_scoring_methodology.md</x:v>
      </x:c>
      <x:c r="C820" s="59" t="str">
        <x:v>PASS</x:v>
      </x:c>
    </x:row>
    <x:row r="821" ht="30" customHeight="1">
      <x:c r="A821" s="59" t="str">
        <x:v>Kontrola lokalna</x:v>
      </x:c>
      <x:c r="B821" s="59" t="str">
        <x:v>local_link:README.md:docs/07_data_quality.md</x:v>
      </x:c>
      <x:c r="C821" s="59" t="str">
        <x:v>PASS</x:v>
      </x:c>
    </x:row>
    <x:row r="822" ht="30" customHeight="1">
      <x:c r="A822" s="59" t="str">
        <x:v>Kontrola lokalna</x:v>
      </x:c>
      <x:c r="B822" s="59" t="str">
        <x:v>local_link:README.md:docs/08_roadmap.md</x:v>
      </x:c>
      <x:c r="C822" s="59" t="str">
        <x:v>PASS</x:v>
      </x:c>
    </x:row>
    <x:row r="823" ht="30" customHeight="1">
      <x:c r="A823" s="59" t="str">
        <x:v>Kontrola lokalna</x:v>
      </x:c>
      <x:c r="B823" s="59" t="str">
        <x:v>local_link:README.md:docs/decision_log.md</x:v>
      </x:c>
      <x:c r="C823" s="59" t="str">
        <x:v>PASS</x:v>
      </x:c>
    </x:row>
    <x:row r="824" ht="30" customHeight="1">
      <x:c r="A824" s="59" t="str">
        <x:v>Kontrola lokalna</x:v>
      </x:c>
      <x:c r="B824" s="59" t="str">
        <x:v>local_link:README.md:docs/git_workflow.md</x:v>
      </x:c>
      <x:c r="C824" s="59" t="str">
        <x:v>PASS</x:v>
      </x:c>
    </x:row>
    <x:row r="825" ht="30" customHeight="1">
      <x:c r="A825" s="59" t="str">
        <x:v>Kontrola lokalna</x:v>
      </x:c>
      <x:c r="B825" s="59" t="str">
        <x:v>local_link:README.md:docs/reproducibility.md</x:v>
      </x:c>
      <x:c r="C825" s="59" t="str">
        <x:v>PASS</x:v>
      </x:c>
    </x:row>
    <x:row r="826" ht="30" customHeight="1">
      <x:c r="A826" s="59" t="str">
        <x:v>Kontrola lokalna</x:v>
      </x:c>
      <x:c r="B826" s="59" t="str">
        <x:v>local_link:README.md:docs/gpz_pipeline.md</x:v>
      </x:c>
      <x:c r="C826" s="59" t="str">
        <x:v>PASS</x:v>
      </x:c>
    </x:row>
    <x:row r="827" ht="30" customHeight="1">
      <x:c r="A827" s="59" t="str">
        <x:v>Kontrola lokalna</x:v>
      </x:c>
      <x:c r="B827" s="59" t="str">
        <x:v>local_link:01_data_research.md:data_sources.md</x:v>
      </x:c>
      <x:c r="C827" s="59" t="str">
        <x:v>PASS</x:v>
      </x:c>
    </x:row>
    <x:row r="828" ht="30" customHeight="1">
      <x:c r="A828" s="59" t="str">
        <x:v>Kontrola lokalna</x:v>
      </x:c>
      <x:c r="B828" s="59" t="str">
        <x:v>local_link:01_data_research.md:11_radkowice_evidence_model.md</x:v>
      </x:c>
      <x:c r="C828" s="59" t="str">
        <x:v>PASS</x:v>
      </x:c>
    </x:row>
    <x:row r="829" ht="30" customHeight="1">
      <x:c r="A829" s="59" t="str">
        <x:v>Kontrola lokalna</x:v>
      </x:c>
      <x:c r="B829" s="59" t="str">
        <x:v>local_link:01_data_research.md:10_radkowice_pilot.md</x:v>
      </x:c>
      <x:c r="C829" s="59" t="str">
        <x:v>PASS</x:v>
      </x:c>
    </x:row>
    <x:row r="830" ht="30" customHeight="1">
      <x:c r="A830" s="59" t="str">
        <x:v>Kontrola lokalna</x:v>
      </x:c>
      <x:c r="B830" s="59" t="str">
        <x:v>local_link:01_data_research.md:02_feasibility_matrix.md</x:v>
      </x:c>
      <x:c r="C830" s="59" t="str">
        <x:v>PASS</x:v>
      </x:c>
    </x:row>
    <x:row r="831" ht="30" customHeight="1">
      <x:c r="A831" s="59" t="str">
        <x:v>Kontrola lokalna</x:v>
      </x:c>
      <x:c r="B831" s="59" t="str">
        <x:v>local_link:01_data_research.md:12_radkowice_110kv_research.md</x:v>
      </x:c>
      <x:c r="C831" s="59" t="str">
        <x:v>PASS</x:v>
      </x:c>
    </x:row>
    <x:row r="832" ht="30" customHeight="1">
      <x:c r="A832" s="59" t="str">
        <x:v>Kontrola lokalna</x:v>
      </x:c>
      <x:c r="B832" s="59" t="str">
        <x:v>local_link:01_data_research.md:16_radkowice_public_followup.md</x:v>
      </x:c>
      <x:c r="C832" s="59" t="str">
        <x:v>PASS</x:v>
      </x:c>
    </x:row>
    <x:row r="833" ht="30" customHeight="1">
      <x:c r="A833" s="59" t="str">
        <x:v>Kontrola lokalna</x:v>
      </x:c>
      <x:c r="B833" s="59" t="str">
        <x:v>local_link:01_data_research.md:18_gis_osm_integration.md</x:v>
      </x:c>
      <x:c r="C833" s="59" t="str">
        <x:v>PASS</x:v>
      </x:c>
    </x:row>
    <x:row r="834" ht="30" customHeight="1">
      <x:c r="A834" s="59" t="str">
        <x:v>Kontrola lokalna</x:v>
      </x:c>
      <x:c r="B834" s="59" t="str">
        <x:v>local_link:01_data_research.md:19_oze_sources_review.md</x:v>
      </x:c>
      <x:c r="C834" s="59" t="str">
        <x:v>PASS</x:v>
      </x:c>
    </x:row>
    <x:row r="835" ht="30" customHeight="1">
      <x:c r="A835" s="59" t="str">
        <x:v>Kontrola lokalna</x:v>
      </x:c>
      <x:c r="B835" s="59" t="str">
        <x:v>local_link:02_feasibility_matrix.md:01_data_research.md</x:v>
      </x:c>
      <x:c r="C835" s="59" t="str">
        <x:v>PASS</x:v>
      </x:c>
    </x:row>
    <x:row r="836" ht="30" customHeight="1">
      <x:c r="A836" s="59" t="str">
        <x:v>Kontrola lokalna</x:v>
      </x:c>
      <x:c r="B836" s="59" t="str">
        <x:v>local_link:02_feasibility_matrix.md:data_sources.md</x:v>
      </x:c>
      <x:c r="C836" s="59" t="str">
        <x:v>PASS</x:v>
      </x:c>
    </x:row>
    <x:row r="837" ht="30" customHeight="1">
      <x:c r="A837" s="59" t="str">
        <x:v>Kontrola lokalna</x:v>
      </x:c>
      <x:c r="B837" s="59" t="str">
        <x:v>local_link:04_data_model.md:11_radkowice_evidence_model.md</x:v>
      </x:c>
      <x:c r="C837" s="59" t="str">
        <x:v>PASS</x:v>
      </x:c>
    </x:row>
    <x:row r="838" ht="30" customHeight="1">
      <x:c r="A838" s="59" t="str">
        <x:v>Kontrola lokalna</x:v>
      </x:c>
      <x:c r="B838" s="59" t="str">
        <x:v>local_link:04_data_model.md:gpz_pipeline.md</x:v>
      </x:c>
      <x:c r="C838" s="59" t="str">
        <x:v>PASS</x:v>
      </x:c>
    </x:row>
    <x:row r="839" ht="30" customHeight="1">
      <x:c r="A839" s="59" t="str">
        <x:v>Kontrola lokalna</x:v>
      </x:c>
      <x:c r="B839" s="59" t="str">
        <x:v>local_link:04_data_model.md:13_shared_connection_model.md</x:v>
      </x:c>
      <x:c r="C839" s="59" t="str">
        <x:v>PASS</x:v>
      </x:c>
    </x:row>
    <x:row r="840" ht="30" customHeight="1">
      <x:c r="A840" s="59" t="str">
        <x:v>Kontrola lokalna</x:v>
      </x:c>
      <x:c r="B840" s="59" t="str">
        <x:v>local_link:04_data_model.md:14_observation_history.md</x:v>
      </x:c>
      <x:c r="C840" s="59" t="str">
        <x:v>PASS</x:v>
      </x:c>
    </x:row>
    <x:row r="841" ht="30" customHeight="1">
      <x:c r="A841" s="59" t="str">
        <x:v>Kontrola lokalna</x:v>
      </x:c>
      <x:c r="B841" s="59" t="str">
        <x:v>local_link:05_grid_capacity_methodology.md:01_data_research.md</x:v>
      </x:c>
      <x:c r="C841" s="59" t="str">
        <x:v>PASS</x:v>
      </x:c>
    </x:row>
    <x:row r="842" ht="30" customHeight="1">
      <x:c r="A842" s="59" t="str">
        <x:v>Kontrola lokalna</x:v>
      </x:c>
      <x:c r="B842" s="59" t="str">
        <x:v>local_link:07_data_quality.md:../data/catalog/energa_date_review_2026-09-11.json</x:v>
      </x:c>
      <x:c r="C842" s="59" t="str">
        <x:v>PASS</x:v>
      </x:c>
    </x:row>
    <x:row r="843" ht="30" customHeight="1">
      <x:c r="A843" s="59" t="str">
        <x:v>Kontrola lokalna</x:v>
      </x:c>
      <x:c r="B843" s="59" t="str">
        <x:v>local_link:08_roadmap.md:18_gis_osm_integration.md</x:v>
      </x:c>
      <x:c r="C843" s="59" t="str">
        <x:v>PASS</x:v>
      </x:c>
    </x:row>
    <x:row r="844" ht="30" customHeight="1">
      <x:c r="A844" s="59" t="str">
        <x:v>Kontrola lokalna</x:v>
      </x:c>
      <x:c r="B844" s="59" t="str">
        <x:v>local_link:08_roadmap.md:17_local_application.md</x:v>
      </x:c>
      <x:c r="C844" s="59" t="str">
        <x:v>PASS</x:v>
      </x:c>
    </x:row>
    <x:row r="845" ht="30" customHeight="1">
      <x:c r="A845" s="59" t="str">
        <x:v>Kontrola lokalna</x:v>
      </x:c>
      <x:c r="B845" s="59" t="str">
        <x:v>local_link:08_roadmap.md:02_feasibility_matrix.md</x:v>
      </x:c>
      <x:c r="C845" s="59" t="str">
        <x:v>PASS</x:v>
      </x:c>
    </x:row>
    <x:row r="846" ht="30" customHeight="1">
      <x:c r="A846" s="59" t="str">
        <x:v>Kontrola lokalna</x:v>
      </x:c>
      <x:c r="B846" s="59" t="str">
        <x:v>local_link:08_roadmap.md:gpz_pipeline.md</x:v>
      </x:c>
      <x:c r="C846" s="59" t="str">
        <x:v>PASS</x:v>
      </x:c>
    </x:row>
    <x:row r="847" ht="30" customHeight="1">
      <x:c r="A847" s="59" t="str">
        <x:v>Kontrola lokalna</x:v>
      </x:c>
      <x:c r="B847" s="59" t="str">
        <x:v>local_link:09_pilot_scope.md:10_radkowice_pilot.md</x:v>
      </x:c>
      <x:c r="C847" s="59" t="str">
        <x:v>PASS</x:v>
      </x:c>
    </x:row>
    <x:row r="848" ht="30" customHeight="1">
      <x:c r="A848" s="59" t="str">
        <x:v>Kontrola lokalna</x:v>
      </x:c>
      <x:c r="B848" s="59" t="str">
        <x:v>local_link:10_radkowice_pilot.md:11_radkowice_evidence_model.md</x:v>
      </x:c>
      <x:c r="C848" s="59" t="str">
        <x:v>PASS</x:v>
      </x:c>
    </x:row>
    <x:row r="849" ht="30" customHeight="1">
      <x:c r="A849" s="59" t="str">
        <x:v>Kontrola lokalna</x:v>
      </x:c>
      <x:c r="B849" s="59" t="str">
        <x:v>local_link:11_radkowice_evidence_model.md:12_radkowice_110kv_research.md</x:v>
      </x:c>
      <x:c r="C849" s="59" t="str">
        <x:v>PASS</x:v>
      </x:c>
    </x:row>
    <x:row r="850" ht="30" customHeight="1">
      <x:c r="A850" s="59" t="str">
        <x:v>Kontrola lokalna</x:v>
      </x:c>
      <x:c r="B850" s="59" t="str">
        <x:v>local_link:13_shared_connection_model.md:14_observation_history.md</x:v>
      </x:c>
      <x:c r="C850" s="59" t="str">
        <x:v>PASS</x:v>
      </x:c>
    </x:row>
    <x:row r="851" ht="30" customHeight="1">
      <x:c r="A851" s="59" t="str">
        <x:v>Kontrola lokalna</x:v>
      </x:c>
      <x:c r="B851" s="59" t="str">
        <x:v>local_link:data_sources.md:01_data_research.md</x:v>
      </x:c>
      <x:c r="C851" s="59" t="str">
        <x:v>PASS</x:v>
      </x:c>
    </x:row>
    <x:row r="852" ht="30" customHeight="1">
      <x:c r="A852" s="59" t="str">
        <x:v>Kontrola lokalna</x:v>
      </x:c>
      <x:c r="B852" s="59" t="str">
        <x:v>local_link:discovery_log.md:01_data_research.md</x:v>
      </x:c>
      <x:c r="C852" s="59" t="str">
        <x:v>PASS</x:v>
      </x:c>
    </x:row>
    <x:row r="853" ht="30" customHeight="1">
      <x:c r="A853" s="59" t="str">
        <x:v>Kontrola lokalna</x:v>
      </x:c>
      <x:c r="B853" s="59" t="str">
        <x:v>local_link:discovery_log.md:data_sources.md</x:v>
      </x:c>
      <x:c r="C853" s="59" t="str">
        <x:v>PASS</x:v>
      </x:c>
    </x:row>
    <x:row r="854" ht="30" customHeight="1">
      <x:c r="A854" s="59" t="str">
        <x:v>Kontrola lokalna</x:v>
      </x:c>
      <x:c r="B854" s="59" t="str">
        <x:v>local_link:git_workflow.md:reproducibility.md</x:v>
      </x:c>
      <x:c r="C854" s="59" t="str">
        <x:v>PASS</x:v>
      </x:c>
    </x:row>
    <x:row r="855" ht="30" customHeight="1">
      <x:c r="A855" s="59" t="str">
        <x:v>Kontrola lokalna</x:v>
      </x:c>
      <x:c r="B855" s="59" t="str">
        <x:v>local_link:gpz_pipeline.md:data_sources.md</x:v>
      </x:c>
      <x:c r="C855" s="59" t="str">
        <x:v>PASS</x:v>
      </x:c>
    </x:row>
    <x:row r="856" ht="30" customHeight="1">
      <x:c r="A856" s="59" t="str">
        <x:v>Kontrola lokalna</x:v>
      </x:c>
      <x:c r="B856" s="59" t="str">
        <x:v>local_link:gpz_pipeline.md:02_feasibility_matrix.md</x:v>
      </x:c>
      <x:c r="C856" s="59" t="str">
        <x:v>PASS</x:v>
      </x:c>
    </x:row>
    <x:row r="857" ht="30" customHeight="1">
      <x:c r="A857" s="59" t="str">
        <x:v>Kontrola lokalna</x:v>
      </x:c>
      <x:c r="B857" s="59" t="str">
        <x:v>local_link:private_sources.md:18_gis_osm_integration.md</x:v>
      </x:c>
      <x:c r="C857" s="59" t="str">
        <x:v>PASS</x:v>
      </x:c>
    </x:row>
    <x:row r="858" ht="30" customHeight="1">
      <x:c r="A858" s="59" t="str">
        <x:v>Kontrola lokalna</x:v>
      </x:c>
      <x:c r="B858" s="59" t="str">
        <x:v>local_link:project_reporting.md:../TODO.md</x:v>
      </x:c>
      <x:c r="C858" s="59" t="str">
        <x:v>PASS</x:v>
      </x:c>
    </x:row>
    <x:row r="859" ht="30" customHeight="1">
      <x:c r="A859" s="59" t="str">
        <x:v>Kontrola lokalna</x:v>
      </x:c>
      <x:c r="B859" s="59" t="str">
        <x:v>local_link:project_reporting.md:15_information_requests.md</x:v>
      </x:c>
      <x:c r="C859" s="59" t="str">
        <x:v>PASS</x:v>
      </x:c>
    </x:row>
    <x:row r="860" ht="30" customHeight="1">
      <x:c r="A860" s="59" t="str">
        <x:v>Kontrola lokalna</x:v>
      </x:c>
      <x:c r="B860" s="59" t="str">
        <x:v>local_link:reproducibility.md:../data/catalog/archive_manifest.json</x:v>
      </x:c>
      <x:c r="C860" s="59" t="str">
        <x:v>PASS</x:v>
      </x:c>
    </x:row>
    <x:row r="861" ht="30" customHeight="1">
      <x:c r="A861" s="59" t="str">
        <x:v>Kontrola lokalna</x:v>
      </x:c>
      <x:c r="B861" s="59" t="str">
        <x:v>python_syntax:analyze_historical_assignments.py</x:v>
      </x:c>
      <x:c r="C861" s="59" t="str">
        <x:v>PASS</x:v>
      </x:c>
    </x:row>
    <x:row r="862" ht="30" customHeight="1">
      <x:c r="A862" s="59" t="str">
        <x:v>Kontrola lokalna</x:v>
      </x:c>
      <x:c r="B862" s="59" t="str">
        <x:v>python_syntax:analyze_shared_connection.py</x:v>
      </x:c>
      <x:c r="C862" s="59" t="str">
        <x:v>PASS</x:v>
      </x:c>
    </x:row>
    <x:row r="863" ht="30" customHeight="1">
      <x:c r="A863" s="59" t="str">
        <x:v>Kontrola lokalna</x:v>
      </x:c>
      <x:c r="B863" s="59" t="str">
        <x:v>python_syntax:audit_osm_radkowice.py</x:v>
      </x:c>
      <x:c r="C863" s="59" t="str">
        <x:v>PASS</x:v>
      </x:c>
    </x:row>
    <x:row r="864" ht="30" customHeight="1">
      <x:c r="A864" s="59" t="str">
        <x:v>Kontrola lokalna</x:v>
      </x:c>
      <x:c r="B864" s="59" t="str">
        <x:v>python_syntax:audit_private_gis_geometry.py</x:v>
      </x:c>
      <x:c r="C864" s="59" t="str">
        <x:v>PASS</x:v>
      </x:c>
    </x:row>
    <x:row r="865" ht="30" customHeight="1">
      <x:c r="A865" s="59" t="str">
        <x:v>Kontrola lokalna</x:v>
      </x:c>
      <x:c r="B865" s="59" t="str">
        <x:v>python_syntax:audit_pse_pipeline_statuses.py</x:v>
      </x:c>
      <x:c r="C865" s="59" t="str">
        <x:v>PASS</x:v>
      </x:c>
    </x:row>
    <x:row r="866" ht="30" customHeight="1">
      <x:c r="A866" s="59" t="str">
        <x:v>Kontrola lokalna</x:v>
      </x:c>
      <x:c r="B866" s="59" t="str">
        <x:v>python_syntax:build_private_gis_usefulness.py</x:v>
      </x:c>
      <x:c r="C866" s="59" t="str">
        <x:v>PASS</x:v>
      </x:c>
    </x:row>
    <x:row r="867" ht="30" customHeight="1">
      <x:c r="A867" s="59" t="str">
        <x:v>Kontrola lokalna</x:v>
      </x:c>
      <x:c r="B867" s="59" t="str">
        <x:v>python_syntax:build_radkowice_development_plan.py</x:v>
      </x:c>
      <x:c r="C867" s="59" t="str">
        <x:v>PASS</x:v>
      </x:c>
    </x:row>
    <x:row r="868" ht="30" customHeight="1">
      <x:c r="A868" s="59" t="str">
        <x:v>Kontrola lokalna</x:v>
      </x:c>
      <x:c r="B868" s="59" t="str">
        <x:v>python_syntax:build_radkowice_graph.py</x:v>
      </x:c>
      <x:c r="C868" s="59" t="str">
        <x:v>PASS</x:v>
      </x:c>
    </x:row>
    <x:row r="869" ht="30" customHeight="1">
      <x:c r="A869" s="59" t="str">
        <x:v>Kontrola lokalna</x:v>
      </x:c>
      <x:c r="B869" s="59" t="str">
        <x:v>python_syntax:build_radkowice_history.py</x:v>
      </x:c>
      <x:c r="C869" s="59" t="str">
        <x:v>PASS</x:v>
      </x:c>
    </x:row>
    <x:row r="870" ht="30" customHeight="1">
      <x:c r="A870" s="59" t="str">
        <x:v>Kontrola lokalna</x:v>
      </x:c>
      <x:c r="B870" s="59" t="str">
        <x:v>python_syntax:build_radkowice_investment_review.py</x:v>
      </x:c>
      <x:c r="C870" s="59" t="str">
        <x:v>PASS</x:v>
      </x:c>
    </x:row>
    <x:row r="871" ht="30" customHeight="1">
      <x:c r="A871" s="59" t="str">
        <x:v>Kontrola lokalna</x:v>
      </x:c>
      <x:c r="B871" s="59" t="str">
        <x:v>python_syntax:build_radkowice_pipeline.py</x:v>
      </x:c>
      <x:c r="C871" s="59" t="str">
        <x:v>PASS</x:v>
      </x:c>
    </x:row>
    <x:row r="872" ht="30" customHeight="1">
      <x:c r="A872" s="59" t="str">
        <x:v>Kontrola lokalna</x:v>
      </x:c>
      <x:c r="B872" s="59" t="str">
        <x:v>python_syntax:build_research_catalog.py</x:v>
      </x:c>
      <x:c r="C872" s="59" t="str">
        <x:v>PASS</x:v>
      </x:c>
    </x:row>
    <x:row r="873" ht="30" customHeight="1">
      <x:c r="A873" s="59" t="str">
        <x:v>Kontrola lokalna</x:v>
      </x:c>
      <x:c r="B873" s="59" t="str">
        <x:v>python_syntax:compare_private_gis_tables.py</x:v>
      </x:c>
      <x:c r="C873" s="59" t="str">
        <x:v>PASS</x:v>
      </x:c>
    </x:row>
    <x:row r="874" ht="30" customHeight="1">
      <x:c r="A874" s="59" t="str">
        <x:v>Kontrola lokalna</x:v>
      </x:c>
      <x:c r="B874" s="59" t="str">
        <x:v>python_syntax:inspect_private_materials.py</x:v>
      </x:c>
      <x:c r="C874" s="59" t="str">
        <x:v>PASS</x:v>
      </x:c>
    </x:row>
    <x:row r="875" ht="30" customHeight="1">
      <x:c r="A875" s="59" t="str">
        <x:v>Kontrola lokalna</x:v>
      </x:c>
      <x:c r="B875" s="59" t="str">
        <x:v>python_syntax:normalize_private_gis_capacity.py</x:v>
      </x:c>
      <x:c r="C875" s="59" t="str">
        <x:v>PASS</x:v>
      </x:c>
    </x:row>
    <x:row r="876" ht="30" customHeight="1">
      <x:c r="A876" s="59" t="str">
        <x:v>Kontrola lokalna</x:v>
      </x:c>
      <x:c r="B876" s="59" t="str">
        <x:v>python_syntax:normalize_private_gis_investments.py</x:v>
      </x:c>
      <x:c r="C876" s="59" t="str">
        <x:v>PASS</x:v>
      </x:c>
    </x:row>
    <x:row r="877" ht="30" customHeight="1">
      <x:c r="A877" s="59" t="str">
        <x:v>Kontrola lokalna</x:v>
      </x:c>
      <x:c r="B877" s="59" t="str">
        <x:v>python_syntax:research_archive.py</x:v>
      </x:c>
      <x:c r="C877" s="59" t="str">
        <x:v>PASS</x:v>
      </x:c>
    </x:row>
    <x:row r="878" ht="30" customHeight="1">
      <x:c r="A878" s="59" t="str">
        <x:v>Kontrola lokalna</x:v>
      </x:c>
      <x:c r="B878" s="59" t="str">
        <x:v>python_syntax:research_radkowice.py</x:v>
      </x:c>
      <x:c r="C878" s="59" t="str">
        <x:v>PASS</x:v>
      </x:c>
    </x:row>
    <x:row r="879" ht="30" customHeight="1">
      <x:c r="A879" s="59" t="str">
        <x:v>Kontrola lokalna</x:v>
      </x:c>
      <x:c r="B879" s="59" t="str">
        <x:v>python_syntax:review_private_gis_groups.py</x:v>
      </x:c>
      <x:c r="C879" s="59" t="str">
        <x:v>PASS</x:v>
      </x:c>
    </x:row>
    <x:row r="880" ht="30" customHeight="1">
      <x:c r="A880" s="59" t="str">
        <x:v>Kontrola lokalna</x:v>
      </x:c>
      <x:c r="B880" s="59" t="str">
        <x:v>python_syntax:validate_project_report.py</x:v>
      </x:c>
      <x:c r="C880" s="59" t="str">
        <x:v>PASS</x:v>
      </x:c>
    </x:row>
    <x:row r="881" ht="30" customHeight="1">
      <x:c r="A881" s="59" t="str">
        <x:v>Kontrola lokalna</x:v>
      </x:c>
      <x:c r="B881" s="59" t="str">
        <x:v>python_syntax:validate_research.py</x:v>
      </x:c>
      <x:c r="C881" s="59" t="str">
        <x:v>PASS</x:v>
      </x:c>
    </x:row>
  </x:sheetData>
  <x:pageMargins left="0.7" right="0.7" top="0.75" bottom="0.75" header="0.3" footer="0.3"/>
  <x:tableParts count="1">
    <x:tablePart xmlns:r="http://schemas.openxmlformats.org/officeDocument/2006/relationships" r:id="Rf0293f2812cb4234"/>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46282.70051314815</x:v>
      </x:c>
    </x:row>
    <x:row r="8" ht="30" customHeight="1">
      <x:c r="A8" s="59" t="str">
        <x:v>Stan rejestru TODO</x:v>
      </x:c>
      <x:c r="B8" s="60" t="n">
        <x:v>46282</x:v>
      </x:c>
    </x:row>
    <x:row r="9" ht="30" customHeight="1">
      <x:c r="A9" s="59" t="str">
        <x:v>Commit widoczny przy generowaniu</x:v>
      </x:c>
      <x:c r="B9" s="59" t="str">
        <x:v>39c901653eddb3bd7e05731304aee7689c9fb451</x:v>
      </x:c>
    </x:row>
    <x:row r="10" ht="30" customHeight="1">
      <x:c r="A10" s="59" t="str">
        <x:v>SHA-256 zestawu wejść</x:v>
      </x:c>
      <x:c r="B10" s="59" t="str">
        <x:v>cab346daa9bde96ce6d8e903628f8013c3416f596825a609d7a0fdafca61b0b3</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88f9271407cba770ad88414aa7ddf2b2fd82bd5e98f79e699c14e2836af13ba6; 30242 bajtów</x:v>
      </x:c>
    </x:row>
    <x:row r="22" ht="30" customHeight="1">
      <x:c r="A22" s="59" t="str">
        <x:v>data/project/information_requests.json</x:v>
      </x:c>
      <x:c r="B22" s="59" t="str">
        <x:v>SHA-256 5f11866a1429eb4529ee1abfc5041b046d506c4afb35e22c7f4659ad5a6e304f; 15039 bajtów</x:v>
      </x:c>
    </x:row>
    <x:row r="23" ht="30" customHeight="1">
      <x:c r="A23" s="59" t="str">
        <x:v>data/catalog/data_sources.json</x:v>
      </x:c>
      <x:c r="B23" s="59" t="str">
        <x:v>SHA-256 56095a4b04afe76b5d62f47890d096f25d40136770530bee66aa90a4af17b175; 225463 bajtów</x:v>
      </x:c>
    </x:row>
    <x:row r="24" ht="30" customHeight="1">
      <x:c r="A24" s="59" t="str">
        <x:v>data/catalog/research_validation.json</x:v>
      </x:c>
      <x:c r="B24" s="59" t="str">
        <x:v>SHA-256 2225bf98ea8e90a6bc2473360db42c085b554b2a5b889611d4f8efb743a7ce2f; 97819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5ac448c87fbba72d171c382d768de4e9b63fe413b42510805e1d2133900f5de3; 47289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411888f0c61b7ee97b216ec7f7ac8034042f81f27f540a0fb004737dfb68947a; 6604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404147395d388cc3ca8832f626244dd00809fb1c702428e10a1b6e6f1ac1818c; 24197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afcec2843f54df4995dc4a0d4eb23680d7a1a1aa61b042271a695b6e2e0035c7; 8548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3c855dc820ac3ebb80541f7cae960901266c7281eeeda45941275e116bd66840; 9661 bajtów</x:v>
      </x:c>
    </x:row>
    <x:row r="49" ht="30" customHeight="1">
      <x:c r="A49" s="59" t="str">
        <x:v>docs/17_local_application.md</x:v>
      </x:c>
      <x:c r="B49" s="59" t="str">
        <x:v>SHA-256 b099b1cda35543ce7be37f673ab58b1d86e113dab1713fa47b3c752c864c534f; 5068 bajtów</x:v>
      </x:c>
    </x:row>
    <x:row r="50" ht="30" customHeight="1">
      <x:c r="A50" s="59" t="str">
        <x:v>docs/18_gis_osm_integration.md</x:v>
      </x:c>
      <x:c r="B50" s="59" t="str">
        <x:v>SHA-256 6f338e184901dcfc3899f2f4cf6dd814fb7bc957a87f2ecc00a1acf3a052e557; 5701 bajtów</x:v>
      </x:c>
    </x:row>
    <x:row r="51" ht="30" customHeight="1">
      <x:c r="A51" s="59" t="str">
        <x:v>docs/19_oze_sources_review.md</x:v>
      </x:c>
      <x:c r="B51" s="59" t="str">
        <x:v>SHA-256 23387a9ded2d4a0dee3279584ce5a7d361ecb435f557bef433adba5c07911b0d; 6174 bajtów</x:v>
      </x:c>
    </x:row>
    <x:row r="52" ht="30" customHeight="1">
      <x:c r="A52" s="59" t="str">
        <x:v>docs/private_sources.md</x:v>
      </x:c>
      <x:c r="B52" s="59" t="str">
        <x:v>SHA-256 39ccdcf2d4f22364457b0ace0cf6b0f4818c867cea95170adf691d0ea887a6a0; 8970 bajtów</x:v>
      </x:c>
    </x:row>
    <x:row r="53" ht="30" customHeight="1">
      <x:c r="A53" s="59" t="str">
        <x:v>scripts/report_data.mjs</x:v>
      </x:c>
      <x:c r="B53" s="59" t="str">
        <x:v>SHA-256 5b2f6b14546e711c4d1551e051f8c7a769fe66c4b81b3a13dd76b18f31f020fb; 9362 bajtów</x:v>
      </x:c>
    </x:row>
    <x:row r="54" ht="30" customHeight="1">
      <x:c r="A54" s="59" t="str">
        <x:v>scripts/generate_project_report.mjs</x:v>
      </x:c>
      <x:c r="B54" s="59" t="str">
        <x:v>SHA-256 dacbfb8dabe86d332d44547a58a84bf1c69f41600167b5ad3600146c59ad6fb7; 18927 bajtów</x:v>
      </x:c>
    </x:row>
    <x:row r="55" ht="30" customHeight="1">
      <x:c r="A55" s="59" t="str">
        <x:v>scripts/generate_project_report.ps1</x:v>
      </x:c>
      <x:c r="B55" s="59" t="str">
        <x:v>SHA-256 18664ffdf769acf42dce0d589a54a313d2f16e5732617b6bf8e31a0545b0ca4d; 1950 bajtów</x:v>
      </x:c>
    </x:row>
    <x:row r="56" ht="30" customHeight="1">
      <x:c r="A56" s="59" t="str">
        <x:v>scripts/validate_project_report.py</x:v>
      </x:c>
      <x:c r="B56" s="59" t="str">
        <x:v>SHA-256 fc2fd0533037b1e4ffd90886926efaa1947e4ce29f50ae864d14586f83a009b0; 4810 bajtów</x:v>
      </x:c>
    </x:row>
    <x:row r="57" ht="30" customHeight="1">
      <x:c r="A57" s="59" t="str">
        <x:v>data/reference/project_tracker_template.xlsx</x:v>
      </x:c>
      <x:c r="B57"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3d7551f5eb8343f2"/>
  </x:tableParts>
</x:worksheet>
</file>