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687d72ca17a4021" /></Relationships>
</file>

<file path=xl/workbook.xml><?xml version="1.0" encoding="utf-8"?>
<x:workbook xmlns:x="http://schemas.openxmlformats.org/spreadsheetml/2006/main">
  <x:sheets>
    <x:sheet xmlns:r="http://schemas.openxmlformats.org/officeDocument/2006/relationships" name="Project Plan" sheetId="1" r:id="Re469fc91617d45cf"/>
    <x:sheet xmlns:r="http://schemas.openxmlformats.org/officeDocument/2006/relationships" name="Podsumowanie" sheetId="2" r:id="Rddb6429728c34609"/>
    <x:sheet xmlns:r="http://schemas.openxmlformats.org/officeDocument/2006/relationships" name="TODO" sheetId="3" r:id="R66c50ac2c39b4432"/>
    <x:sheet xmlns:r="http://schemas.openxmlformats.org/officeDocument/2006/relationships" name="Wykonalność" sheetId="4" r:id="R5b5012c6e6a544b2"/>
    <x:sheet xmlns:r="http://schemas.openxmlformats.org/officeDocument/2006/relationships" name="Źródła" sheetId="5" r:id="Rc37b05c99fef43c3"/>
    <x:sheet xmlns:r="http://schemas.openxmlformats.org/officeDocument/2006/relationships" name="Źródła szczegóły" sheetId="6" r:id="Rbb960fa1d55f41b7"/>
    <x:sheet xmlns:r="http://schemas.openxmlformats.org/officeDocument/2006/relationships" name="Ryzyka" sheetId="7" r:id="R3ebdb62627e24125"/>
    <x:sheet xmlns:r="http://schemas.openxmlformats.org/officeDocument/2006/relationships" name="Dokumentacja" sheetId="8" r:id="R6bfebc8d89194e4a"/>
    <x:sheet xmlns:r="http://schemas.openxmlformats.org/officeDocument/2006/relationships" name="Audyt" sheetId="9" r:id="R77be3a4ab6514bd5"/>
    <x:sheet xmlns:r="http://schemas.openxmlformats.org/officeDocument/2006/relationships" name="Odtwarzanie" sheetId="10" r:id="R15fcdf39f77c419e"/>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<x:sst xmlns:x="http://schemas.openxmlformats.org/spreadsheetml/2006/main">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</x:sst>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6722d9b2511416b" /><Relationship Type="http://schemas.openxmlformats.org/officeDocument/2006/relationships/theme" Target="/xl/theme/theme1.xml" Id="R590c3fd27e07467d" /><Relationship Type="http://schemas.openxmlformats.org/officeDocument/2006/relationships/sharedStrings" Target="/xl/sharedStrings.xml" Id="Rc3066446687b4e74" /><Relationship Type="http://schemas.openxmlformats.org/officeDocument/2006/relationships/worksheet" Target="/xl/worksheets/sheet1.xml" Id="Re469fc91617d45cf" /><Relationship Type="http://schemas.openxmlformats.org/officeDocument/2006/relationships/worksheet" Target="/xl/worksheets/sheet2.xml" Id="Rddb6429728c34609" /><Relationship Type="http://schemas.openxmlformats.org/officeDocument/2006/relationships/worksheet" Target="/xl/worksheets/sheet3.xml" Id="R66c50ac2c39b4432" /><Relationship Type="http://schemas.openxmlformats.org/officeDocument/2006/relationships/worksheet" Target="/xl/worksheets/sheet4.xml" Id="R5b5012c6e6a544b2" /><Relationship Type="http://schemas.openxmlformats.org/officeDocument/2006/relationships/worksheet" Target="/xl/worksheets/sheet5.xml" Id="Rc37b05c99fef43c3" /><Relationship Type="http://schemas.openxmlformats.org/officeDocument/2006/relationships/worksheet" Target="/xl/worksheets/sheet6.xml" Id="Rbb960fa1d55f41b7" /><Relationship Type="http://schemas.openxmlformats.org/officeDocument/2006/relationships/worksheet" Target="/xl/worksheets/sheet7.xml" Id="R3ebdb62627e24125" /><Relationship Type="http://schemas.openxmlformats.org/officeDocument/2006/relationships/worksheet" Target="/xl/worksheets/sheet8.xml" Id="R6bfebc8d89194e4a" /><Relationship Type="http://schemas.openxmlformats.org/officeDocument/2006/relationships/worksheet" Target="/xl/worksheets/sheet9.xml" Id="R77be3a4ab6514bd5" /><Relationship Type="http://schemas.openxmlformats.org/officeDocument/2006/relationships/worksheet" Target="/xl/worksheets/sheet10.xml" Id="R15fcdf39f77c419e" /></Relationships>
</file>

<file path=xl/tables/table1.xml><?xml version="1.0" encoding="utf-8"?>
<x:table xmlns:x="http://schemas.openxmlformats.org/spreadsheetml/2006/main" id="8" name="ReportTable1" displayName="ReportTable1" ref="A6:C21" headerRowCount="1" totalsRowCount="0" totalsRowShown="0">
  <x:autoFilter ref="A6:C21"/>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N39" headerRowCount="1" totalsRowCount="0" totalsRowShown="0">
  <x:autoFilter ref="A6:N39"/>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3.xml><?xml version="1.0" encoding="utf-8"?>
<x:table xmlns:x="http://schemas.openxmlformats.org/spreadsheetml/2006/main" id="4" name="ReportTable3" displayName="ReportTable3"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4.xml><?xml version="1.0" encoding="utf-8"?>
<x:table xmlns:x="http://schemas.openxmlformats.org/spreadsheetml/2006/main" id="2" name="ReportTable4" displayName="ReportTable4" ref="A6:J67" headerRowCount="1" totalsRowCount="0" totalsRowShown="0">
  <x:autoFilter ref="A6:J67"/>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C2639" headerRowCount="1" totalsRowCount="0" totalsRowShown="0">
  <x:autoFilter ref="A6:C2639"/>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6.xml><?xml version="1.0" encoding="utf-8"?>
<x:table xmlns:x="http://schemas.openxmlformats.org/spreadsheetml/2006/main" id="5" name="ReportTable6" displayName="ReportTable6" ref="A6:E73" headerRowCount="1" totalsRowCount="0" totalsRowShown="0">
  <x:autoFilter ref="A6:E73"/>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C449" headerRowCount="1" totalsRowCount="0" totalsRowShown="0">
  <x:autoFilter ref="A6:C449"/>
  <x:tableColumns count="3">
    <x:tableColumn id="1" name="Dokument"/>
    <x:tableColumn id="2" name="Sekcja"/>
    <x:tableColumn id="3" name="Treść"/>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567" headerRowCount="1" totalsRowCount="0" totalsRowShown="0">
  <x:autoFilter ref="A6:C567"/>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9.xml><?xml version="1.0" encoding="utf-8"?>
<x:table xmlns:x="http://schemas.openxmlformats.org/spreadsheetml/2006/main" id="9" name="ReportTable9" displayName="ReportTable9" ref="A6:B50" headerRowCount="1" totalsRowCount="0" totalsRowShown="0">
  <x:autoFilter ref="A6:B50"/>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1324be7e1374dd4" /></Relationships>
</file>

<file path=xl/worksheets/_rels/sheet3.xml.rels>&#65279;<?xml version="1.0" encoding="utf-8"?><Relationships xmlns="http://schemas.openxmlformats.org/package/2006/relationships"><Relationship Type="http://schemas.openxmlformats.org/officeDocument/2006/relationships/table" Target="/xl/tables/table2.xml" Id="Rc077be1cb3594e57" /></Relationships>
</file>

<file path=xl/worksheets/_rels/sheet4.xml.rels>&#65279;<?xml version="1.0" encoding="utf-8"?><Relationships xmlns="http://schemas.openxmlformats.org/package/2006/relationships"><Relationship Type="http://schemas.openxmlformats.org/officeDocument/2006/relationships/table" Target="/xl/tables/table3.xml" Id="Rb8adaf2b72b14495" /></Relationships>
</file>

<file path=xl/worksheets/_rels/sheet5.xml.rels>&#65279;<?xml version="1.0" encoding="utf-8"?><Relationships xmlns="http://schemas.openxmlformats.org/package/2006/relationships"><Relationship Type="http://schemas.openxmlformats.org/officeDocument/2006/relationships/table" Target="/xl/tables/table4.xml" Id="R1792e1f66fc742e1" /></Relationships>
</file>

<file path=xl/worksheets/_rels/sheet6.xml.rels>&#65279;<?xml version="1.0" encoding="utf-8"?><Relationships xmlns="http://schemas.openxmlformats.org/package/2006/relationships"><Relationship Type="http://schemas.openxmlformats.org/officeDocument/2006/relationships/table" Target="/xl/tables/table5.xml" Id="Rd15975195a114285" /></Relationships>
</file>

<file path=xl/worksheets/_rels/sheet7.xml.rels>&#65279;<?xml version="1.0" encoding="utf-8"?><Relationships xmlns="http://schemas.openxmlformats.org/package/2006/relationships"><Relationship Type="http://schemas.openxmlformats.org/officeDocument/2006/relationships/table" Target="/xl/tables/table6.xml" Id="Rd5921693fb6e40ea" /></Relationships>
</file>

<file path=xl/worksheets/_rels/sheet8.xml.rels>&#65279;<?xml version="1.0" encoding="utf-8"?><Relationships xmlns="http://schemas.openxmlformats.org/package/2006/relationships"><Relationship Type="http://schemas.openxmlformats.org/officeDocument/2006/relationships/table" Target="/xl/tables/table7.xml" Id="R2618a280d66447ec" /></Relationships>
</file>

<file path=xl/worksheets/_rels/sheet9.xml.rels>&#65279;<?xml version="1.0" encoding="utf-8"?><Relationships xmlns="http://schemas.openxmlformats.org/package/2006/relationships"><Relationship Type="http://schemas.openxmlformats.org/officeDocument/2006/relationships/table" Target="/xl/tables/table8.xml" Id="R4da06d5aefce4ff2" /></Relationships>
</file>

<file path=xl/worksheets/_rels/sheet10.xml.rels>&#65279;<?xml version="1.0" encoding="utf-8"?><Relationships xmlns="http://schemas.openxmlformats.org/package/2006/relationships"><Relationship Type="http://schemas.openxmlformats.org/officeDocument/2006/relationships/table" Target="/xl/tables/table9.xml" Id="R2a324744bffa4a9d"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46272</x:v>
      </x:c>
      <x:c r="I6" s="41">
        <x:v>46209</x:v>
      </x:c>
      <x:c r="J6" s="15"/>
      <x:c r="K6" s="42" t="n">
        <x:f>COUNTA('TODO'!A7:A39)</x:f>
        <x:v>33</x:v>
      </x:c>
      <x:c r="L6" s="43"/>
      <x:c r="M6" s="43"/>
      <x:c r="N6" s="44"/>
      <x:c r="O6" s="45" t="n">
        <x:f>COUNTIFS('TODO'!C7:C39,"Complete")</x:f>
        <x:v>10</x:v>
      </x:c>
      <x:c r="P6" s="46"/>
      <x:c r="Q6" s="46"/>
      <x:c r="R6" s="47"/>
      <x:c r="S6" s="35" t="n">
        <x:f>COUNTIFS('TODO'!C7:C39,"In Progress")</x:f>
        <x:v>2</x:v>
      </x:c>
      <x:c r="T6" s="36"/>
      <x:c r="U6" s="36"/>
      <x:c r="V6" s="37"/>
      <x:c r="W6" s="38" t="n">
        <x:f>COUNTIFS('TODO'!C7:C39,"At Risk")</x:f>
        <x:v>1</x:v>
      </x:c>
      <x:c r="X6" s="39"/>
      <x:c r="Y6" s="39"/>
      <x:c r="Z6" s="40"/>
      <x:c r="AA6" s="38" t="n">
        <x:f>COUNTIFS('TODO'!D7:D39,"P0")</x:f>
        <x:v>23</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46272</x:v>
      </x:c>
      <x:c r="L9" s="2" t="n">
        <x:f t="shared" ref="L9:AD9" si="0">K9+7</x:f>
        <x:v>46279</x:v>
      </x:c>
      <x:c r="M9" s="2" t="n">
        <x:f t="shared" si="0">L9+7</x:f>
        <x:v>46286</x:v>
      </x:c>
      <x:c r="N9" s="2" t="n">
        <x:f t="shared" si="0">M9+7</x:f>
        <x:v>46293</x:v>
      </x:c>
      <x:c r="O9" s="2" t="n">
        <x:f t="shared" si="0">N9+7</x:f>
        <x:v>46300</x:v>
      </x:c>
      <x:c r="P9" s="2" t="n">
        <x:f t="shared" si="0">O9+7</x:f>
        <x:v>46307</x:v>
      </x:c>
      <x:c r="Q9" s="2" t="n">
        <x:f t="shared" si="0">P9+7</x:f>
        <x:v>46314</x:v>
      </x:c>
      <x:c r="R9" s="2" t="n">
        <x:f t="shared" si="0">Q9+7</x:f>
        <x:v>46321</x:v>
      </x:c>
      <x:c r="S9" s="2" t="n">
        <x:f t="shared" si="0">R9+7</x:f>
        <x:v>46328</x:v>
      </x:c>
      <x:c r="T9" s="2" t="n">
        <x:f t="shared" si="0">S9+7</x:f>
        <x:v>46335</x:v>
      </x:c>
      <x:c r="U9" s="2" t="n">
        <x:f t="shared" si="0">T9+7</x:f>
        <x:v>46342</x:v>
      </x:c>
      <x:c r="V9" s="2" t="n">
        <x:f t="shared" si="0">U9+7</x:f>
        <x:v>46349</x:v>
      </x:c>
      <x:c r="W9" s="2" t="n">
        <x:f t="shared" si="0">V9+7</x:f>
        <x:v>46356</x:v>
      </x:c>
      <x:c r="X9" s="2" t="n">
        <x:f t="shared" si="0">W9+7</x:f>
        <x:v>46363</x:v>
      </x:c>
      <x:c r="Y9" s="2" t="n">
        <x:f t="shared" si="0">X9+7</x:f>
        <x:v>46370</x:v>
      </x:c>
      <x:c r="Z9" s="2" t="n">
        <x:f t="shared" si="0">Y9+7</x:f>
        <x:v>46377</x:v>
      </x:c>
      <x:c r="AA9" s="2" t="n">
        <x:f t="shared" si="0">Z9+7</x:f>
        <x:v>46384</x:v>
      </x:c>
      <x:c r="AB9" s="2" t="n">
        <x:f t="shared" si="0">AA9+7</x:f>
        <x:v>46391</x:v>
      </x:c>
      <x:c r="AC9" s="2" t="n">
        <x:f t="shared" si="0">AB9+7</x:f>
        <x:v>46398</x:v>
      </x:c>
      <x:c r="AD9" s="2" t="n">
        <x:f t="shared" si="0">AC9+7</x:f>
        <x:v>46405</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Model</x:v>
      </x:c>
      <x:c r="C22" s="66" t="str">
        <x:v>KSE-033 Prywatne obserwacje i wspólna infrastruktura przyłączeniowa</x:v>
      </x:c>
      <x:c r="D22" s="67" t="str">
        <x:v>Użytkownik + Codex</x:v>
      </x:c>
      <x:c r="E22" s="67" t="str">
        <x:v>In Progress</x:v>
      </x:c>
      <x:c r="F22" s="67" t="str">
        <x:v>P0</x:v>
      </x:c>
      <x:c r="G22" s="68" t="n">
        <x:v>46276</x:v>
      </x:c>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KSE-011 Przetestować uwierzytelnione API ENTSO-E</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KSE-012 Potwierdzić eksport ENEA i TAURON</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KSE-019 BIP i inwestycje w obszarze pilota</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GIS</x:v>
      </x:c>
      <x:c r="C26" s="66" t="str">
        <x:v>KSE-020 Warstwy GIS i kontrola CRS</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UI</x:v>
      </x:c>
      <x:c r="C27" s="70" t="str">
        <x:v>KSE-024 Pierwszy interfejs i mapa dowodów</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KSE-025 Cykliczne aktualizacje i historia zmian</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V1</x:v>
      </x:c>
      <x:c r="C29" s="70" t="str">
        <x:v>KSE-026 Rozszerzenie pokrycia OSD i regionów</x:v>
      </x:c>
      <x:c r="D29" s="71" t="str">
        <x:v>Codex</x:v>
      </x:c>
      <x:c r="E29" s="71" t="str">
        <x:v>Not Started</x:v>
      </x:c>
      <x:c r="F29" s="71" t="str">
        <x:v>P2</x:v>
      </x:c>
      <x:c r="G29" s="72"/>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V2</x:v>
      </x:c>
      <x:c r="C30" s="66" t="str">
        <x:v>KSE-027 Scenariusze przyszłej sieci i trasy</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KSE-028 Metodologia confidence i scoringu</x:v>
      </x:c>
      <x:c r="D31" s="71" t="str">
        <x:v>Użytkownik + 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Long-term</x:v>
      </x:c>
      <x:c r="C32" s="66" t="str">
        <x:v>KSE-029 Dane techniczne i model rozpływowy</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Research</x:v>
      </x:c>
      <x:c r="C33" s="70" t="str">
        <x:v>KSE-001 Research źródeł i granic dokładności</x:v>
      </x:c>
      <x:c r="D33" s="71" t="str">
        <x:v>Codex</x:v>
      </x:c>
      <x:c r="E33" s="71" t="str">
        <x:v>Complete</x:v>
      </x:c>
      <x:c r="F33" s="71" t="str">
        <x:v>P0</x:v>
      </x:c>
      <x:c r="G33" s="73"/>
      <x:c r="H33" s="73" t="n">
        <x:v>46275</x:v>
      </x:c>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KSE-002 Katalog i kontrola próbek źródłowych</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Organizacja</x:v>
      </x:c>
      <x:c r="C35" s="70" t="str">
        <x:v>KSE-003 Git i odtwarzanie snapshotów</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KSE-004 Wykluczenie lokalnych sekretów z Git</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Produkt</x:v>
      </x:c>
      <x:c r="C37" s="70" t="str">
        <x:v>KSE-005 Specyfikacja pipeline wybranego GPZ</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Organizacja</x:v>
      </x:c>
      <x:c r="C38" s="66" t="str">
        <x:v>KSE-006 TODO i generator pełnego raportu Excel</x:v>
      </x:c>
      <x:c r="D38" s="67" t="str">
        <x:v>Codex</x:v>
      </x:c>
      <x:c r="E38" s="67" t="str">
        <x:v>Complete</x:v>
      </x:c>
      <x:c r="F38" s="67" t="str">
        <x:v>P0</x:v>
      </x:c>
      <x:c r="G38" s="74" t="n">
        <x:v>46275</x:v>
      </x:c>
      <x:c r="H38" s="74" t="n">
        <x:v>46276</x:v>
      </x:c>
      <x:c r="I38" s="11" t="n">
        <x:f t="shared" si="1">IF(OR(G38="",H38="",H38&lt;G38),"",H38-G38+1)</x:f>
        <x:v>2</x:v>
      </x:c>
      <x:c r="J38" s="15"/>
      <x:c r="K38" s="12" t="n">
        <x:f t="shared" si="6">IF(OR($G38="",$H38="",$H38&lt;$G38),"",IF(AND(K$9&lt;=$H38,K$9+6&gt;=$G38),1,""))</x:f>
        <x:v>1</x:v>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Produkt</x:v>
      </x:c>
      <x:c r="C39" s="70" t="str">
        <x:v>KSE-007 Ustalić zakres i kryteria MVP</x:v>
      </x:c>
      <x:c r="D39" s="71" t="str">
        <x:v>Użytkownik + Codex</x:v>
      </x:c>
      <x:c r="E39" s="71" t="str">
        <x:v>Complete</x:v>
      </x:c>
      <x:c r="F39" s="71" t="str">
        <x:v>P0</x:v>
      </x:c>
      <x:c r="G39" s="73" t="n">
        <x:v>46276</x:v>
      </x:c>
      <x:c r="H39" s="73" t="n">
        <x:v>46276</x:v>
      </x:c>
      <x:c r="I39" s="11" t="n">
        <x:f t="shared" si="1">IF(OR(G39="",H39="",H39&lt;G39),"",H39-G39+1)</x:f>
        <x:v>1</x:v>
      </x:c>
      <x:c r="J39" s="15"/>
      <x:c r="K39" s="12" t="n">
        <x:f t="shared" si="6">IF(OR($G39="",$H39="",$H39&lt;$G39),"",IF(AND(K$9&lt;=$H39,K$9+6&gt;=$G39),1,""))</x:f>
        <x:v>1</x:v>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x:formula1>
    </x:dataValidation>
    <x:dataValidation type="list" sqref="D10:D39">
      <x:formula1>"Codex,Użytkownik + Codex,Użytkownik"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COUNTA('Źródła'!A7:A67)</x:f>
        <x:v>61</x:v>
      </x:c>
      <x:c r="C7" s="59" t="str">
        <x:v>Obejmuje próbki, przegląd treści/dokumentacji, wskazania i blokady.</x:v>
      </x:c>
    </x:row>
    <x:row r="8" ht="30" customHeight="1">
      <x:c r="A8" s="59" t="str">
        <x:v>Zadania w rejestrze</x:v>
      </x:c>
      <x:c r="B8" s="59" t="n">
        <x:f>'Project Plan'!K6</x:f>
        <x:v>33</x:v>
      </x:c>
      <x:c r="C8" s="59" t="str">
        <x:v>Pełna lista, także zakończone i dalsze etapy.</x:v>
      </x:c>
    </x:row>
    <x:row r="9" ht="30" customHeight="1">
      <x:c r="A9" s="59" t="str">
        <x:v>Zakończone zadania</x:v>
      </x:c>
      <x:c r="B9" s="59" t="n">
        <x:f>'Project Plan'!O6</x:f>
        <x:v>10</x:v>
      </x:c>
      <x:c r="C9" s="59" t="str">
        <x:v>Liczba zadań nie mierzy procentowej gotowości produktu.</x:v>
      </x:c>
    </x:row>
    <x:row r="10" ht="30" customHeight="1">
      <x:c r="A10" s="59" t="str">
        <x:v>Zadania w toku</x:v>
      </x:c>
      <x:c r="B10" s="59" t="n">
        <x:f>'Project Plan'!S6</x:f>
        <x:v>2</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46276</x:v>
      </x:c>
      <x:c r="C12" s="59" t="str">
        <x:v>Data przeglądu źródeł; nie oznacza aktualnego stanu każdego dokumentu.</x:v>
      </x:c>
    </x:row>
    <x:row r="13" ht="80" customHeight="1">
      <x:c r="A13" s="59" t="str">
        <x:v>Wniosek z badań</x:v>
      </x:c>
      <x:c r="B13" s="59" t="str">
        <x:v>Ocena badawcza</x:v>
      </x:c>
      <x:c r="C13"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4" ht="66" customHeight="1">
      <x:c r="A14" s="59" t="str">
        <x:v>Wniosek z badań</x:v>
      </x:c>
      <x:c r="B14" s="59" t="str">
        <x:v>Ocena badawcza</x:v>
      </x:c>
      <x:c r="C14"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5" ht="30" customHeight="1">
      <x:c r="A15" s="59" t="str">
        <x:v>Wniosek z badań</x:v>
      </x:c>
      <x:c r="B15" s="59" t="str">
        <x:v>Ocena badawcza</x:v>
      </x:c>
      <x:c r="C15" s="59" t="str">
        <x:v>Poziom sieci / Realistyczny produkt z danych publicznych / Granica dokładności</x:v>
      </x:c>
    </x:row>
    <x:row r="16" ht="52" customHeight="1">
      <x:c r="A16" s="59" t="str">
        <x:v>Wniosek z badań</x:v>
      </x:c>
      <x:c r="B16" s="59" t="str">
        <x:v>Ocena badawcza</x:v>
      </x:c>
      <x:c r="C16"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7" ht="52" customHeight="1">
      <x:c r="A17" s="59" t="str">
        <x:v>Wniosek z badań</x:v>
      </x:c>
      <x:c r="B17" s="59" t="str">
        <x:v>Ocena badawcza</x:v>
      </x:c>
      <x:c r="C17"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8" ht="52" customHeight="1">
      <x:c r="A18" s="59" t="str">
        <x:v>Wniosek z badań</x:v>
      </x:c>
      <x:c r="B18" s="59" t="str">
        <x:v>Ocena badawcza</x:v>
      </x:c>
      <x:c r="C18"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19" ht="52" customHeight="1">
      <x:c r="A19" s="59" t="str">
        <x:v>Wniosek z badań</x:v>
      </x:c>
      <x:c r="B19" s="59" t="str">
        <x:v>Ocena badawcza</x:v>
      </x:c>
      <x:c r="C19"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0" ht="80" customHeight="1">
      <x:c r="A20" s="59" t="str">
        <x:v>Wniosek z badań</x:v>
      </x:c>
      <x:c r="B20" s="59" t="str">
        <x:v>Ocena badawcza</x:v>
      </x:c>
      <x:c r="C20"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1" ht="52" customHeight="1">
      <x:c r="A21" s="59" t="str">
        <x:v>Wniosek z badań</x:v>
      </x:c>
      <x:c r="B21" s="59" t="str">
        <x:v>Ocena badawcza</x:v>
      </x:c>
      <x:c r="C21"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11324be7e1374dd4"/>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38"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commity i instrukcję odtwarzania.</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Bezpośredni PDF nadal zwraca blokadę (11.09); sprawdzić oficjalny alternatywny kanał lub dokumenty przekazane przez użytkownika.</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66"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Potwierdzić granice PSE/PGE i prawa źródeł; relacja 110 kV Radkowice–Wolica ma dowód administracyjny.</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
docs/12_radkowice_110kv_research.md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38"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Zbudować raport grup statusu oraz nieznanych i konfliktowych rekordów.</x:v>
      </x:c>
      <x:c r="J27" s="59" t="str">
        <x:v>Potwierdzone przyłączenie, plan i oczekiwanie odróżnione; deduplikacja i kierunkowe sumy z pokryciem.</x:v>
      </x:c>
      <x:c r="K27" s="59" t="str">
        <x:v>Brak dodatkowej uwagi</x:v>
      </x:c>
      <x:c r="L27" s="60"/>
      <x:c r="M27" s="60"/>
      <x:c r="N27" s="59" t="str">
        <x:v>docs/gpz_pipeline.md</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52"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Ekspertyza wpływu nie będzie dostępna od użytkownika w tym pilocie. Oceniać inne źródła parametrów; nie uzależniać ewidencji i modelu dokumentacyjnego od power-flow.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38"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Wykonać prywatną kopię ZIP na drugim nośniku i potwierdzić jej odczyt.</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row r="38" ht="38" customHeight="1">
      <x:c r="A38" s="59" t="str">
        <x:v>KSE-032</x:v>
      </x:c>
      <x:c r="B38" s="59" t="str">
        <x:v>Rozszerzenie dowodów 110 kV i przegląd materiału użytkownika</x:v>
      </x:c>
      <x:c r="C38" s="59" t="str">
        <x:v>Complete</x:v>
      </x:c>
      <x:c r="D38" s="59" t="str">
        <x:v>P0</x:v>
      </x:c>
      <x:c r="E38" s="59" t="str">
        <x:v>Research</x:v>
      </x:c>
      <x:c r="F38" s="59" t="str">
        <x:v>Codex</x:v>
      </x:c>
      <x:c r="G38" s="59" t="str">
        <x:v>KSE-031</x:v>
      </x:c>
      <x:c r="H38" s="59" t="str">
        <x:v>Brak</x:v>
      </x:c>
      <x:c r="I38" s="59" t="str">
        <x:v>Rozwinąć integrację prywatnych obserwacji osobno; nadal sprawdzać aktualny stan sieci.</x:v>
      </x:c>
      <x:c r="J38" s="59" t="str">
        <x:v>Publiczny dowód z zachowanym snapshotem i grafem v2; prywatny przegląd z proweniencją poza ogólnym eksportem.</x:v>
      </x:c>
      <x:c r="K38" s="59" t="str">
        <x:v>Brak dodatkowej uwagi</x:v>
      </x:c>
      <x:c r="L38" s="60"/>
      <x:c r="M38" s="60" t="n">
        <x:v>46276</x:v>
      </x:c>
      <x:c r="N38" s="59" t="str">
        <x:v>docs/12_radkowice_110kv_research.md
docs/private_sources.md
tests/test_wolica_evidence.py</x:v>
      </x:c>
    </x:row>
    <x:row r="39" ht="66" customHeight="1">
      <x:c r="A39" s="59" t="str">
        <x:v>KSE-033</x:v>
      </x:c>
      <x:c r="B39" s="59" t="str">
        <x:v>Prywatne obserwacje i wspólna infrastruktura przyłączeniowa</x:v>
      </x:c>
      <x:c r="C39" s="59" t="str">
        <x:v>In Progress</x:v>
      </x:c>
      <x:c r="D39" s="59" t="str">
        <x:v>P0</x:v>
      </x:c>
      <x:c r="E39" s="59" t="str">
        <x:v>Model</x:v>
      </x:c>
      <x:c r="F39" s="59" t="str">
        <x:v>Użytkownik + Codex</x:v>
      </x:c>
      <x:c r="G39" s="59" t="str">
        <x:v>KSE-032</x:v>
      </x:c>
      <x:c r="H39" s="59" t="str">
        <x:v>Brak</x:v>
      </x:c>
      <x:c r="I39" s="59" t="str">
        <x:v>Prototyp ewidencji miejsc i dziedziczenia prywatności działa; rozwinąć historię, kontrakty wejściowe i integrację. Projekt techniczny może uzupełnić dane później.</x:v>
      </x:c>
      <x:c r="J39" s="59" t="str">
        <x:v>Źródła prywatne i pochodne wyniki dziedziczą dostęp; miejsca nie są MW; konflikty danych i status planowany pozostają jawne.</x:v>
      </x:c>
      <x:c r="K39" s="59" t="str">
        <x:v>Brak ekspertyzy wpływu nie blokuje ewidencji. Brak danych sieciowych wyklucza wyliczanie rezerwy MW i częstości ograniczeń.</x:v>
      </x:c>
      <x:c r="L39" s="60"/>
      <x:c r="M39" s="60"/>
      <x:c r="N39" s="59" t="str">
        <x:v>docs/private_sources.md
docs/04_data_model.md
docs/13_shared_connection_model.md
grid_engine/shared_connection.py
tests/test_shared_connection.py
scripts/analyze_shared_connection.py
tests/test_shared_connection_replay.py</x:v>
      </x:c>
    </x:row>
  </x:sheetData>
  <x:conditionalFormatting sqref="C7:C39">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39">
      <x:formula1>"Not Started,In Progress,At Risk,Complete"</x:formula1>
    </x:dataValidation>
  </x:dataValidations>
  <x:pageMargins left="0.7" right="0.7" top="0.75" bottom="0.75" header="0.3" footer="0.3"/>
  <x:tableParts count="1">
    <x:tablePart xmlns:r="http://schemas.openxmlformats.org/officeDocument/2006/relationships" r:id="Rc077be1cb3594e57"/>
  </x:tableParts>
</x:worksheet>
</file>

<file path=xl/worksheets/sheet4.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b8adaf2b72b14495"/>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DISCOVERED</x:v>
      </x:c>
      <x:c r="F30" s="60" t="n">
        <x:v>46275</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46275</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PSE_INVESTMENTS_RADK</x:v>
      </x:c>
      <x:c r="B63" s="59" t="str">
        <x:v>Portal inwestycji PSE — sekcja Radkowice</x:v>
      </x:c>
      <x:c r="C63" s="59" t="str">
        <x:v>PSE</x:v>
      </x:c>
      <x:c r="D63" s="59" t="str">
        <x:v>grid_investments</x:v>
      </x:c>
      <x:c r="E63" s="59" t="str">
        <x:v>CONTENT_REVIEWED</x:v>
      </x:c>
      <x:c r="F63" s="60" t="n">
        <x:v>46276</x:v>
      </x:c>
      <x:c r="G63" s="59" t="str">
        <x:v>UNKNOWN</x:v>
      </x:c>
      <x:c r="H63" s="59" t="str">
        <x:v>UNKNOWN</x:v>
      </x:c>
      <x:c r="I63" s="59" t="str">
        <x:v>UNKNOWN</x:v>
      </x:c>
      <x:c r="J63" s="59" t="str">
        <x:v>P0</x:v>
      </x:c>
    </x:row>
    <x:row r="64" ht="38" customHeight="1">
      <x:c r="A64" s="59" t="str">
        <x:v>CHECINY_ENERGY_PLAN</x:v>
      </x:c>
      <x:c r="B64" s="59" t="str">
        <x:v>BIP Chęcin — założenia energetyczne 2025–2027 z perspektywą 2040</x:v>
      </x:c>
      <x:c r="C64" s="59" t="str">
        <x:v>PSE / PGE — informacje przypisane w dokumencie gminy</x:v>
      </x:c>
      <x:c r="D64" s="59" t="str">
        <x:v>local_grid_and_investments</x:v>
      </x:c>
      <x:c r="E64" s="59" t="str">
        <x:v>CONTENT_REVIEWED</x:v>
      </x:c>
      <x:c r="F64" s="60" t="n">
        <x:v>46276</x:v>
      </x:c>
      <x:c r="G64" s="59" t="str">
        <x:v>UNKNOWN</x:v>
      </x:c>
      <x:c r="H64" s="59" t="str">
        <x:v>UNKNOWN</x:v>
      </x:c>
      <x:c r="I64" s="59" t="str">
        <x:v>UNKNOWN</x:v>
      </x:c>
      <x:c r="J64" s="59" t="str">
        <x:v>P0</x:v>
      </x:c>
    </x:row>
    <x:row r="65" ht="30" customHeight="1">
      <x:c r="A65" s="59" t="str">
        <x:v>PSE_TARIFF_2026</x:v>
      </x:c>
      <x:c r="B65" s="59" t="str">
        <x:v>Taryfa PSE 2026 — odbiorcy i miejsca dostarczania</x:v>
      </x:c>
      <x:c r="C65" s="59" t="str">
        <x:v>PSE</x:v>
      </x:c>
      <x:c r="D65" s="59" t="str">
        <x:v>operator_delivery_points</x:v>
      </x:c>
      <x:c r="E65" s="59" t="str">
        <x:v>CONTENT_REVIEWED</x:v>
      </x:c>
      <x:c r="F65" s="60" t="n">
        <x:v>46276</x:v>
      </x:c>
      <x:c r="G65" s="59" t="str">
        <x:v>UNKNOWN</x:v>
      </x:c>
      <x:c r="H65" s="59" t="str">
        <x:v>UNKNOWN</x:v>
      </x:c>
      <x:c r="I65" s="59" t="str">
        <x:v>UNKNOWN</x:v>
      </x:c>
      <x:c r="J65" s="59" t="str">
        <x:v>P0</x:v>
      </x:c>
    </x:row>
    <x:row r="66" ht="30" customHeight="1">
      <x:c r="A66" s="59" t="str">
        <x:v>PGE_RADK_CAPACITY_ATTEMPT</x:v>
      </x:c>
      <x:c r="B66" s="59" t="str">
        <x:v>Próba dostępu do pliku mocy PGE I kw.2026</x:v>
      </x:c>
      <x:c r="C66" s="59" t="str">
        <x:v>PGE</x:v>
      </x:c>
      <x:c r="D66" s="59" t="str">
        <x:v>reported_connection_capacity</x:v>
      </x:c>
      <x:c r="E66" s="59" t="str">
        <x:v>BLOCKED</x:v>
      </x:c>
      <x:c r="F66" s="60" t="n">
        <x:v>46276</x:v>
      </x:c>
      <x:c r="G66" s="59" t="str">
        <x:v>UNKNOWN</x:v>
      </x:c>
      <x:c r="H66" s="59" t="str">
        <x:v>UNKNOWN</x:v>
      </x:c>
      <x:c r="I66" s="59" t="str">
        <x:v>UNKNOWN</x:v>
      </x:c>
      <x:c r="J66" s="59" t="str">
        <x:v>P0</x:v>
      </x:c>
    </x:row>
    <x:row r="67" ht="38" customHeight="1">
      <x:c r="A67" s="59" t="str">
        <x:v>SUW_RADK_WOLICA_3_2024</x:v>
      </x:c>
      <x:c r="B67" s="59" t="str">
        <x:v>Decyzja 3/2024 — przebudowa odcinka Radkowice–Wolica</x:v>
      </x:c>
      <x:c r="C67" s="59" t="str">
        <x:v>PGE Dystrybucja — wnioskodawca</x:v>
      </x:c>
      <x:c r="D67" s="59" t="str">
        <x:v>grid_investment_administrative_decision</x:v>
      </x:c>
      <x:c r="E67" s="59" t="str">
        <x:v>CONTENT_REVIEWED</x:v>
      </x:c>
      <x:c r="F67" s="60" t="n">
        <x:v>46276</x:v>
      </x:c>
      <x:c r="G67" s="59" t="str">
        <x:v>UNKNOWN</x:v>
      </x:c>
      <x:c r="H67" s="59" t="str">
        <x:v>UNKNOWN</x:v>
      </x:c>
      <x:c r="I67" s="59" t="str">
        <x:v>UNKNOWN</x:v>
      </x:c>
      <x:c r="J67" s="59" t="str">
        <x:v>P0</x:v>
      </x:c>
    </x:row>
  </x:sheetData>
  <x:pageMargins left="0.7" right="0.7" top="0.75" bottom="0.75" header="0.3" footer="0.3"/>
  <x:tableParts count="1">
    <x:tablePart xmlns:r="http://schemas.openxmlformats.org/officeDocument/2006/relationships" r:id="R1792e1f66fc742e1"/>
  </x:tableParts>
</x:worksheet>
</file>

<file path=xl/worksheets/sheet6.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46275</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Jednorazowy przegląd; brak zgody na stały scraper wynikającej z samego dostępu. Sprawdzić warunki, robots.txt i limity przed wdrożeniem.</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DISCOVERED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30" customHeight="1">
      <x:c r="A1043" s="59" t="str">
        <x:v>PGE_EXPORT_DISCOVERY</x:v>
      </x:c>
      <x:c r="B1043" s="59" t="str">
        <x:v>known_limitations</x:v>
      </x:c>
      <x:c r="C1043" s="59" t="str">
        <x:v>[ "Treść i aktualność niepotwierdzone; nazwa sugeruje historyczny kwartał."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46275</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Jednorazowy przegląd; brak zgody na stały scraper wynikającej z samego dostępu. Sprawdzić warunki, robots.txt i limity przed wdrożeniem.</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30" customHeight="1">
      <x:c r="A1086" s="59" t="str">
        <x:v>PGE_PLAN_DISCOVERY</x:v>
      </x:c>
      <x:c r="B1086" s="59" t="str">
        <x:v>known_limitations</x:v>
      </x:c>
      <x:c r="C1086" s="59" t="str">
        <x:v>[ "Nie potwierdzono pełnego tekstu ani aktualnego statusu uzgodnienia."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PSE_INVESTMENTS_RADK</x:v>
      </x:c>
      <x:c r="B2425" s="59" t="str">
        <x:v>country</x:v>
      </x:c>
      <x:c r="C2425" s="59" t="str">
        <x:v>PL</x:v>
      </x:c>
    </x:row>
    <x:row r="2426" ht="30" customHeight="1">
      <x:c r="A2426" s="59" t="str">
        <x:v>PSE_INVESTMENTS_RADK</x:v>
      </x:c>
      <x:c r="B2426" s="59" t="str">
        <x:v>geographical_scope</x:v>
      </x:c>
      <x:c r="C2426" s="59" t="str">
        <x:v>Polska; do pilota odczytano sekcję Radkowice</x:v>
      </x:c>
    </x:row>
    <x:row r="2427" ht="30" customHeight="1">
      <x:c r="A2427" s="59" t="str">
        <x:v>PSE_INVESTMENTS_RADK</x:v>
      </x:c>
      <x:c r="B2427" s="59" t="str">
        <x:v>grid_voltage</x:v>
      </x:c>
      <x:c r="C2427" s="59" t="str">
        <x:v>[ "220 kV", "110 kV" ]</x:v>
      </x:c>
    </x:row>
    <x:row r="2428" ht="30" customHeight="1">
      <x:c r="A2428" s="59" t="str">
        <x:v>PSE_INVESTMENTS_RADK</x:v>
      </x:c>
      <x:c r="B2428" s="59" t="str">
        <x:v>api_available</x:v>
      </x:c>
      <x:c r="C2428" s="59" t="str">
        <x:v>UNKNOWN</x:v>
      </x:c>
    </x:row>
    <x:row r="2429" ht="30" customHeight="1">
      <x:c r="A2429" s="59" t="str">
        <x:v>PSE_INVESTMENTS_RADK</x:v>
      </x:c>
      <x:c r="B2429" s="59" t="str">
        <x:v>gis_available</x:v>
      </x:c>
      <x:c r="C2429" s="59" t="str">
        <x:v>UNKNOWN</x:v>
      </x:c>
    </x:row>
    <x:row r="2430" ht="30" customHeight="1">
      <x:c r="A2430" s="59" t="str">
        <x:v>PSE_INVESTMENTS_RADK</x:v>
      </x:c>
      <x:c r="B2430" s="59" t="str">
        <x:v>update_frequency</x:v>
      </x:c>
      <x:c r="C2430" s="59" t="str">
        <x:v>UNKNOWN — nie ustalono gwarantowanego cyklu publikacji.</x:v>
      </x:c>
    </x:row>
    <x:row r="2431" ht="30" customHeight="1">
      <x:c r="A2431" s="59" t="str">
        <x:v>PSE_INVESTMENTS_RADK</x:v>
      </x:c>
      <x:c r="B2431" s="59" t="str">
        <x:v>historical_data</x:v>
      </x:c>
      <x:c r="C2431" s="59" t="str">
        <x:v>UNKNOWN — własne snapshoty od 10.09.2026, jeśli zapisano próbkę.</x:v>
      </x:c>
    </x:row>
    <x:row r="2432" ht="30" customHeight="1">
      <x:c r="A2432" s="59" t="str">
        <x:v>PSE_INVESTMENTS_RADK</x:v>
      </x:c>
      <x:c r="B2432" s="59" t="str">
        <x:v>authentication</x:v>
      </x:c>
      <x:c r="C2432" s="59" t="str">
        <x:v>Odczyt publicznej strony bez konta; nie dowodzi dostępu do wszystkich danych.</x:v>
      </x:c>
    </x:row>
    <x:row r="2433" ht="30" customHeight="1">
      <x:c r="A2433" s="59" t="str">
        <x:v>PSE_INVESTMENTS_RADK</x:v>
      </x:c>
      <x:c r="B2433" s="59" t="str">
        <x:v>license</x:v>
      </x:c>
      <x:c r="C2433" s="59" t="str">
        <x:v>UNKNOWN — nie potwierdzono otwartej licencji wybranego zbioru.</x:v>
      </x:c>
    </x:row>
    <x:row r="2434" ht="30" customHeight="1">
      <x:c r="A2434" s="59" t="str">
        <x:v>PSE_INVESTMENTS_RADK</x:v>
      </x:c>
      <x:c r="B2434" s="59" t="str">
        <x:v>license_url</x:v>
      </x:c>
      <x:c r="C2434" s="59" t="str">
        <x:v>UNKNOWN — nie ustalono</x:v>
      </x:c>
    </x:row>
    <x:row r="2435" ht="30" customHeight="1">
      <x:c r="A2435" s="59" t="str">
        <x:v>PSE_INVESTMENTS_RADK</x:v>
      </x:c>
      <x:c r="B2435" s="59" t="str">
        <x:v>commercial_use</x:v>
      </x:c>
      <x:c r="C2435" s="59" t="str">
        <x:v>UNKNOWN</x:v>
      </x:c>
    </x:row>
    <x:row r="2436" ht="30" customHeight="1">
      <x:c r="A2436" s="59" t="str">
        <x:v>PSE_INVESTMENTS_RADK</x:v>
      </x:c>
      <x:c r="B2436" s="59" t="str">
        <x:v>machine_readable</x:v>
      </x:c>
      <x:c r="C2436" s="59" t="str">
        <x:v>PARTIAL — HTML wymaga rozpoznania sekcji</x:v>
      </x:c>
    </x:row>
    <x:row r="2437" ht="30" customHeight="1">
      <x:c r="A2437" s="59" t="str">
        <x:v>PSE_INVESTMENTS_RADK</x:v>
      </x:c>
      <x:c r="B2437" s="59" t="str">
        <x:v>scraping_required</x:v>
      </x:c>
      <x:c r="C2437" s="59" t="str">
        <x:v>YES — dla tego widoku HTML; brak wdrożonego cyklicznego scrapera</x:v>
      </x:c>
    </x:row>
    <x:row r="2438" ht="30" customHeight="1">
      <x:c r="A2438" s="59" t="str">
        <x:v>PSE_INVESTMENTS_RADK</x:v>
      </x:c>
      <x:c r="B2438" s="59" t="str">
        <x:v>data_quality_score</x:v>
      </x:c>
      <x:c r="C2438" s="59" t="str">
        <x:v>UNKNOWN — nie ustalono</x:v>
      </x:c>
    </x:row>
    <x:row r="2439" ht="30" customHeight="1">
      <x:c r="A2439" s="59" t="str">
        <x:v>PSE_INVESTMENTS_RADK</x:v>
      </x:c>
      <x:c r="B2439" s="59" t="str">
        <x:v>quality_score_status</x:v>
      </x:c>
      <x:c r="C2439" s="59" t="str">
        <x:v>NOT_CALIBRATED — autorytet źródła nie jest procentem kompletności lub trafności.</x:v>
      </x:c>
    </x:row>
    <x:row r="2440" ht="30" customHeight="1">
      <x:c r="A2440" s="59" t="str">
        <x:v>PSE_INVESTMENTS_RADK</x:v>
      </x:c>
      <x:c r="B2440" s="59" t="str">
        <x:v>last_verified</x:v>
      </x:c>
      <x:c r="C2440" s="60" t="n">
        <x:v>46276</x:v>
      </x:c>
    </x:row>
    <x:row r="2441" ht="30" customHeight="1">
      <x:c r="A2441" s="59" t="str">
        <x:v>PSE_INVESTMENTS_RADK</x:v>
      </x:c>
      <x:c r="B2441" s="59" t="str">
        <x:v>last_successful_verification</x:v>
      </x:c>
      <x:c r="C2441" s="60" t="n">
        <x:v>46276</x:v>
      </x:c>
    </x:row>
    <x:row r="2442" ht="30" customHeight="1">
      <x:c r="A2442" s="59" t="str">
        <x:v>PSE_INVESTMENTS_RADK</x:v>
      </x:c>
      <x:c r="B2442" s="59" t="str">
        <x:v>source_date</x:v>
      </x:c>
      <x:c r="C2442" s="59" t="str">
        <x:v>UNKNOWN — nie ustalono</x:v>
      </x:c>
    </x:row>
    <x:row r="2443" ht="30" customHeight="1">
      <x:c r="A2443" s="59" t="str">
        <x:v>PSE_INVESTMENTS_RADK</x:v>
      </x:c>
      <x:c r="B2443" s="59" t="str">
        <x:v>publication_date</x:v>
      </x:c>
      <x:c r="C2443" s="59" t="str">
        <x:v>UNKNOWN — nie ustalono</x:v>
      </x:c>
    </x:row>
    <x:row r="2444" ht="30" customHeight="1">
      <x:c r="A2444" s="59" t="str">
        <x:v>PSE_INVESTMENTS_RADK</x:v>
      </x:c>
      <x:c r="B2444" s="59" t="str">
        <x:v>source_version</x:v>
      </x:c>
      <x:c r="C2444" s="59" t="str">
        <x:v>UNKNOWN — nie ustalono</x:v>
      </x:c>
    </x:row>
    <x:row r="2445" ht="30" customHeight="1">
      <x:c r="A2445" s="59" t="str">
        <x:v>PSE_INVESTMENTS_RADK</x:v>
      </x:c>
      <x:c r="B2445" s="59" t="str">
        <x:v>source_page</x:v>
      </x:c>
      <x:c r="C2445" s="59" t="str">
        <x:v>UNKNOWN — nie ustalono</x:v>
      </x:c>
    </x:row>
    <x:row r="2446" ht="30" customHeight="1">
      <x:c r="A2446" s="59" t="str">
        <x:v>PSE_INVESTMENTS_RADK</x:v>
      </x:c>
      <x:c r="B2446" s="59" t="str">
        <x:v>valid_from</x:v>
      </x:c>
      <x:c r="C2446" s="59" t="str">
        <x:v>UNKNOWN — nie ustalono</x:v>
      </x:c>
    </x:row>
    <x:row r="2447" ht="30" customHeight="1">
      <x:c r="A2447" s="59" t="str">
        <x:v>PSE_INVESTMENTS_RADK</x:v>
      </x:c>
      <x:c r="B2447" s="59" t="str">
        <x:v>valid_to</x:v>
      </x:c>
      <x:c r="C2447" s="59" t="str">
        <x:v>UNKNOWN — nie ustalono</x:v>
      </x:c>
    </x:row>
    <x:row r="2448" ht="30" customHeight="1">
      <x:c r="A2448" s="59" t="str">
        <x:v>PSE_INVESTMENTS_RADK</x:v>
      </x:c>
      <x:c r="B2448" s="59" t="str">
        <x:v>current_future_scope</x:v>
      </x:c>
      <x:c r="C2448" s="59" t="str">
        <x:v>SOURCE_DEPENDENT</x:v>
      </x:c>
    </x:row>
    <x:row r="2449" ht="30" customHeight="1">
      <x:c r="A2449" s="59" t="str">
        <x:v>PSE_INVESTMENTS_RADK</x:v>
      </x:c>
      <x:c r="B2449" s="59" t="str">
        <x:v>value_classification_default</x:v>
      </x:c>
      <x:c r="C2449" s="59" t="str">
        <x:v>REPORTED</x:v>
      </x:c>
    </x:row>
    <x:row r="2450" ht="38" customHeight="1">
      <x:c r="A2450" s="59" t="str">
        <x:v>PSE_INVESTMENTS_RADK</x:v>
      </x:c>
      <x:c r="B2450" s="59" t="str">
        <x:v>automation_notes</x:v>
      </x:c>
      <x:c r="C2450" s="59" t="str">
        <x:v>Jednorazowy przegląd; brak zgody na stały scraper wynikającej z samego dostępu. Sprawdzić warunki, robots.txt i limity przed wdrożeniem.</x:v>
      </x:c>
    </x:row>
    <x:row r="2451" ht="30" customHeight="1">
      <x:c r="A2451" s="59" t="str">
        <x:v>PSE_INVESTMENTS_RADK</x:v>
      </x:c>
      <x:c r="B2451" s="59" t="str">
        <x:v>probe_ids</x:v>
      </x:c>
      <x:c r="C2451" s="59" t="str">
        <x:v>[ "PSE_INVESTMENTS_RADK" ]</x:v>
      </x:c>
    </x:row>
    <x:row r="2452" ht="30" customHeight="1">
      <x:c r="A2452" s="59" t="str">
        <x:v>PSE_INVESTMENTS_RADK</x:v>
      </x:c>
      <x:c r="B2452" s="59" t="str">
        <x:v>related_urls</x:v>
      </x:c>
      <x:c r="C2452" s="59" t="str">
        <x:v>[]</x:v>
      </x:c>
    </x:row>
    <x:row r="2453" ht="30" customHeight="1">
      <x:c r="A2453" s="59" t="str">
        <x:v>PSE_INVESTMENTS_RADK</x:v>
      </x:c>
      <x:c r="B2453" s="59" t="str">
        <x:v>source_id</x:v>
      </x:c>
      <x:c r="C2453" s="59" t="str">
        <x:v>PSE_INVESTMENTS_RADK</x:v>
      </x:c>
    </x:row>
    <x:row r="2454" ht="30" customHeight="1">
      <x:c r="A2454" s="59" t="str">
        <x:v>PSE_INVESTMENTS_RADK</x:v>
      </x:c>
      <x:c r="B2454" s="59" t="str">
        <x:v>operator</x:v>
      </x:c>
      <x:c r="C2454" s="59" t="str">
        <x:v>PSE</x:v>
      </x:c>
    </x:row>
    <x:row r="2455" ht="30" customHeight="1">
      <x:c r="A2455" s="59" t="str">
        <x:v>PSE_INVESTMENTS_RADK</x:v>
      </x:c>
      <x:c r="B2455" s="59" t="str">
        <x:v>source_name</x:v>
      </x:c>
      <x:c r="C2455" s="59" t="str">
        <x:v>Portal inwestycji PSE — sekcja Radkowice</x:v>
      </x:c>
    </x:row>
    <x:row r="2456" ht="30" customHeight="1">
      <x:c r="A2456" s="59" t="str">
        <x:v>PSE_INVESTMENTS_RADK</x:v>
      </x:c>
      <x:c r="B2456" s="59" t="str">
        <x:v>url</x:v>
      </x:c>
      <x:c r="C2456" s="59" t="str">
        <x:v>https://inwestycje.pse.pl/</x:v>
      </x:c>
    </x:row>
    <x:row r="2457" ht="30" customHeight="1">
      <x:c r="A2457" s="59" t="str">
        <x:v>PSE_INVESTMENTS_RADK</x:v>
      </x:c>
      <x:c r="B2457" s="59" t="str">
        <x:v>data_owner</x:v>
      </x:c>
      <x:c r="C2457" s="59" t="str">
        <x:v>PSE S.A.</x:v>
      </x:c>
    </x:row>
    <x:row r="2458" ht="30" customHeight="1">
      <x:c r="A2458" s="59" t="str">
        <x:v>PSE_INVESTMENTS_RADK</x:v>
      </x:c>
      <x:c r="B2458" s="59" t="str">
        <x:v>data_category</x:v>
      </x:c>
      <x:c r="C2458" s="59" t="str">
        <x:v>grid_investments</x:v>
      </x:c>
    </x:row>
    <x:row r="2459" ht="30" customHeight="1">
      <x:c r="A2459" s="59" t="str">
        <x:v>PSE_INVESTMENTS_RADK</x:v>
      </x:c>
      <x:c r="B2459" s="59" t="str">
        <x:v>data_format</x:v>
      </x:c>
      <x:c r="C2459" s="59" t="str">
        <x:v>[ "HTML" ]</x:v>
      </x:c>
    </x:row>
    <x:row r="2460" ht="30" customHeight="1">
      <x:c r="A2460" s="59" t="str">
        <x:v>PSE_INVESTMENTS_RADK</x:v>
      </x:c>
      <x:c r="B2460" s="59" t="str">
        <x:v>verification_status</x:v>
      </x:c>
      <x:c r="C2460" s="59" t="str">
        <x:v>CONTENT_REVIEWED</x:v>
      </x:c>
    </x:row>
    <x:row r="2461" ht="30" customHeight="1">
      <x:c r="A2461" s="59" t="str">
        <x:v>PSE_INVESTMENTS_RADK</x:v>
      </x:c>
      <x:c r="B2461" s="59" t="str">
        <x:v>reliability</x:v>
      </x:c>
      <x:c r="C2461" s="59" t="str">
        <x:v>B</x:v>
      </x:c>
    </x:row>
    <x:row r="2462" ht="30" customHeight="1">
      <x:c r="A2462" s="59" t="str">
        <x:v>PSE_INVESTMENTS_RADK</x:v>
      </x:c>
      <x:c r="B2462" s="59" t="str">
        <x:v>key_fields</x:v>
      </x:c>
      <x:c r="C2462" s="59" t="str">
        <x:v>[ "nazwa inwestycji", "etap", "status", "rok zakończenia" ]</x:v>
      </x:c>
    </x:row>
    <x:row r="2463" ht="30" customHeight="1">
      <x:c r="A2463" s="59" t="str">
        <x:v>PSE_INVESTMENTS_RADK</x:v>
      </x:c>
      <x:c r="B2463" s="59" t="str">
        <x:v>potential_application</x:v>
      </x:c>
      <x:c r="C2463" s="59" t="str">
        <x:v>Oddzielenie zakończonych i przyszłych prac w stacji pilota</x:v>
      </x:c>
    </x:row>
    <x:row r="2464" ht="38" customHeight="1">
      <x:c r="A2464" s="59" t="str">
        <x:v>PSE_INVESTMENTS_RADK</x:v>
      </x:c>
      <x:c r="B2464" s="59" t="str">
        <x:v>known_limitations</x:v>
      </x:c>
      <x:c r="C2464" s="59" t="str">
        <x:v>[ "Brak gwarantowanej częstotliwości aktualizacji i daty każdej zmiany", "Wspólna nazwa stacji nie identyfikuje automatycznie tego samego zadania lub transformatora" ]</x:v>
      </x:c>
    </x:row>
    <x:row r="2465" ht="30" customHeight="1">
      <x:c r="A2465" s="59" t="str">
        <x:v>PSE_INVESTMENTS_RADK</x:v>
      </x:c>
      <x:c r="B2465" s="59" t="str">
        <x:v>priority</x:v>
      </x:c>
      <x:c r="C2465" s="59" t="str">
        <x:v>P0</x:v>
      </x:c>
    </x:row>
    <x:row r="2466" ht="66" customHeight="1">
      <x:c r="A2466" s="59" t="str">
        <x:v>PSE_INVESTMENTS_RADK</x:v>
      </x:c>
      <x:c r="B2466" s="59" t="str">
        <x:v>evidence</x:v>
      </x:c>
      <x:c r="C2466" s="59" t="str">
        <x:v>[ { "retrieval_date": "2026-09-11T10:42:22.0922672Z", "http_status": 200, "sha256": "2d03643156da9b3d1886353d58491131b3cefed680fa23f45afd2056ff3d8b73", "local_path": "data/raw/research/2026-09-11/pse_investments.html", "content_type": "text/html; charset=UTF-8", "url": "https://inwestycje.pse.pl/", "bytes": 696937, "source_id": "PSE_INVESTMENTS_RADK", "manifest": "data/catalog/radkowice_snapshot_manifest.json" } ]</x:v>
      </x:c>
    </x:row>
    <x:row r="2467" ht="30" customHeight="1">
      <x:c r="A2467" s="59" t="str">
        <x:v>PSE_INVESTMENTS_RADK</x:v>
      </x:c>
      <x:c r="B2467" s="59" t="str">
        <x:v>retrieval_date</x:v>
      </x:c>
      <x:c r="C2467" s="59" t="str">
        <x:v>[ "2026-09-11T10:42:22.0922672Z" ]</x:v>
      </x:c>
    </x:row>
    <x:row r="2468" ht="30" customHeight="1">
      <x:c r="A2468" s="59" t="str">
        <x:v>CHECINY_ENERGY_PLAN</x:v>
      </x:c>
      <x:c r="B2468" s="59" t="str">
        <x:v>country</x:v>
      </x:c>
      <x:c r="C2468" s="59" t="str">
        <x:v>PL</x:v>
      </x:c>
    </x:row>
    <x:row r="2469" ht="30" customHeight="1">
      <x:c r="A2469" s="59" t="str">
        <x:v>CHECINY_ENERGY_PLAN</x:v>
      </x:c>
      <x:c r="B2469" s="59" t="str">
        <x:v>geographical_scope</x:v>
      </x:c>
      <x:c r="C2469" s="59" t="str">
        <x:v>Gmina Chęciny i opisane powiązania sieciowe</x:v>
      </x:c>
    </x:row>
    <x:row r="2470" ht="30" customHeight="1">
      <x:c r="A2470" s="59" t="str">
        <x:v>CHECINY_ENERGY_PLAN</x:v>
      </x:c>
      <x:c r="B2470" s="59" t="str">
        <x:v>grid_voltage</x:v>
      </x:c>
      <x:c r="C2470" s="59" t="str">
        <x:v>[ "220 kV", "110 kV", "SN" ]</x:v>
      </x:c>
    </x:row>
    <x:row r="2471" ht="30" customHeight="1">
      <x:c r="A2471" s="59" t="str">
        <x:v>CHECINY_ENERGY_PLAN</x:v>
      </x:c>
      <x:c r="B2471" s="59" t="str">
        <x:v>api_available</x:v>
      </x:c>
      <x:c r="C2471" s="59" t="str">
        <x:v>UNKNOWN</x:v>
      </x:c>
    </x:row>
    <x:row r="2472" ht="30" customHeight="1">
      <x:c r="A2472" s="59" t="str">
        <x:v>CHECINY_ENERGY_PLAN</x:v>
      </x:c>
      <x:c r="B2472" s="59" t="str">
        <x:v>gis_available</x:v>
      </x:c>
      <x:c r="C2472" s="59" t="str">
        <x:v>UNKNOWN</x:v>
      </x:c>
    </x:row>
    <x:row r="2473" ht="30" customHeight="1">
      <x:c r="A2473" s="59" t="str">
        <x:v>CHECINY_ENERGY_PLAN</x:v>
      </x:c>
      <x:c r="B2473" s="59" t="str">
        <x:v>update_frequency</x:v>
      </x:c>
      <x:c r="C2473" s="59" t="str">
        <x:v>UNKNOWN — nie ustalono gwarantowanego cyklu publikacji.</x:v>
      </x:c>
    </x:row>
    <x:row r="2474" ht="30" customHeight="1">
      <x:c r="A2474" s="59" t="str">
        <x:v>CHECINY_ENERGY_PLAN</x:v>
      </x:c>
      <x:c r="B2474" s="59" t="str">
        <x:v>historical_data</x:v>
      </x:c>
      <x:c r="C2474" s="59" t="str">
        <x:v>UNKNOWN — własne snapshoty od 10.09.2026, jeśli zapisano próbkę.</x:v>
      </x:c>
    </x:row>
    <x:row r="2475" ht="30" customHeight="1">
      <x:c r="A2475" s="59" t="str">
        <x:v>CHECINY_ENERGY_PLAN</x:v>
      </x:c>
      <x:c r="B2475" s="59" t="str">
        <x:v>authentication</x:v>
      </x:c>
      <x:c r="C2475" s="59" t="str">
        <x:v>Odczyt publicznej strony bez konta; nie dowodzi dostępu do wszystkich danych.</x:v>
      </x:c>
    </x:row>
    <x:row r="2476" ht="30" customHeight="1">
      <x:c r="A2476" s="59" t="str">
        <x:v>CHECINY_ENERGY_PLAN</x:v>
      </x:c>
      <x:c r="B2476" s="59" t="str">
        <x:v>license</x:v>
      </x:c>
      <x:c r="C2476" s="59" t="str">
        <x:v>UNKNOWN — nie potwierdzono otwartej licencji wybranego zbioru.</x:v>
      </x:c>
    </x:row>
    <x:row r="2477" ht="30" customHeight="1">
      <x:c r="A2477" s="59" t="str">
        <x:v>CHECINY_ENERGY_PLAN</x:v>
      </x:c>
      <x:c r="B2477" s="59" t="str">
        <x:v>license_url</x:v>
      </x:c>
      <x:c r="C2477" s="59" t="str">
        <x:v>UNKNOWN — nie ustalono</x:v>
      </x:c>
    </x:row>
    <x:row r="2478" ht="30" customHeight="1">
      <x:c r="A2478" s="59" t="str">
        <x:v>CHECINY_ENERGY_PLAN</x:v>
      </x:c>
      <x:c r="B2478" s="59" t="str">
        <x:v>commercial_use</x:v>
      </x:c>
      <x:c r="C2478" s="59" t="str">
        <x:v>UNKNOWN</x:v>
      </x:c>
    </x:row>
    <x:row r="2479" ht="30" customHeight="1">
      <x:c r="A2479" s="59" t="str">
        <x:v>CHECINY_ENERGY_PLAN</x:v>
      </x:c>
      <x:c r="B2479" s="59" t="str">
        <x:v>machine_readable</x:v>
      </x:c>
      <x:c r="C2479" s="59" t="str">
        <x:v>PARTIAL — tekst PDF i schematy</x:v>
      </x:c>
    </x:row>
    <x:row r="2480" ht="30" customHeight="1">
      <x:c r="A2480" s="59" t="str">
        <x:v>CHECINY_ENERGY_PLAN</x:v>
      </x:c>
      <x:c r="B2480" s="59" t="str">
        <x:v>scraping_required</x:v>
      </x:c>
      <x:c r="C2480" s="59" t="str">
        <x:v>NO — bezpośredni PDF; ekstrakcja i kontrola dokumentu</x:v>
      </x:c>
    </x:row>
    <x:row r="2481" ht="30" customHeight="1">
      <x:c r="A2481" s="59" t="str">
        <x:v>CHECINY_ENERGY_PLAN</x:v>
      </x:c>
      <x:c r="B2481" s="59" t="str">
        <x:v>data_quality_score</x:v>
      </x:c>
      <x:c r="C2481" s="59" t="str">
        <x:v>UNKNOWN — nie ustalono</x:v>
      </x:c>
    </x:row>
    <x:row r="2482" ht="30" customHeight="1">
      <x:c r="A2482" s="59" t="str">
        <x:v>CHECINY_ENERGY_PLAN</x:v>
      </x:c>
      <x:c r="B2482" s="59" t="str">
        <x:v>quality_score_status</x:v>
      </x:c>
      <x:c r="C2482" s="59" t="str">
        <x:v>NOT_CALIBRATED — autorytet źródła nie jest procentem kompletności lub trafności.</x:v>
      </x:c>
    </x:row>
    <x:row r="2483" ht="30" customHeight="1">
      <x:c r="A2483" s="59" t="str">
        <x:v>CHECINY_ENERGY_PLAN</x:v>
      </x:c>
      <x:c r="B2483" s="59" t="str">
        <x:v>last_verified</x:v>
      </x:c>
      <x:c r="C2483" s="60" t="n">
        <x:v>46276</x:v>
      </x:c>
    </x:row>
    <x:row r="2484" ht="30" customHeight="1">
      <x:c r="A2484" s="59" t="str">
        <x:v>CHECINY_ENERGY_PLAN</x:v>
      </x:c>
      <x:c r="B2484" s="59" t="str">
        <x:v>last_successful_verification</x:v>
      </x:c>
      <x:c r="C2484" s="60" t="n">
        <x:v>46276</x:v>
      </x:c>
    </x:row>
    <x:row r="2485" ht="30" customHeight="1">
      <x:c r="A2485" s="59" t="str">
        <x:v>CHECINY_ENERGY_PLAN</x:v>
      </x:c>
      <x:c r="B2485" s="59" t="str">
        <x:v>source_date</x:v>
      </x:c>
      <x:c r="C2485" s="59" t="str">
        <x:v>UNKNOWN — nie ustalono</x:v>
      </x:c>
    </x:row>
    <x:row r="2486" ht="30" customHeight="1">
      <x:c r="A2486" s="59" t="str">
        <x:v>CHECINY_ENERGY_PLAN</x:v>
      </x:c>
      <x:c r="B2486" s="59" t="str">
        <x:v>publication_date</x:v>
      </x:c>
      <x:c r="C2486" s="59" t="str">
        <x:v>UNKNOWN — nie ustalono</x:v>
      </x:c>
    </x:row>
    <x:row r="2487" ht="30" customHeight="1">
      <x:c r="A2487" s="59" t="str">
        <x:v>CHECINY_ENERGY_PLAN</x:v>
      </x:c>
      <x:c r="B2487" s="59" t="str">
        <x:v>source_version</x:v>
      </x:c>
      <x:c r="C2487" s="59" t="str">
        <x:v>UNKNOWN — nie ustalono</x:v>
      </x:c>
    </x:row>
    <x:row r="2488" ht="30" customHeight="1">
      <x:c r="A2488" s="59" t="str">
        <x:v>CHECINY_ENERGY_PLAN</x:v>
      </x:c>
      <x:c r="B2488" s="59" t="str">
        <x:v>source_page</x:v>
      </x:c>
      <x:c r="C2488" s="59" t="str">
        <x:v>21–25 (numeracja PDF od 1)</x:v>
      </x:c>
    </x:row>
    <x:row r="2489" ht="30" customHeight="1">
      <x:c r="A2489" s="59" t="str">
        <x:v>CHECINY_ENERGY_PLAN</x:v>
      </x:c>
      <x:c r="B2489" s="59" t="str">
        <x:v>valid_from</x:v>
      </x:c>
      <x:c r="C2489" s="59" t="str">
        <x:v>UNKNOWN — nie ustalono</x:v>
      </x:c>
    </x:row>
    <x:row r="2490" ht="30" customHeight="1">
      <x:c r="A2490" s="59" t="str">
        <x:v>CHECINY_ENERGY_PLAN</x:v>
      </x:c>
      <x:c r="B2490" s="59" t="str">
        <x:v>valid_to</x:v>
      </x:c>
      <x:c r="C2490" s="59" t="str">
        <x:v>UNKNOWN — nie ustalono</x:v>
      </x:c>
    </x:row>
    <x:row r="2491" ht="30" customHeight="1">
      <x:c r="A2491" s="59" t="str">
        <x:v>CHECINY_ENERGY_PLAN</x:v>
      </x:c>
      <x:c r="B2491" s="59" t="str">
        <x:v>current_future_scope</x:v>
      </x:c>
      <x:c r="C2491" s="59" t="str">
        <x:v>SOURCE_DEPENDENT</x:v>
      </x:c>
    </x:row>
    <x:row r="2492" ht="30" customHeight="1">
      <x:c r="A2492" s="59" t="str">
        <x:v>CHECINY_ENERGY_PLAN</x:v>
      </x:c>
      <x:c r="B2492" s="59" t="str">
        <x:v>value_classification_default</x:v>
      </x:c>
      <x:c r="C2492" s="59" t="str">
        <x:v>REPORTED</x:v>
      </x:c>
    </x:row>
    <x:row r="2493" ht="38" customHeight="1">
      <x:c r="A2493" s="59" t="str">
        <x:v>CHECINY_ENERGY_PLAN</x:v>
      </x:c>
      <x:c r="B2493" s="59" t="str">
        <x:v>automation_notes</x:v>
      </x:c>
      <x:c r="C2493" s="59" t="str">
        <x:v>Jednorazowy przegląd; brak zgody na stały scraper wynikającej z samego dostępu. Sprawdzić warunki, robots.txt i limity przed wdrożeniem.</x:v>
      </x:c>
    </x:row>
    <x:row r="2494" ht="30" customHeight="1">
      <x:c r="A2494" s="59" t="str">
        <x:v>CHECINY_ENERGY_PLAN</x:v>
      </x:c>
      <x:c r="B2494" s="59" t="str">
        <x:v>probe_ids</x:v>
      </x:c>
      <x:c r="C2494" s="59" t="str">
        <x:v>[ "CHECINY_ENERGY_PLAN" ]</x:v>
      </x:c>
    </x:row>
    <x:row r="2495" ht="30" customHeight="1">
      <x:c r="A2495" s="59" t="str">
        <x:v>CHECINY_ENERGY_PLAN</x:v>
      </x:c>
      <x:c r="B2495" s="59" t="str">
        <x:v>related_urls</x:v>
      </x:c>
      <x:c r="C2495" s="59" t="str">
        <x:v>[]</x:v>
      </x:c>
    </x:row>
    <x:row r="2496" ht="30" customHeight="1">
      <x:c r="A2496" s="59" t="str">
        <x:v>CHECINY_ENERGY_PLAN</x:v>
      </x:c>
      <x:c r="B2496" s="59" t="str">
        <x:v>source_id</x:v>
      </x:c>
      <x:c r="C2496" s="59" t="str">
        <x:v>CHECINY_ENERGY_PLAN</x:v>
      </x:c>
    </x:row>
    <x:row r="2497" ht="30" customHeight="1">
      <x:c r="A2497" s="59" t="str">
        <x:v>CHECINY_ENERGY_PLAN</x:v>
      </x:c>
      <x:c r="B2497" s="59" t="str">
        <x:v>operator</x:v>
      </x:c>
      <x:c r="C2497" s="59" t="str">
        <x:v>PSE / PGE — informacje przypisane w dokumencie gminy</x:v>
      </x:c>
    </x:row>
    <x:row r="2498" ht="30" customHeight="1">
      <x:c r="A2498" s="59" t="str">
        <x:v>CHECINY_ENERGY_PLAN</x:v>
      </x:c>
      <x:c r="B2498" s="59" t="str">
        <x:v>source_name</x:v>
      </x:c>
      <x:c r="C2498" s="59" t="str">
        <x:v>BIP Chęcin — założenia energetyczne 2025–2027 z perspektywą 2040</x:v>
      </x:c>
    </x:row>
    <x:row r="2499" ht="30" customHeight="1">
      <x:c r="A2499" s="59" t="str">
        <x:v>CHECINY_ENERGY_PLAN</x:v>
      </x:c>
      <x:c r="B2499" s="59" t="str">
        <x:v>url</x:v>
      </x:c>
      <x:c r="C2499" s="59" t="str">
        <x:v>https://checiny.biuletyn.net/fls/bip_pliki/2026_03/BIPF64CD10561EC15Z/PZCEEPG_2025-2027.pdf</x:v>
      </x:c>
    </x:row>
    <x:row r="2500" ht="30" customHeight="1">
      <x:c r="A2500" s="59" t="str">
        <x:v>CHECINY_ENERGY_PLAN</x:v>
      </x:c>
      <x:c r="B2500" s="59" t="str">
        <x:v>data_owner</x:v>
      </x:c>
      <x:c r="C2500" s="59" t="str">
        <x:v>Gmina Chęciny — publikujący dokument; pierwotne dane PSE/PGE</x:v>
      </x:c>
    </x:row>
    <x:row r="2501" ht="30" customHeight="1">
      <x:c r="A2501" s="59" t="str">
        <x:v>CHECINY_ENERGY_PLAN</x:v>
      </x:c>
      <x:c r="B2501" s="59" t="str">
        <x:v>data_category</x:v>
      </x:c>
      <x:c r="C2501" s="59" t="str">
        <x:v>local_grid_and_investments</x:v>
      </x:c>
    </x:row>
    <x:row r="2502" ht="30" customHeight="1">
      <x:c r="A2502" s="59" t="str">
        <x:v>CHECINY_ENERGY_PLAN</x:v>
      </x:c>
      <x:c r="B2502" s="59" t="str">
        <x:v>data_format</x:v>
      </x:c>
      <x:c r="C2502" s="59" t="str">
        <x:v>[ "PDF" ]</x:v>
      </x:c>
    </x:row>
    <x:row r="2503" ht="30" customHeight="1">
      <x:c r="A2503" s="59" t="str">
        <x:v>CHECINY_ENERGY_PLAN</x:v>
      </x:c>
      <x:c r="B2503" s="59" t="str">
        <x:v>verification_status</x:v>
      </x:c>
      <x:c r="C2503" s="59" t="str">
        <x:v>CONTENT_REVIEWED</x:v>
      </x:c>
    </x:row>
    <x:row r="2504" ht="30" customHeight="1">
      <x:c r="A2504" s="59" t="str">
        <x:v>CHECINY_ENERGY_PLAN</x:v>
      </x:c>
      <x:c r="B2504" s="59" t="str">
        <x:v>reliability</x:v>
      </x:c>
      <x:c r="C2504" s="59" t="str">
        <x:v>C</x:v>
      </x:c>
    </x:row>
    <x:row r="2505" ht="30" customHeight="1">
      <x:c r="A2505" s="59" t="str">
        <x:v>CHECINY_ENERGY_PLAN</x:v>
      </x:c>
      <x:c r="B2505" s="59" t="str">
        <x:v>key_fields</x:v>
      </x:c>
      <x:c r="C2505" s="59" t="str">
        <x:v>[ "stacje", "relacje linii", "napięcia", "planowane inwestycje", "operator danych" ]</x:v>
      </x:c>
    </x:row>
    <x:row r="2506" ht="30" customHeight="1">
      <x:c r="A2506" s="59" t="str">
        <x:v>CHECINY_ENERGY_PLAN</x:v>
      </x:c>
      <x:c r="B2506" s="59" t="str">
        <x:v>potential_application</x:v>
      </x:c>
      <x:c r="C2506" s="59" t="str">
        <x:v>Dowody topologii referencyjnej i plany dla Radkowic</x:v>
      </x:c>
    </x:row>
    <x:row r="2507" ht="38" customHeight="1">
      <x:c r="A2507" s="59" t="str">
        <x:v>CHECINY_ENERGY_PLAN</x:v>
      </x:c>
      <x:c r="B2507" s="59" t="str">
        <x:v>known_limitations</x:v>
      </x:c>
      <x:c r="C2507" s="59" t="str">
        <x:v>[ "Mieszane daty wejść i starsze opisy planistyczne", "Nie potwierdza aktualnych granic własności ani obsady transformatorów", "Folder 2026_03 w URL nie jest datą obserwacji wszystkich wartości" ]</x:v>
      </x:c>
    </x:row>
    <x:row r="2508" ht="30" customHeight="1">
      <x:c r="A2508" s="59" t="str">
        <x:v>CHECINY_ENERGY_PLAN</x:v>
      </x:c>
      <x:c r="B2508" s="59" t="str">
        <x:v>priority</x:v>
      </x:c>
      <x:c r="C2508" s="59" t="str">
        <x:v>P0</x:v>
      </x:c>
    </x:row>
    <x:row r="2509" ht="80" customHeight="1">
      <x:c r="A2509" s="59" t="str">
        <x:v>CHECINY_ENERGY_PLAN</x:v>
      </x:c>
      <x:c r="B2509" s="59" t="str">
        <x:v>evidence</x:v>
      </x:c>
      <x:c r="C2509"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510" ht="30" customHeight="1">
      <x:c r="A2510" s="59" t="str">
        <x:v>CHECINY_ENERGY_PLAN</x:v>
      </x:c>
      <x:c r="B2510" s="59" t="str">
        <x:v>retrieval_date</x:v>
      </x:c>
      <x:c r="C2510" s="59" t="str">
        <x:v>[ "2026-09-11T10:42:22.6213255Z" ]</x:v>
      </x:c>
    </x:row>
    <x:row r="2511" ht="30" customHeight="1">
      <x:c r="A2511" s="59" t="str">
        <x:v>PSE_TARIFF_2026</x:v>
      </x:c>
      <x:c r="B2511" s="59" t="str">
        <x:v>country</x:v>
      </x:c>
      <x:c r="C2511" s="59" t="str">
        <x:v>PL</x:v>
      </x:c>
    </x:row>
    <x:row r="2512" ht="30" customHeight="1">
      <x:c r="A2512" s="59" t="str">
        <x:v>PSE_TARIFF_2026</x:v>
      </x:c>
      <x:c r="B2512" s="59" t="str">
        <x:v>geographical_scope</x:v>
      </x:c>
      <x:c r="C2512" s="59" t="str">
        <x:v>Zakres publikacji danego operatora/instytucji; nie założono pełnego pokrycia kraju.</x:v>
      </x:c>
    </x:row>
    <x:row r="2513" ht="30" customHeight="1">
      <x:c r="A2513" s="59" t="str">
        <x:v>PSE_TARIFF_2026</x:v>
      </x:c>
      <x:c r="B2513" s="59" t="str">
        <x:v>grid_voltage</x:v>
      </x:c>
      <x:c r="C2513" s="59" t="str">
        <x:v>[ "UNKNOWN_OR_NOT_APPLICABLE" ]</x:v>
      </x:c>
    </x:row>
    <x:row r="2514" ht="30" customHeight="1">
      <x:c r="A2514" s="59" t="str">
        <x:v>PSE_TARIFF_2026</x:v>
      </x:c>
      <x:c r="B2514" s="59" t="str">
        <x:v>api_available</x:v>
      </x:c>
      <x:c r="C2514" s="59" t="str">
        <x:v>UNKNOWN</x:v>
      </x:c>
    </x:row>
    <x:row r="2515" ht="30" customHeight="1">
      <x:c r="A2515" s="59" t="str">
        <x:v>PSE_TARIFF_2026</x:v>
      </x:c>
      <x:c r="B2515" s="59" t="str">
        <x:v>gis_available</x:v>
      </x:c>
      <x:c r="C2515" s="59" t="str">
        <x:v>UNKNOWN</x:v>
      </x:c>
    </x:row>
    <x:row r="2516" ht="30" customHeight="1">
      <x:c r="A2516" s="59" t="str">
        <x:v>PSE_TARIFF_2026</x:v>
      </x:c>
      <x:c r="B2516" s="59" t="str">
        <x:v>update_frequency</x:v>
      </x:c>
      <x:c r="C2516" s="59" t="str">
        <x:v>UNKNOWN — nie ustalono gwarantowanego cyklu publikacji.</x:v>
      </x:c>
    </x:row>
    <x:row r="2517" ht="30" customHeight="1">
      <x:c r="A2517" s="59" t="str">
        <x:v>PSE_TARIFF_2026</x:v>
      </x:c>
      <x:c r="B2517" s="59" t="str">
        <x:v>historical_data</x:v>
      </x:c>
      <x:c r="C2517" s="59" t="str">
        <x:v>UNKNOWN — własne snapshoty od 10.09.2026, jeśli zapisano próbkę.</x:v>
      </x:c>
    </x:row>
    <x:row r="2518" ht="30" customHeight="1">
      <x:c r="A2518" s="59" t="str">
        <x:v>PSE_TARIFF_2026</x:v>
      </x:c>
      <x:c r="B2518" s="59" t="str">
        <x:v>authentication</x:v>
      </x:c>
      <x:c r="C2518" s="59" t="str">
        <x:v>Odczyt publicznej strony bez konta; nie dowodzi dostępu do wszystkich danych.</x:v>
      </x:c>
    </x:row>
    <x:row r="2519" ht="30" customHeight="1">
      <x:c r="A2519" s="59" t="str">
        <x:v>PSE_TARIFF_2026</x:v>
      </x:c>
      <x:c r="B2519" s="59" t="str">
        <x:v>license</x:v>
      </x:c>
      <x:c r="C2519" s="59" t="str">
        <x:v>UNKNOWN — nie potwierdzono otwartej licencji wybranego zbioru.</x:v>
      </x:c>
    </x:row>
    <x:row r="2520" ht="30" customHeight="1">
      <x:c r="A2520" s="59" t="str">
        <x:v>PSE_TARIFF_2026</x:v>
      </x:c>
      <x:c r="B2520" s="59" t="str">
        <x:v>license_url</x:v>
      </x:c>
      <x:c r="C2520" s="59" t="str">
        <x:v>UNKNOWN — nie ustalono</x:v>
      </x:c>
    </x:row>
    <x:row r="2521" ht="30" customHeight="1">
      <x:c r="A2521" s="59" t="str">
        <x:v>PSE_TARIFF_2026</x:v>
      </x:c>
      <x:c r="B2521" s="59" t="str">
        <x:v>commercial_use</x:v>
      </x:c>
      <x:c r="C2521" s="59" t="str">
        <x:v>UNKNOWN</x:v>
      </x:c>
    </x:row>
    <x:row r="2522" ht="30" customHeight="1">
      <x:c r="A2522" s="59" t="str">
        <x:v>PSE_TARIFF_2026</x:v>
      </x:c>
      <x:c r="B2522" s="59" t="str">
        <x:v>machine_readable</x:v>
      </x:c>
      <x:c r="C2522" s="59" t="str">
        <x:v>PARTIAL — tekst PDF</x:v>
      </x:c>
    </x:row>
    <x:row r="2523" ht="30" customHeight="1">
      <x:c r="A2523" s="59" t="str">
        <x:v>PSE_TARIFF_2026</x:v>
      </x:c>
      <x:c r="B2523" s="59" t="str">
        <x:v>scraping_required</x:v>
      </x:c>
      <x:c r="C2523" s="59" t="str">
        <x:v>NO — bezpośredni PDF</x:v>
      </x:c>
    </x:row>
    <x:row r="2524" ht="30" customHeight="1">
      <x:c r="A2524" s="59" t="str">
        <x:v>PSE_TARIFF_2026</x:v>
      </x:c>
      <x:c r="B2524" s="59" t="str">
        <x:v>data_quality_score</x:v>
      </x:c>
      <x:c r="C2524" s="59" t="str">
        <x:v>UNKNOWN — nie ustalono</x:v>
      </x:c>
    </x:row>
    <x:row r="2525" ht="30" customHeight="1">
      <x:c r="A2525" s="59" t="str">
        <x:v>PSE_TARIFF_2026</x:v>
      </x:c>
      <x:c r="B2525" s="59" t="str">
        <x:v>quality_score_status</x:v>
      </x:c>
      <x:c r="C2525" s="59" t="str">
        <x:v>NOT_CALIBRATED — autorytet źródła nie jest procentem kompletności lub trafności.</x:v>
      </x:c>
    </x:row>
    <x:row r="2526" ht="30" customHeight="1">
      <x:c r="A2526" s="59" t="str">
        <x:v>PSE_TARIFF_2026</x:v>
      </x:c>
      <x:c r="B2526" s="59" t="str">
        <x:v>last_verified</x:v>
      </x:c>
      <x:c r="C2526" s="60" t="n">
        <x:v>46276</x:v>
      </x:c>
    </x:row>
    <x:row r="2527" ht="30" customHeight="1">
      <x:c r="A2527" s="59" t="str">
        <x:v>PSE_TARIFF_2026</x:v>
      </x:c>
      <x:c r="B2527" s="59" t="str">
        <x:v>last_successful_verification</x:v>
      </x:c>
      <x:c r="C2527" s="60" t="n">
        <x:v>46276</x:v>
      </x:c>
    </x:row>
    <x:row r="2528" ht="30" customHeight="1">
      <x:c r="A2528" s="59" t="str">
        <x:v>PSE_TARIFF_2026</x:v>
      </x:c>
      <x:c r="B2528" s="59" t="str">
        <x:v>source_date</x:v>
      </x:c>
      <x:c r="C2528" s="60" t="n">
        <x:v>45994</x:v>
      </x:c>
    </x:row>
    <x:row r="2529" ht="30" customHeight="1">
      <x:c r="A2529" s="59" t="str">
        <x:v>PSE_TARIFF_2026</x:v>
      </x:c>
      <x:c r="B2529" s="59" t="str">
        <x:v>publication_date</x:v>
      </x:c>
      <x:c r="C2529" s="59" t="str">
        <x:v>UNKNOWN — nie ustalono</x:v>
      </x:c>
    </x:row>
    <x:row r="2530" ht="30" customHeight="1">
      <x:c r="A2530" s="59" t="str">
        <x:v>PSE_TARIFF_2026</x:v>
      </x:c>
      <x:c r="B2530" s="59" t="str">
        <x:v>source_version</x:v>
      </x:c>
      <x:c r="C2530" s="59" t="str">
        <x:v>Tekst uwzględniający decyzję z 16.01.2026; data tabel inna</x:v>
      </x:c>
    </x:row>
    <x:row r="2531" ht="30" customHeight="1">
      <x:c r="A2531" s="59" t="str">
        <x:v>PSE_TARIFF_2026</x:v>
      </x:c>
      <x:c r="B2531" s="59" t="str">
        <x:v>source_page</x:v>
      </x:c>
      <x:c r="C2531" s="59" t="str">
        <x:v>42, 43, 46 — tabele 6/7 i ich data stanu</x:v>
      </x:c>
    </x:row>
    <x:row r="2532" ht="30" customHeight="1">
      <x:c r="A2532" s="59" t="str">
        <x:v>PSE_TARIFF_2026</x:v>
      </x:c>
      <x:c r="B2532" s="59" t="str">
        <x:v>valid_from</x:v>
      </x:c>
      <x:c r="C2532" s="59" t="str">
        <x:v>UNKNOWN — nie ustalono</x:v>
      </x:c>
    </x:row>
    <x:row r="2533" ht="30" customHeight="1">
      <x:c r="A2533" s="59" t="str">
        <x:v>PSE_TARIFF_2026</x:v>
      </x:c>
      <x:c r="B2533" s="59" t="str">
        <x:v>valid_to</x:v>
      </x:c>
      <x:c r="C2533" s="59" t="str">
        <x:v>UNKNOWN — nie ustalono</x:v>
      </x:c>
    </x:row>
    <x:row r="2534" ht="30" customHeight="1">
      <x:c r="A2534" s="59" t="str">
        <x:v>PSE_TARIFF_2026</x:v>
      </x:c>
      <x:c r="B2534" s="59" t="str">
        <x:v>current_future_scope</x:v>
      </x:c>
      <x:c r="C2534" s="59" t="str">
        <x:v>SOURCE_DEPENDENT</x:v>
      </x:c>
    </x:row>
    <x:row r="2535" ht="30" customHeight="1">
      <x:c r="A2535" s="59" t="str">
        <x:v>PSE_TARIFF_2026</x:v>
      </x:c>
      <x:c r="B2535" s="59" t="str">
        <x:v>value_classification_default</x:v>
      </x:c>
      <x:c r="C2535" s="59" t="str">
        <x:v>REPORTED</x:v>
      </x:c>
    </x:row>
    <x:row r="2536" ht="38" customHeight="1">
      <x:c r="A2536" s="59" t="str">
        <x:v>PSE_TARIFF_2026</x:v>
      </x:c>
      <x:c r="B2536" s="59" t="str">
        <x:v>automation_notes</x:v>
      </x:c>
      <x:c r="C2536" s="59" t="str">
        <x:v>Jednorazowy przegląd; brak zgody na stały scraper wynikającej z samego dostępu. Sprawdzić warunki, robots.txt i limity przed wdrożeniem.</x:v>
      </x:c>
    </x:row>
    <x:row r="2537" ht="30" customHeight="1">
      <x:c r="A2537" s="59" t="str">
        <x:v>PSE_TARIFF_2026</x:v>
      </x:c>
      <x:c r="B2537" s="59" t="str">
        <x:v>probe_ids</x:v>
      </x:c>
      <x:c r="C2537" s="59" t="str">
        <x:v>[ "PSE_TARIFF_2026" ]</x:v>
      </x:c>
    </x:row>
    <x:row r="2538" ht="30" customHeight="1">
      <x:c r="A2538" s="59" t="str">
        <x:v>PSE_TARIFF_2026</x:v>
      </x:c>
      <x:c r="B2538" s="59" t="str">
        <x:v>related_urls</x:v>
      </x:c>
      <x:c r="C2538" s="59" t="str">
        <x:v>[]</x:v>
      </x:c>
    </x:row>
    <x:row r="2539" ht="30" customHeight="1">
      <x:c r="A2539" s="59" t="str">
        <x:v>PSE_TARIFF_2026</x:v>
      </x:c>
      <x:c r="B2539" s="59" t="str">
        <x:v>source_id</x:v>
      </x:c>
      <x:c r="C2539" s="59" t="str">
        <x:v>PSE_TARIFF_2026</x:v>
      </x:c>
    </x:row>
    <x:row r="2540" ht="30" customHeight="1">
      <x:c r="A2540" s="59" t="str">
        <x:v>PSE_TARIFF_2026</x:v>
      </x:c>
      <x:c r="B2540" s="59" t="str">
        <x:v>operator</x:v>
      </x:c>
      <x:c r="C2540" s="59" t="str">
        <x:v>PSE</x:v>
      </x:c>
    </x:row>
    <x:row r="2541" ht="30" customHeight="1">
      <x:c r="A2541" s="59" t="str">
        <x:v>PSE_TARIFF_2026</x:v>
      </x:c>
      <x:c r="B2541" s="59" t="str">
        <x:v>source_name</x:v>
      </x:c>
      <x:c r="C2541" s="59" t="str">
        <x:v>Taryfa PSE 2026 — odbiorcy i miejsca dostarczania</x:v>
      </x:c>
    </x:row>
    <x:row r="2542" ht="30" customHeight="1">
      <x:c r="A2542" s="59" t="str">
        <x:v>PSE_TARIFF_2026</x:v>
      </x:c>
      <x:c r="B2542" s="59" t="str">
        <x:v>url</x:v>
      </x:c>
      <x:c r="C2542" s="59" t="str">
        <x:v>https://www.pse.pl/documents/20182/7005343691/20260116_Tekst_Taryfy_na_2026_tekst_jednolity.pdf</x:v>
      </x:c>
    </x:row>
    <x:row r="2543" ht="30" customHeight="1">
      <x:c r="A2543" s="59" t="str">
        <x:v>PSE_TARIFF_2026</x:v>
      </x:c>
      <x:c r="B2543" s="59" t="str">
        <x:v>data_owner</x:v>
      </x:c>
      <x:c r="C2543" s="59" t="str">
        <x:v>PSE S.A.</x:v>
      </x:c>
    </x:row>
    <x:row r="2544" ht="30" customHeight="1">
      <x:c r="A2544" s="59" t="str">
        <x:v>PSE_TARIFF_2026</x:v>
      </x:c>
      <x:c r="B2544" s="59" t="str">
        <x:v>data_category</x:v>
      </x:c>
      <x:c r="C2544" s="59" t="str">
        <x:v>operator_delivery_points</x:v>
      </x:c>
    </x:row>
    <x:row r="2545" ht="30" customHeight="1">
      <x:c r="A2545" s="59" t="str">
        <x:v>PSE_TARIFF_2026</x:v>
      </x:c>
      <x:c r="B2545" s="59" t="str">
        <x:v>data_format</x:v>
      </x:c>
      <x:c r="C2545" s="59" t="str">
        <x:v>[ "PDF" ]</x:v>
      </x:c>
    </x:row>
    <x:row r="2546" ht="30" customHeight="1">
      <x:c r="A2546" s="59" t="str">
        <x:v>PSE_TARIFF_2026</x:v>
      </x:c>
      <x:c r="B2546" s="59" t="str">
        <x:v>verification_status</x:v>
      </x:c>
      <x:c r="C2546" s="59" t="str">
        <x:v>CONTENT_REVIEWED</x:v>
      </x:c>
    </x:row>
    <x:row r="2547" ht="30" customHeight="1">
      <x:c r="A2547" s="59" t="str">
        <x:v>PSE_TARIFF_2026</x:v>
      </x:c>
      <x:c r="B2547" s="59" t="str">
        <x:v>reliability</x:v>
      </x:c>
      <x:c r="C2547" s="59" t="str">
        <x:v>B</x:v>
      </x:c>
    </x:row>
    <x:row r="2548" ht="30" customHeight="1">
      <x:c r="A2548" s="59" t="str">
        <x:v>PSE_TARIFF_2026</x:v>
      </x:c>
      <x:c r="B2548" s="59" t="str">
        <x:v>key_fields</x:v>
      </x:c>
      <x:c r="C2548" s="59" t="str">
        <x:v>[ "symbol odbiorcy", "nazwa operatora", "nazwa węzła", "typ MD", "grupa MD" ]</x:v>
      </x:c>
    </x:row>
    <x:row r="2549" ht="30" customHeight="1">
      <x:c r="A2549" s="59" t="str">
        <x:v>PSE_TARIFF_2026</x:v>
      </x:c>
      <x:c r="B2549" s="59" t="str">
        <x:v>potential_application</x:v>
      </x:c>
      <x:c r="C2549" s="59" t="str">
        <x:v>Potwierdzenie relacji taryfowej PGE–Radkowice; nie własność urządzeń</x:v>
      </x:c>
    </x:row>
    <x:row r="2550" ht="38" customHeight="1">
      <x:c r="A2550" s="59" t="str">
        <x:v>PSE_TARIFF_2026</x:v>
      </x:c>
      <x:c r="B2550" s="59" t="str">
        <x:v>known_limitations</x:v>
      </x:c>
      <x:c r="C2550" s="59" t="str">
        <x:v>[ "Tabela może pozostawać niezmieniona mimo zmian umów; nie jest bieżącą telemetrią ani schematem własności", "source_date dotyczy tabel 6 i 7, nie wszystkich rozdziałów taryfy" ]</x:v>
      </x:c>
    </x:row>
    <x:row r="2551" ht="30" customHeight="1">
      <x:c r="A2551" s="59" t="str">
        <x:v>PSE_TARIFF_2026</x:v>
      </x:c>
      <x:c r="B2551" s="59" t="str">
        <x:v>priority</x:v>
      </x:c>
      <x:c r="C2551" s="59" t="str">
        <x:v>P0</x:v>
      </x:c>
    </x:row>
    <x:row r="2552" ht="80" customHeight="1">
      <x:c r="A2552" s="59" t="str">
        <x:v>PSE_TARIFF_2026</x:v>
      </x:c>
      <x:c r="B2552" s="59" t="str">
        <x:v>evidence</x:v>
      </x:c>
      <x:c r="C2552"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553" ht="30" customHeight="1">
      <x:c r="A2553" s="59" t="str">
        <x:v>PSE_TARIFF_2026</x:v>
      </x:c>
      <x:c r="B2553" s="59" t="str">
        <x:v>retrieval_date</x:v>
      </x:c>
      <x:c r="C2553" s="59" t="str">
        <x:v>[ "2026-09-11T10:50:16.7756540Z" ]</x:v>
      </x:c>
    </x:row>
    <x:row r="2554" ht="30" customHeight="1">
      <x:c r="A2554" s="59" t="str">
        <x:v>PGE_RADK_CAPACITY_ATTEMPT</x:v>
      </x:c>
      <x:c r="B2554" s="59" t="str">
        <x:v>country</x:v>
      </x:c>
      <x:c r="C2554" s="59" t="str">
        <x:v>PL</x:v>
      </x:c>
    </x:row>
    <x:row r="2555" ht="30" customHeight="1">
      <x:c r="A2555" s="59" t="str">
        <x:v>PGE_RADK_CAPACITY_ATTEMPT</x:v>
      </x:c>
      <x:c r="B2555" s="59" t="str">
        <x:v>geographical_scope</x:v>
      </x:c>
      <x:c r="C2555" s="59" t="str">
        <x:v>Zakres publikacji danego operatora/instytucji; nie założono pełnego pokrycia kraju.</x:v>
      </x:c>
    </x:row>
    <x:row r="2556" ht="30" customHeight="1">
      <x:c r="A2556" s="59" t="str">
        <x:v>PGE_RADK_CAPACITY_ATTEMPT</x:v>
      </x:c>
      <x:c r="B2556" s="59" t="str">
        <x:v>grid_voltage</x:v>
      </x:c>
      <x:c r="C2556" s="59" t="str">
        <x:v>[ "UNKNOWN_OR_NOT_APPLICABLE" ]</x:v>
      </x:c>
    </x:row>
    <x:row r="2557" ht="30" customHeight="1">
      <x:c r="A2557" s="59" t="str">
        <x:v>PGE_RADK_CAPACITY_ATTEMPT</x:v>
      </x:c>
      <x:c r="B2557" s="59" t="str">
        <x:v>api_available</x:v>
      </x:c>
      <x:c r="C2557" s="59" t="str">
        <x:v>UNKNOWN</x:v>
      </x:c>
    </x:row>
    <x:row r="2558" ht="30" customHeight="1">
      <x:c r="A2558" s="59" t="str">
        <x:v>PGE_RADK_CAPACITY_ATTEMPT</x:v>
      </x:c>
      <x:c r="B2558" s="59" t="str">
        <x:v>gis_available</x:v>
      </x:c>
      <x:c r="C2558" s="59" t="str">
        <x:v>UNKNOWN</x:v>
      </x:c>
    </x:row>
    <x:row r="2559" ht="30" customHeight="1">
      <x:c r="A2559" s="59" t="str">
        <x:v>PGE_RADK_CAPACITY_ATTEMPT</x:v>
      </x:c>
      <x:c r="B2559" s="59" t="str">
        <x:v>update_frequency</x:v>
      </x:c>
      <x:c r="C2559" s="59" t="str">
        <x:v>UNKNOWN — nie ustalono gwarantowanego cyklu publikacji.</x:v>
      </x:c>
    </x:row>
    <x:row r="2560" ht="30" customHeight="1">
      <x:c r="A2560" s="59" t="str">
        <x:v>PGE_RADK_CAPACITY_ATTEMPT</x:v>
      </x:c>
      <x:c r="B2560" s="59" t="str">
        <x:v>historical_data</x:v>
      </x:c>
      <x:c r="C2560" s="59" t="str">
        <x:v>UNKNOWN — własne snapshoty od 10.09.2026, jeśli zapisano próbkę.</x:v>
      </x:c>
    </x:row>
    <x:row r="2561" ht="30" customHeight="1">
      <x:c r="A2561" s="59" t="str">
        <x:v>PGE_RADK_CAPACITY_ATTEMPT</x:v>
      </x:c>
      <x:c r="B2561" s="59" t="str">
        <x:v>authentication</x:v>
      </x:c>
      <x:c r="C2561" s="59" t="str">
        <x:v>UNKNOWN — pełna treść nie została zweryfikowana.</x:v>
      </x:c>
    </x:row>
    <x:row r="2562" ht="30" customHeight="1">
      <x:c r="A2562" s="59" t="str">
        <x:v>PGE_RADK_CAPACITY_ATTEMPT</x:v>
      </x:c>
      <x:c r="B2562" s="59" t="str">
        <x:v>license</x:v>
      </x:c>
      <x:c r="C2562" s="59" t="str">
        <x:v>UNKNOWN — nie potwierdzono otwartej licencji wybranego zbioru.</x:v>
      </x:c>
    </x:row>
    <x:row r="2563" ht="30" customHeight="1">
      <x:c r="A2563" s="59" t="str">
        <x:v>PGE_RADK_CAPACITY_ATTEMPT</x:v>
      </x:c>
      <x:c r="B2563" s="59" t="str">
        <x:v>license_url</x:v>
      </x:c>
      <x:c r="C2563" s="59" t="str">
        <x:v>UNKNOWN — nie ustalono</x:v>
      </x:c>
    </x:row>
    <x:row r="2564" ht="30" customHeight="1">
      <x:c r="A2564" s="59" t="str">
        <x:v>PGE_RADK_CAPACITY_ATTEMPT</x:v>
      </x:c>
      <x:c r="B2564" s="59" t="str">
        <x:v>commercial_use</x:v>
      </x:c>
      <x:c r="C2564" s="59" t="str">
        <x:v>UNKNOWN</x:v>
      </x:c>
    </x:row>
    <x:row r="2565" ht="30" customHeight="1">
      <x:c r="A2565" s="59" t="str">
        <x:v>PGE_RADK_CAPACITY_ATTEMPT</x:v>
      </x:c>
      <x:c r="B2565" s="59" t="str">
        <x:v>machine_readable</x:v>
      </x:c>
      <x:c r="C2565" s="59" t="str">
        <x:v>UNKNOWN</x:v>
      </x:c>
    </x:row>
    <x:row r="2566" ht="30" customHeight="1">
      <x:c r="A2566" s="59" t="str">
        <x:v>PGE_RADK_CAPACITY_ATTEMPT</x:v>
      </x:c>
      <x:c r="B2566" s="59" t="str">
        <x:v>scraping_required</x:v>
      </x:c>
      <x:c r="C2566" s="59" t="str">
        <x:v>UNKNOWN — przed scraperem preferować oficjalny plik lub API.</x:v>
      </x:c>
    </x:row>
    <x:row r="2567" ht="30" customHeight="1">
      <x:c r="A2567" s="59" t="str">
        <x:v>PGE_RADK_CAPACITY_ATTEMPT</x:v>
      </x:c>
      <x:c r="B2567" s="59" t="str">
        <x:v>data_quality_score</x:v>
      </x:c>
      <x:c r="C2567" s="59" t="str">
        <x:v>UNKNOWN — nie ustalono</x:v>
      </x:c>
    </x:row>
    <x:row r="2568" ht="30" customHeight="1">
      <x:c r="A2568" s="59" t="str">
        <x:v>PGE_RADK_CAPACITY_ATTEMPT</x:v>
      </x:c>
      <x:c r="B2568" s="59" t="str">
        <x:v>quality_score_status</x:v>
      </x:c>
      <x:c r="C2568" s="59" t="str">
        <x:v>NOT_CALIBRATED — autorytet źródła nie jest procentem kompletności lub trafności.</x:v>
      </x:c>
    </x:row>
    <x:row r="2569" ht="30" customHeight="1">
      <x:c r="A2569" s="59" t="str">
        <x:v>PGE_RADK_CAPACITY_ATTEMPT</x:v>
      </x:c>
      <x:c r="B2569" s="59" t="str">
        <x:v>last_verified</x:v>
      </x:c>
      <x:c r="C2569" s="60" t="n">
        <x:v>46276</x:v>
      </x:c>
    </x:row>
    <x:row r="2570" ht="30" customHeight="1">
      <x:c r="A2570" s="59" t="str">
        <x:v>PGE_RADK_CAPACITY_ATTEMPT</x:v>
      </x:c>
      <x:c r="B2570" s="59" t="str">
        <x:v>last_successful_verification</x:v>
      </x:c>
      <x:c r="C2570" s="59" t="str">
        <x:v>UNKNOWN — nie ustalono</x:v>
      </x:c>
    </x:row>
    <x:row r="2571" ht="30" customHeight="1">
      <x:c r="A2571" s="59" t="str">
        <x:v>PGE_RADK_CAPACITY_ATTEMPT</x:v>
      </x:c>
      <x:c r="B2571" s="59" t="str">
        <x:v>source_date</x:v>
      </x:c>
      <x:c r="C2571" s="59" t="str">
        <x:v>UNKNOWN — nie ustalono</x:v>
      </x:c>
    </x:row>
    <x:row r="2572" ht="30" customHeight="1">
      <x:c r="A2572" s="59" t="str">
        <x:v>PGE_RADK_CAPACITY_ATTEMPT</x:v>
      </x:c>
      <x:c r="B2572" s="59" t="str">
        <x:v>publication_date</x:v>
      </x:c>
      <x:c r="C2572" s="59" t="str">
        <x:v>UNKNOWN — nie ustalono</x:v>
      </x:c>
    </x:row>
    <x:row r="2573" ht="30" customHeight="1">
      <x:c r="A2573" s="59" t="str">
        <x:v>PGE_RADK_CAPACITY_ATTEMPT</x:v>
      </x:c>
      <x:c r="B2573" s="59" t="str">
        <x:v>source_version</x:v>
      </x:c>
      <x:c r="C2573" s="59" t="str">
        <x:v>UNKNOWN — nie ustalono</x:v>
      </x:c>
    </x:row>
    <x:row r="2574" ht="30" customHeight="1">
      <x:c r="A2574" s="59" t="str">
        <x:v>PGE_RADK_CAPACITY_ATTEMPT</x:v>
      </x:c>
      <x:c r="B2574" s="59" t="str">
        <x:v>source_page</x:v>
      </x:c>
      <x:c r="C2574" s="59" t="str">
        <x:v>UNKNOWN — nie ustalono</x:v>
      </x:c>
    </x:row>
    <x:row r="2575" ht="30" customHeight="1">
      <x:c r="A2575" s="59" t="str">
        <x:v>PGE_RADK_CAPACITY_ATTEMPT</x:v>
      </x:c>
      <x:c r="B2575" s="59" t="str">
        <x:v>valid_from</x:v>
      </x:c>
      <x:c r="C2575" s="59" t="str">
        <x:v>UNKNOWN — nie ustalono</x:v>
      </x:c>
    </x:row>
    <x:row r="2576" ht="30" customHeight="1">
      <x:c r="A2576" s="59" t="str">
        <x:v>PGE_RADK_CAPACITY_ATTEMPT</x:v>
      </x:c>
      <x:c r="B2576" s="59" t="str">
        <x:v>valid_to</x:v>
      </x:c>
      <x:c r="C2576" s="59" t="str">
        <x:v>UNKNOWN — nie ustalono</x:v>
      </x:c>
    </x:row>
    <x:row r="2577" ht="30" customHeight="1">
      <x:c r="A2577" s="59" t="str">
        <x:v>PGE_RADK_CAPACITY_ATTEMPT</x:v>
      </x:c>
      <x:c r="B2577" s="59" t="str">
        <x:v>current_future_scope</x:v>
      </x:c>
      <x:c r="C2577" s="59" t="str">
        <x:v>SOURCE_DEPENDENT</x:v>
      </x:c>
    </x:row>
    <x:row r="2578" ht="30" customHeight="1">
      <x:c r="A2578" s="59" t="str">
        <x:v>PGE_RADK_CAPACITY_ATTEMPT</x:v>
      </x:c>
      <x:c r="B2578" s="59" t="str">
        <x:v>value_classification_default</x:v>
      </x:c>
      <x:c r="C2578" s="59" t="str">
        <x:v>REPORTED</x:v>
      </x:c>
    </x:row>
    <x:row r="2579" ht="38" customHeight="1">
      <x:c r="A2579" s="59" t="str">
        <x:v>PGE_RADK_CAPACITY_ATTEMPT</x:v>
      </x:c>
      <x:c r="B2579" s="59" t="str">
        <x:v>automation_notes</x:v>
      </x:c>
      <x:c r="C2579" s="59" t="str">
        <x:v>Jednorazowy przegląd; brak zgody na stały scraper wynikającej z samego dostępu. Sprawdzić warunki, robots.txt i limity przed wdrożeniem.</x:v>
      </x:c>
    </x:row>
    <x:row r="2580" ht="30" customHeight="1">
      <x:c r="A2580" s="59" t="str">
        <x:v>PGE_RADK_CAPACITY_ATTEMPT</x:v>
      </x:c>
      <x:c r="B2580" s="59" t="str">
        <x:v>probe_ids</x:v>
      </x:c>
      <x:c r="C2580" s="59" t="str">
        <x:v>[]</x:v>
      </x:c>
    </x:row>
    <x:row r="2581" ht="30" customHeight="1">
      <x:c r="A2581" s="59" t="str">
        <x:v>PGE_RADK_CAPACITY_ATTEMPT</x:v>
      </x:c>
      <x:c r="B2581" s="59" t="str">
        <x:v>related_urls</x:v>
      </x:c>
      <x:c r="C2581" s="59" t="str">
        <x:v>[]</x:v>
      </x:c>
    </x:row>
    <x:row r="2582" ht="30" customHeight="1">
      <x:c r="A2582" s="59" t="str">
        <x:v>PGE_RADK_CAPACITY_ATTEMPT</x:v>
      </x:c>
      <x:c r="B2582" s="59" t="str">
        <x:v>source_id</x:v>
      </x:c>
      <x:c r="C2582" s="59" t="str">
        <x:v>PGE_RADK_CAPACITY_ATTEMPT</x:v>
      </x:c>
    </x:row>
    <x:row r="2583" ht="30" customHeight="1">
      <x:c r="A2583" s="59" t="str">
        <x:v>PGE_RADK_CAPACITY_ATTEMPT</x:v>
      </x:c>
      <x:c r="B2583" s="59" t="str">
        <x:v>operator</x:v>
      </x:c>
      <x:c r="C2583" s="59" t="str">
        <x:v>PGE</x:v>
      </x:c>
    </x:row>
    <x:row r="2584" ht="30" customHeight="1">
      <x:c r="A2584" s="59" t="str">
        <x:v>PGE_RADK_CAPACITY_ATTEMPT</x:v>
      </x:c>
      <x:c r="B2584" s="59" t="str">
        <x:v>source_name</x:v>
      </x:c>
      <x:c r="C2584" s="59" t="str">
        <x:v>Próba dostępu do pliku mocy PGE I kw.2026</x:v>
      </x:c>
    </x:row>
    <x:row r="2585" ht="38" customHeight="1">
      <x:c r="A2585" s="59" t="str">
        <x:v>PGE_RADK_CAPACITY_ATTEMPT</x:v>
      </x:c>
      <x:c r="B2585" s="59" t="str">
        <x:v>url</x:v>
      </x:c>
      <x:c r="C2585" s="59" t="str">
        <x:v>https://pgedystrybucja.pl/content/download/71691b9fb622cdf89306ec0dc0c1ac3d/file/dostepne-moce-pge-i-kw-2026.pdf?contentId=2208&amp;inLanguage=pol-PL&amp;version=6</x:v>
      </x:c>
    </x:row>
    <x:row r="2586" ht="30" customHeight="1">
      <x:c r="A2586" s="59" t="str">
        <x:v>PGE_RADK_CAPACITY_ATTEMPT</x:v>
      </x:c>
      <x:c r="B2586" s="59" t="str">
        <x:v>data_owner</x:v>
      </x:c>
      <x:c r="C2586" s="59" t="str">
        <x:v>PGE Dystrybucja S.A.</x:v>
      </x:c>
    </x:row>
    <x:row r="2587" ht="30" customHeight="1">
      <x:c r="A2587" s="59" t="str">
        <x:v>PGE_RADK_CAPACITY_ATTEMPT</x:v>
      </x:c>
      <x:c r="B2587" s="59" t="str">
        <x:v>data_category</x:v>
      </x:c>
      <x:c r="C2587" s="59" t="str">
        <x:v>reported_connection_capacity</x:v>
      </x:c>
    </x:row>
    <x:row r="2588" ht="30" customHeight="1">
      <x:c r="A2588" s="59" t="str">
        <x:v>PGE_RADK_CAPACITY_ATTEMPT</x:v>
      </x:c>
      <x:c r="B2588" s="59" t="str">
        <x:v>data_format</x:v>
      </x:c>
      <x:c r="C2588" s="59" t="str">
        <x:v>[ "PDF — oczekiwany, nie otrzymany" ]</x:v>
      </x:c>
    </x:row>
    <x:row r="2589" ht="30" customHeight="1">
      <x:c r="A2589" s="59" t="str">
        <x:v>PGE_RADK_CAPACITY_ATTEMPT</x:v>
      </x:c>
      <x:c r="B2589" s="59" t="str">
        <x:v>verification_status</x:v>
      </x:c>
      <x:c r="C2589" s="59" t="str">
        <x:v>BLOCKED</x:v>
      </x:c>
    </x:row>
    <x:row r="2590" ht="30" customHeight="1">
      <x:c r="A2590" s="59" t="str">
        <x:v>PGE_RADK_CAPACITY_ATTEMPT</x:v>
      </x:c>
      <x:c r="B2590" s="59" t="str">
        <x:v>reliability</x:v>
      </x:c>
      <x:c r="C2590" s="59" t="str">
        <x:v>B</x:v>
      </x:c>
    </x:row>
    <x:row r="2591" ht="30" customHeight="1">
      <x:c r="A2591" s="59" t="str">
        <x:v>PGE_RADK_CAPACITY_ATTEMPT</x:v>
      </x:c>
      <x:c r="B2591" s="59" t="str">
        <x:v>key_fields</x:v>
      </x:c>
      <x:c r="C2591" s="59" t="str">
        <x:v>[ "UNKNOWN — brak poprawnego pliku" ]</x:v>
      </x:c>
    </x:row>
    <x:row r="2592" ht="30" customHeight="1">
      <x:c r="A2592" s="59" t="str">
        <x:v>PGE_RADK_CAPACITY_ATTEMPT</x:v>
      </x:c>
      <x:c r="B2592" s="59" t="str">
        <x:v>potential_application</x:v>
      </x:c>
      <x:c r="C2592" s="59" t="str">
        <x:v>Kandydat do informacji o grupach mocy PGE po poprawnym odczycie</x:v>
      </x:c>
    </x:row>
    <x:row r="2593" ht="38" customHeight="1">
      <x:c r="A2593" s="59" t="str">
        <x:v>PGE_RADK_CAPACITY_ATTEMPT</x:v>
      </x:c>
      <x:c r="B2593" s="59" t="str">
        <x:v>known_limitations</x:v>
      </x:c>
      <x:c r="C2593" s="59" t="str">
        <x:v>[ "HTTP 200, 346 bajtów, brak sygnatury PDF; nie pobrano wartości mocy", "Dowód próby: data/catalog/pge_radkowice_access_2026-09-11.json" ]</x:v>
      </x:c>
    </x:row>
    <x:row r="2594" ht="30" customHeight="1">
      <x:c r="A2594" s="59" t="str">
        <x:v>PGE_RADK_CAPACITY_ATTEMPT</x:v>
      </x:c>
      <x:c r="B2594" s="59" t="str">
        <x:v>priority</x:v>
      </x:c>
      <x:c r="C2594" s="59" t="str">
        <x:v>P0</x:v>
      </x:c>
    </x:row>
    <x:row r="2595" ht="30" customHeight="1">
      <x:c r="A2595" s="59" t="str">
        <x:v>PGE_RADK_CAPACITY_ATTEMPT</x:v>
      </x:c>
      <x:c r="B2595" s="59" t="str">
        <x:v>evidence</x:v>
      </x:c>
      <x:c r="C2595" s="59" t="str">
        <x:v>[]</x:v>
      </x:c>
    </x:row>
    <x:row r="2596" ht="30" customHeight="1">
      <x:c r="A2596" s="59" t="str">
        <x:v>PGE_RADK_CAPACITY_ATTEMPT</x:v>
      </x:c>
      <x:c r="B2596" s="59" t="str">
        <x:v>retrieval_date</x:v>
      </x:c>
      <x:c r="C2596" s="59" t="str">
        <x:v>[]</x:v>
      </x:c>
    </x:row>
    <x:row r="2597" ht="30" customHeight="1">
      <x:c r="A2597" s="59" t="str">
        <x:v>SUW_RADK_WOLICA_3_2024</x:v>
      </x:c>
      <x:c r="B2597" s="59" t="str">
        <x:v>country</x:v>
      </x:c>
      <x:c r="C2597" s="59" t="str">
        <x:v>PL</x:v>
      </x:c>
    </x:row>
    <x:row r="2598" ht="30" customHeight="1">
      <x:c r="A2598" s="59" t="str">
        <x:v>SUW_RADK_WOLICA_3_2024</x:v>
      </x:c>
      <x:c r="B2598" s="59" t="str">
        <x:v>geographical_scope</x:v>
      </x:c>
      <x:c r="C2598" s="59" t="str">
        <x:v>Odcinek w gminach Morawica i Chęciny</x:v>
      </x:c>
    </x:row>
    <x:row r="2599" ht="30" customHeight="1">
      <x:c r="A2599" s="59" t="str">
        <x:v>SUW_RADK_WOLICA_3_2024</x:v>
      </x:c>
      <x:c r="B2599" s="59" t="str">
        <x:v>grid_voltage</x:v>
      </x:c>
      <x:c r="C2599" s="59" t="str">
        <x:v>[ "110 kV" ]</x:v>
      </x:c>
    </x:row>
    <x:row r="2600" ht="30" customHeight="1">
      <x:c r="A2600" s="59" t="str">
        <x:v>SUW_RADK_WOLICA_3_2024</x:v>
      </x:c>
      <x:c r="B2600" s="59" t="str">
        <x:v>api_available</x:v>
      </x:c>
      <x:c r="C2600" s="59" t="str">
        <x:v>UNKNOWN</x:v>
      </x:c>
    </x:row>
    <x:row r="2601" ht="30" customHeight="1">
      <x:c r="A2601" s="59" t="str">
        <x:v>SUW_RADK_WOLICA_3_2024</x:v>
      </x:c>
      <x:c r="B2601" s="59" t="str">
        <x:v>gis_available</x:v>
      </x:c>
      <x:c r="C2601" s="59" t="str">
        <x:v>UNKNOWN</x:v>
      </x:c>
    </x:row>
    <x:row r="2602" ht="30" customHeight="1">
      <x:c r="A2602" s="59" t="str">
        <x:v>SUW_RADK_WOLICA_3_2024</x:v>
      </x:c>
      <x:c r="B2602" s="59" t="str">
        <x:v>update_frequency</x:v>
      </x:c>
      <x:c r="C2602" s="59" t="str">
        <x:v>UNKNOWN — nie ustalono gwarantowanego cyklu publikacji.</x:v>
      </x:c>
    </x:row>
    <x:row r="2603" ht="30" customHeight="1">
      <x:c r="A2603" s="59" t="str">
        <x:v>SUW_RADK_WOLICA_3_2024</x:v>
      </x:c>
      <x:c r="B2603" s="59" t="str">
        <x:v>historical_data</x:v>
      </x:c>
      <x:c r="C2603" s="59" t="str">
        <x:v>UNKNOWN — własne snapshoty od 10.09.2026, jeśli zapisano próbkę.</x:v>
      </x:c>
    </x:row>
    <x:row r="2604" ht="30" customHeight="1">
      <x:c r="A2604" s="59" t="str">
        <x:v>SUW_RADK_WOLICA_3_2024</x:v>
      </x:c>
      <x:c r="B2604" s="59" t="str">
        <x:v>authentication</x:v>
      </x:c>
      <x:c r="C2604" s="59" t="str">
        <x:v>Odczyt publicznej strony bez konta; nie dowodzi dostępu do wszystkich danych.</x:v>
      </x:c>
    </x:row>
    <x:row r="2605" ht="30" customHeight="1">
      <x:c r="A2605" s="59" t="str">
        <x:v>SUW_RADK_WOLICA_3_2024</x:v>
      </x:c>
      <x:c r="B2605" s="59" t="str">
        <x:v>license</x:v>
      </x:c>
      <x:c r="C2605" s="59" t="str">
        <x:v>UNKNOWN — nie potwierdzono otwartej licencji wybranego zbioru.</x:v>
      </x:c>
    </x:row>
    <x:row r="2606" ht="30" customHeight="1">
      <x:c r="A2606" s="59" t="str">
        <x:v>SUW_RADK_WOLICA_3_2024</x:v>
      </x:c>
      <x:c r="B2606" s="59" t="str">
        <x:v>license_url</x:v>
      </x:c>
      <x:c r="C2606" s="59" t="str">
        <x:v>UNKNOWN — nie ustalono</x:v>
      </x:c>
    </x:row>
    <x:row r="2607" ht="30" customHeight="1">
      <x:c r="A2607" s="59" t="str">
        <x:v>SUW_RADK_WOLICA_3_2024</x:v>
      </x:c>
      <x:c r="B2607" s="59" t="str">
        <x:v>commercial_use</x:v>
      </x:c>
      <x:c r="C2607" s="59" t="str">
        <x:v>UNKNOWN</x:v>
      </x:c>
    </x:row>
    <x:row r="2608" ht="30" customHeight="1">
      <x:c r="A2608" s="59" t="str">
        <x:v>SUW_RADK_WOLICA_3_2024</x:v>
      </x:c>
      <x:c r="B2608" s="59" t="str">
        <x:v>machine_readable</x:v>
      </x:c>
      <x:c r="C2608" s="59" t="str">
        <x:v>PARTIAL — tekst i tabela PDF</x:v>
      </x:c>
    </x:row>
    <x:row r="2609" ht="30" customHeight="1">
      <x:c r="A2609" s="59" t="str">
        <x:v>SUW_RADK_WOLICA_3_2024</x:v>
      </x:c>
      <x:c r="B2609" s="59" t="str">
        <x:v>scraping_required</x:v>
      </x:c>
      <x:c r="C2609" s="59" t="str">
        <x:v>NO — bezpośredni plik PDF</x:v>
      </x:c>
    </x:row>
    <x:row r="2610" ht="30" customHeight="1">
      <x:c r="A2610" s="59" t="str">
        <x:v>SUW_RADK_WOLICA_3_2024</x:v>
      </x:c>
      <x:c r="B2610" s="59" t="str">
        <x:v>data_quality_score</x:v>
      </x:c>
      <x:c r="C2610" s="59" t="str">
        <x:v>UNKNOWN — nie ustalono</x:v>
      </x:c>
    </x:row>
    <x:row r="2611" ht="30" customHeight="1">
      <x:c r="A2611" s="59" t="str">
        <x:v>SUW_RADK_WOLICA_3_2024</x:v>
      </x:c>
      <x:c r="B2611" s="59" t="str">
        <x:v>quality_score_status</x:v>
      </x:c>
      <x:c r="C2611" s="59" t="str">
        <x:v>NOT_CALIBRATED — autorytet źródła nie jest procentem kompletności lub trafności.</x:v>
      </x:c>
    </x:row>
    <x:row r="2612" ht="30" customHeight="1">
      <x:c r="A2612" s="59" t="str">
        <x:v>SUW_RADK_WOLICA_3_2024</x:v>
      </x:c>
      <x:c r="B2612" s="59" t="str">
        <x:v>last_verified</x:v>
      </x:c>
      <x:c r="C2612" s="60" t="n">
        <x:v>46276</x:v>
      </x:c>
    </x:row>
    <x:row r="2613" ht="30" customHeight="1">
      <x:c r="A2613" s="59" t="str">
        <x:v>SUW_RADK_WOLICA_3_2024</x:v>
      </x:c>
      <x:c r="B2613" s="59" t="str">
        <x:v>last_successful_verification</x:v>
      </x:c>
      <x:c r="C2613" s="60" t="n">
        <x:v>46276</x:v>
      </x:c>
    </x:row>
    <x:row r="2614" ht="30" customHeight="1">
      <x:c r="A2614" s="59" t="str">
        <x:v>SUW_RADK_WOLICA_3_2024</x:v>
      </x:c>
      <x:c r="B2614" s="59" t="str">
        <x:v>source_date</x:v>
      </x:c>
      <x:c r="C2614" s="60" t="n">
        <x:v>45625</x:v>
      </x:c>
    </x:row>
    <x:row r="2615" ht="30" customHeight="1">
      <x:c r="A2615" s="59" t="str">
        <x:v>SUW_RADK_WOLICA_3_2024</x:v>
      </x:c>
      <x:c r="B2615" s="59" t="str">
        <x:v>publication_date</x:v>
      </x:c>
      <x:c r="C2615" s="59" t="str">
        <x:v>UNKNOWN — nie ustalono</x:v>
      </x:c>
    </x:row>
    <x:row r="2616" ht="30" customHeight="1">
      <x:c r="A2616" s="59" t="str">
        <x:v>SUW_RADK_WOLICA_3_2024</x:v>
      </x:c>
      <x:c r="B2616" s="59" t="str">
        <x:v>source_version</x:v>
      </x:c>
      <x:c r="C2616" s="59" t="str">
        <x:v>SPN.III.747.20.2024, decyzja 3/2024</x:v>
      </x:c>
    </x:row>
    <x:row r="2617" ht="30" customHeight="1">
      <x:c r="A2617" s="59" t="str">
        <x:v>SUW_RADK_WOLICA_3_2024</x:v>
      </x:c>
      <x:c r="B2617" s="59" t="str">
        <x:v>source_page</x:v>
      </x:c>
      <x:c r="C2617" s="59" t="str">
        <x:v>1–3</x:v>
      </x:c>
    </x:row>
    <x:row r="2618" ht="30" customHeight="1">
      <x:c r="A2618" s="59" t="str">
        <x:v>SUW_RADK_WOLICA_3_2024</x:v>
      </x:c>
      <x:c r="B2618" s="59" t="str">
        <x:v>valid_from</x:v>
      </x:c>
      <x:c r="C2618" s="59" t="str">
        <x:v>UNKNOWN — nie ustalono</x:v>
      </x:c>
    </x:row>
    <x:row r="2619" ht="30" customHeight="1">
      <x:c r="A2619" s="59" t="str">
        <x:v>SUW_RADK_WOLICA_3_2024</x:v>
      </x:c>
      <x:c r="B2619" s="59" t="str">
        <x:v>valid_to</x:v>
      </x:c>
      <x:c r="C2619" s="59" t="str">
        <x:v>UNKNOWN — nie ustalono</x:v>
      </x:c>
    </x:row>
    <x:row r="2620" ht="30" customHeight="1">
      <x:c r="A2620" s="59" t="str">
        <x:v>SUW_RADK_WOLICA_3_2024</x:v>
      </x:c>
      <x:c r="B2620" s="59" t="str">
        <x:v>current_future_scope</x:v>
      </x:c>
      <x:c r="C2620" s="59" t="str">
        <x:v>SOURCE_DEPENDENT</x:v>
      </x:c>
    </x:row>
    <x:row r="2621" ht="30" customHeight="1">
      <x:c r="A2621" s="59" t="str">
        <x:v>SUW_RADK_WOLICA_3_2024</x:v>
      </x:c>
      <x:c r="B2621" s="59" t="str">
        <x:v>value_classification_default</x:v>
      </x:c>
      <x:c r="C2621" s="59" t="str">
        <x:v>REPORTED</x:v>
      </x:c>
    </x:row>
    <x:row r="2622" ht="38" customHeight="1">
      <x:c r="A2622" s="59" t="str">
        <x:v>SUW_RADK_WOLICA_3_2024</x:v>
      </x:c>
      <x:c r="B2622" s="59" t="str">
        <x:v>automation_notes</x:v>
      </x:c>
      <x:c r="C2622" s="59" t="str">
        <x:v>Jednorazowy przegląd; brak zgody na stały scraper wynikającej z samego dostępu. Sprawdzić warunki, robots.txt i limity przed wdrożeniem.</x:v>
      </x:c>
    </x:row>
    <x:row r="2623" ht="30" customHeight="1">
      <x:c r="A2623" s="59" t="str">
        <x:v>SUW_RADK_WOLICA_3_2024</x:v>
      </x:c>
      <x:c r="B2623" s="59" t="str">
        <x:v>probe_ids</x:v>
      </x:c>
      <x:c r="C2623" s="59" t="str">
        <x:v>[ "SUW_RADK_WOLICA_3_2024" ]</x:v>
      </x:c>
    </x:row>
    <x:row r="2624" ht="30" customHeight="1">
      <x:c r="A2624" s="59" t="str">
        <x:v>SUW_RADK_WOLICA_3_2024</x:v>
      </x:c>
      <x:c r="B2624" s="59" t="str">
        <x:v>related_urls</x:v>
      </x:c>
      <x:c r="C2624" s="59" t="str">
        <x:v>[]</x:v>
      </x:c>
    </x:row>
    <x:row r="2625" ht="30" customHeight="1">
      <x:c r="A2625" s="59" t="str">
        <x:v>SUW_RADK_WOLICA_3_2024</x:v>
      </x:c>
      <x:c r="B2625" s="59" t="str">
        <x:v>source_id</x:v>
      </x:c>
      <x:c r="C2625" s="59" t="str">
        <x:v>SUW_RADK_WOLICA_3_2024</x:v>
      </x:c>
    </x:row>
    <x:row r="2626" ht="30" customHeight="1">
      <x:c r="A2626" s="59" t="str">
        <x:v>SUW_RADK_WOLICA_3_2024</x:v>
      </x:c>
      <x:c r="B2626" s="59" t="str">
        <x:v>operator</x:v>
      </x:c>
      <x:c r="C2626" s="59" t="str">
        <x:v>PGE Dystrybucja — wnioskodawca</x:v>
      </x:c>
    </x:row>
    <x:row r="2627" ht="30" customHeight="1">
      <x:c r="A2627" s="59" t="str">
        <x:v>SUW_RADK_WOLICA_3_2024</x:v>
      </x:c>
      <x:c r="B2627" s="59" t="str">
        <x:v>source_name</x:v>
      </x:c>
      <x:c r="C2627" s="59" t="str">
        <x:v>Decyzja 3/2024 — przebudowa odcinka Radkowice–Wolica</x:v>
      </x:c>
    </x:row>
    <x:row r="2628" ht="30" customHeight="1">
      <x:c r="A2628" s="59" t="str">
        <x:v>SUW_RADK_WOLICA_3_2024</x:v>
      </x:c>
      <x:c r="B2628" s="59" t="str">
        <x:v>url</x:v>
      </x:c>
      <x:c r="C2628" s="59" t="str">
        <x:v>https://bip.kielce.uw.gov.pl/download/2/33548/decprzesylnr324.pdf</x:v>
      </x:c>
    </x:row>
    <x:row r="2629" ht="30" customHeight="1">
      <x:c r="A2629" s="59" t="str">
        <x:v>SUW_RADK_WOLICA_3_2024</x:v>
      </x:c>
      <x:c r="B2629" s="59" t="str">
        <x:v>data_owner</x:v>
      </x:c>
      <x:c r="C2629" s="59" t="str">
        <x:v>Wojewoda Świętokrzyski / Świętokrzyski Urząd Wojewódzki</x:v>
      </x:c>
    </x:row>
    <x:row r="2630" ht="30" customHeight="1">
      <x:c r="A2630" s="59" t="str">
        <x:v>SUW_RADK_WOLICA_3_2024</x:v>
      </x:c>
      <x:c r="B2630" s="59" t="str">
        <x:v>data_category</x:v>
      </x:c>
      <x:c r="C2630" s="59" t="str">
        <x:v>grid_investment_administrative_decision</x:v>
      </x:c>
    </x:row>
    <x:row r="2631" ht="30" customHeight="1">
      <x:c r="A2631" s="59" t="str">
        <x:v>SUW_RADK_WOLICA_3_2024</x:v>
      </x:c>
      <x:c r="B2631" s="59" t="str">
        <x:v>data_format</x:v>
      </x:c>
      <x:c r="C2631" s="59" t="str">
        <x:v>[ "PDF" ]</x:v>
      </x:c>
    </x:row>
    <x:row r="2632" ht="30" customHeight="1">
      <x:c r="A2632" s="59" t="str">
        <x:v>SUW_RADK_WOLICA_3_2024</x:v>
      </x:c>
      <x:c r="B2632" s="59" t="str">
        <x:v>verification_status</x:v>
      </x:c>
      <x:c r="C2632" s="59" t="str">
        <x:v>CONTENT_REVIEWED</x:v>
      </x:c>
    </x:row>
    <x:row r="2633" ht="30" customHeight="1">
      <x:c r="A2633" s="59" t="str">
        <x:v>SUW_RADK_WOLICA_3_2024</x:v>
      </x:c>
      <x:c r="B2633" s="59" t="str">
        <x:v>reliability</x:v>
      </x:c>
      <x:c r="C2633" s="59" t="str">
        <x:v>C</x:v>
      </x:c>
    </x:row>
    <x:row r="2634" ht="30" customHeight="1">
      <x:c r="A2634" s="59" t="str">
        <x:v>SUW_RADK_WOLICA_3_2024</x:v>
      </x:c>
      <x:c r="B2634" s="59" t="str">
        <x:v>priority</x:v>
      </x:c>
      <x:c r="C2634" s="59" t="str">
        <x:v>P0</x:v>
      </x:c>
    </x:row>
    <x:row r="2635" ht="30" customHeight="1">
      <x:c r="A2635" s="59" t="str">
        <x:v>SUW_RADK_WOLICA_3_2024</x:v>
      </x:c>
      <x:c r="B2635" s="59" t="str">
        <x:v>key_fields</x:v>
      </x:c>
      <x:c r="C2635" s="59" t="str">
        <x:v>[ "relacja linii", "napięcie", "wnioskodawca", "parametry planowanego odcinka", "data decyzji" ]</x:v>
      </x:c>
    </x:row>
    <x:row r="2636" ht="30" customHeight="1">
      <x:c r="A2636" s="59" t="str">
        <x:v>SUW_RADK_WOLICA_3_2024</x:v>
      </x:c>
      <x:c r="B2636" s="59" t="str">
        <x:v>potential_application</x:v>
      </x:c>
      <x:c r="C2636" s="59" t="str">
        <x:v>Historyczny dowód relacji 110 kV i osobny rekord inwestycji</x:v>
      </x:c>
    </x:row>
    <x:row r="2637" ht="38" customHeight="1">
      <x:c r="A2637" s="59" t="str">
        <x:v>SUW_RADK_WOLICA_3_2024</x:v>
      </x:c>
      <x:c r="B2637" s="59" t="str">
        <x:v>known_limitations</x:v>
      </x:c>
      <x:c r="C2637" s="59" t="str">
        <x:v>[ "Nie potwierdza realizacji inwestycji", "991,8 m dotyczy zakresu decyzji, nie całej linii", "Brak aktualnej obciążalności i dokładnej granicy własności PSE/PGE" ]</x:v>
      </x:c>
    </x:row>
    <x:row r="2638" ht="80" customHeight="1">
      <x:c r="A2638" s="59" t="str">
        <x:v>SUW_RADK_WOLICA_3_2024</x:v>
      </x:c>
      <x:c r="B2638" s="59" t="str">
        <x:v>evidence</x:v>
      </x:c>
      <x:c r="C2638" s="59" t="str">
        <x:v>[ { "local_path": "data/raw/research/2026-09-11/radkowice_wolica_decision_3_2024.pdf", "url": "https://bip.kielce.uw.gov.pl/download/2/33548/decprzesylnr324.pdf", "retrieval_date": "2026-09-11T13:40:11.4850806Z", "sha256": "10ef3e62e8ab57adec6170f91a1ca57fac4047fc8bf96a0fc4483bd044d2088b", "content_type": [ "application/pdf" ], "source_id": "SUW_RADK_WOLICA_3_2024", "bytes": 178281, "error": null, "http_status": 200, "manifest": "data/catalog/probe_results_radkowice_wolica_2026-09-11.json" } ]</x:v>
      </x:c>
    </x:row>
    <x:row r="2639" ht="30" customHeight="1">
      <x:c r="A2639" s="59" t="str">
        <x:v>SUW_RADK_WOLICA_3_2024</x:v>
      </x:c>
      <x:c r="B2639" s="59" t="str">
        <x:v>retrieval_date</x:v>
      </x:c>
      <x:c r="C2639" s="59" t="str">
        <x:v>[ "2026-09-11T13:40:11.4850806Z" ]</x:v>
      </x:c>
    </x:row>
  </x:sheetData>
  <x:pageMargins left="0.7" right="0.7" top="0.75" bottom="0.75" header="0.3" footer="0.3"/>
  <x:tableParts count="1">
    <x:tablePart xmlns:r="http://schemas.openxmlformats.org/officeDocument/2006/relationships" r:id="Rd15975195a114285"/>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30" customHeight="1">
      <x:c r="A36" s="59" t="str">
        <x:v>PGE_EXPORT_DISCOVERY</x:v>
      </x:c>
      <x:c r="B36" s="59" t="str">
        <x:v>Dostęp / treść</x:v>
      </x:c>
      <x:c r="C36" s="59" t="str">
        <x:v>DISCOVERED</x:v>
      </x:c>
      <x:c r="D36" s="59" t="str">
        <x:v>Treść i aktualność niepotwierdzone; nazwa sugeruje historyczny kwartał.</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30" customHeight="1">
      <x:c r="A38" s="59" t="str">
        <x:v>PGE_PLAN_DISCOVERY</x:v>
      </x:c>
      <x:c r="B38" s="59" t="str">
        <x:v>Dostęp / treść</x:v>
      </x:c>
      <x:c r="C38" s="59" t="str">
        <x:v>BLOCKED</x:v>
      </x:c>
      <x:c r="D38" s="59" t="str">
        <x:v>Nie potwierdzono pełnego tekstu ani aktualnego statusu uzgodnienia.</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PSE_INVESTMENTS_RADK</x:v>
      </x:c>
      <x:c r="B61" s="59" t="str">
        <x:v>Prawa do wykorzystania</x:v>
      </x:c>
      <x:c r="C61" s="59" t="str">
        <x:v>UNKNOWN</x:v>
      </x:c>
      <x:c r="D61" s="59" t="str">
        <x:v>UNKNOWN — nie potwierdzono otwartej licencji wybranego zbioru.</x:v>
      </x:c>
      <x:c r="E61" s="59" t="str">
        <x:v>Wyjaśnić zakres przed produkcyjnym użyciem.</x:v>
      </x:c>
    </x:row>
    <x:row r="62" ht="30" customHeight="1">
      <x:c r="A62" s="59" t="str">
        <x:v>CHECINY_ENERGY_PLAN</x:v>
      </x:c>
      <x:c r="B62" s="59" t="str">
        <x:v>Prawa do wykorzystania</x:v>
      </x:c>
      <x:c r="C62" s="59" t="str">
        <x:v>UNKNOWN</x:v>
      </x:c>
      <x:c r="D62" s="59" t="str">
        <x:v>UNKNOWN — nie potwierdzono otwartej licencji wybranego zbioru.</x:v>
      </x:c>
      <x:c r="E62" s="59" t="str">
        <x:v>Wyjaśnić zakres przed produkcyjnym użyciem.</x:v>
      </x:c>
    </x:row>
    <x:row r="63" ht="30" customHeight="1">
      <x:c r="A63" s="59" t="str">
        <x:v>PSE_TARIFF_2026</x:v>
      </x:c>
      <x:c r="B63" s="59" t="str">
        <x:v>Prawa do wykorzystania</x:v>
      </x:c>
      <x:c r="C63" s="59" t="str">
        <x:v>UNKNOWN</x:v>
      </x:c>
      <x:c r="D63" s="59" t="str">
        <x:v>UNKNOWN — nie potwierdzono otwartej licencji wybranego zbioru.</x:v>
      </x:c>
      <x:c r="E63" s="59" t="str">
        <x:v>Wyjaśnić zakres przed produkcyjnym użyciem.</x:v>
      </x:c>
    </x:row>
    <x:row r="64" ht="38" customHeight="1">
      <x:c r="A64" s="59" t="str">
        <x:v>PGE_RADK_CAPACITY_ATTEMPT</x:v>
      </x:c>
      <x:c r="B64" s="59" t="str">
        <x:v>Dostęp / treść</x:v>
      </x:c>
      <x:c r="C64" s="59" t="str">
        <x:v>BLOCKED</x:v>
      </x:c>
      <x:c r="D64" s="59" t="str">
        <x:v>HTTP 200, 346 bajtów, brak sygnatury PDF; nie pobrano wartości mocy Dowód próby: data/catalog/pge_radkowice_access_2026-09-11.json</x:v>
      </x:c>
      <x:c r="E64" s="59" t="str">
        <x:v>Utrzymać oznaczenie do udanego odczytu.</x:v>
      </x:c>
    </x:row>
    <x:row r="65" ht="30" customHeight="1">
      <x:c r="A65" s="59" t="str">
        <x:v>PGE_RADK_CAPACITY_ATTEMPT</x:v>
      </x:c>
      <x:c r="B65" s="59" t="str">
        <x:v>Prawa do wykorzystania</x:v>
      </x:c>
      <x:c r="C65" s="59" t="str">
        <x:v>UNKNOWN</x:v>
      </x:c>
      <x:c r="D65" s="59" t="str">
        <x:v>UNKNOWN — nie potwierdzono otwartej licencji wybranego zbioru.</x:v>
      </x:c>
      <x:c r="E65" s="59" t="str">
        <x:v>Wyjaśnić zakres przed produkcyjnym użyciem.</x:v>
      </x:c>
    </x:row>
    <x:row r="66" ht="30" customHeight="1">
      <x:c r="A66" s="59" t="str">
        <x:v>SUW_RADK_WOLICA_3_2024</x:v>
      </x:c>
      <x:c r="B66" s="59" t="str">
        <x:v>Prawa do wykorzystania</x:v>
      </x:c>
      <x:c r="C66" s="59" t="str">
        <x:v>UNKNOWN</x:v>
      </x:c>
      <x:c r="D66" s="59" t="str">
        <x:v>UNKNOWN — nie potwierdzono otwartej licencji wybranego zbioru.</x:v>
      </x:c>
      <x:c r="E66" s="59" t="str">
        <x:v>Wyjaśnić zakres przed produkcyjnym użyciem.</x:v>
      </x:c>
    </x:row>
    <x:row r="67" ht="38" customHeight="1">
      <x:c r="A67" s="59" t="str">
        <x:v>KSE-008</x:v>
      </x:c>
      <x:c r="B67" s="59" t="str">
        <x:v>Zadanie</x:v>
      </x:c>
      <x:c r="C67" s="59" t="str">
        <x:v>Zrobione</x:v>
      </x:c>
      <x:c r="D67" s="59" t="str">
        <x:v>Konflikt dat pozostaje nierozstrzygnięty; ukończono kontrolę i kwarantannę.</x:v>
      </x:c>
      <x:c r="E67" s="59" t="str">
        <x:v>Utrzymać kwarantannę do uzyskania spójnej publikacji lub wyjaśnienia operatora.</x:v>
      </x:c>
    </x:row>
    <x:row r="68" ht="38" customHeight="1">
      <x:c r="A68" s="59" t="str">
        <x:v>KSE-009</x:v>
      </x:c>
      <x:c r="B68" s="59" t="str">
        <x:v>Zadanie</x:v>
      </x:c>
      <x:c r="C68" s="59" t="str">
        <x:v>Zagrożone</x:v>
      </x:c>
      <x:c r="D68" s="59" t="str">
        <x:v>HTTP 200 zwracał stronę odrzucenia zamiast danych.</x:v>
      </x:c>
      <x:c r="E68" s="59" t="str">
        <x:v>Bezpośredni PDF nadal zwraca blokadę (11.09); sprawdzić oficjalny alternatywny kanał lub dokumenty przekazane przez użytkownika.</x:v>
      </x:c>
    </x:row>
    <x:row r="69" ht="38" customHeight="1">
      <x:c r="A69" s="59" t="str">
        <x:v>KSE-010</x:v>
      </x:c>
      <x:c r="B69" s="59" t="str">
        <x:v>Zadanie</x:v>
      </x:c>
      <x:c r="C69" s="59" t="str">
        <x:v>Do zrobienia</x:v>
      </x:c>
      <x:c r="D69" s="59" t="str">
        <x:v>Publiczny dostęp nie rozstrzyga komercyjnego wykorzystania; zastrzeżenia Stoen.</x:v>
      </x:c>
      <x:c r="E69" s="59" t="str">
        <x:v>Sprawdzić podstawę wykorzystania XLSX PSE, portalu inwestycji i BIP Chęcin dla pilota Radkowic.</x:v>
      </x:c>
    </x:row>
    <x:row r="70" ht="38" customHeight="1">
      <x:c r="A70" s="59" t="str">
        <x:v>KSE-011</x:v>
      </x:c>
      <x:c r="B70" s="59" t="str">
        <x:v>Zadanie</x:v>
      </x:c>
      <x:c r="C70" s="59" t="str">
        <x:v>Do zrobienia</x:v>
      </x:c>
      <x:c r="D70" s="59" t="str">
        <x:v>Dostarczenie klucza nie jest dowodem jego działania; test jeszcze niewykonany.</x:v>
      </x:c>
      <x:c r="E70" s="59" t="str">
        <x:v>W odrębnym kroku wykonać małe zapytanie z lokalnym poświadczeniem, bez logowania tokenu.</x:v>
      </x:c>
    </x:row>
    <x:row r="71" ht="38" customHeight="1">
      <x:c r="A71" s="59" t="str">
        <x:v>KSE-013</x:v>
      </x:c>
      <x:c r="B71" s="59" t="str">
        <x:v>Zadanie</x:v>
      </x:c>
      <x:c r="C71" s="59" t="str">
        <x:v>W toku</x:v>
      </x:c>
      <x:c r="D71" s="59" t="str">
        <x:v>Brak potwierdzonych granic własności i kompletnego pipeline PGE; prawa źródeł nadal otwarte.</x:v>
      </x:c>
      <x:c r="E71" s="59" t="str">
        <x:v>Potwierdzić granice PSE/PGE i prawa źródeł; relacja 110 kV Radkowice–Wolica ma dowód administracyjny.</x:v>
      </x:c>
    </x:row>
    <x:row r="72" ht="52" customHeight="1">
      <x:c r="A72" s="59" t="str">
        <x:v>KSE-029</x:v>
      </x:c>
      <x:c r="B72" s="59" t="str">
        <x:v>Zadanie</x:v>
      </x:c>
      <x:c r="C72" s="59" t="str">
        <x:v>Do zrobienia</x:v>
      </x:c>
      <x:c r="D72" s="59" t="str">
        <x:v>Publiczne dane mogą nie wystarczyć; brak gwarancji osiągalności etapu.</x:v>
      </x:c>
      <x:c r="E72" s="59" t="str">
        <x:v>Ekspertyza wpływu nie będzie dostępna od użytkownika w tym pilocie. Oceniać inne źródła parametrów; nie uzależniać ewidencji i modelu dokumentacyjnego od power-flow.</x:v>
      </x:c>
    </x:row>
    <x:row r="73" ht="52" customHeight="1">
      <x:c r="A73" s="59" t="str">
        <x:v>KSE-033</x:v>
      </x:c>
      <x:c r="B73" s="59" t="str">
        <x:v>Zadanie</x:v>
      </x:c>
      <x:c r="C73" s="59" t="str">
        <x:v>W toku</x:v>
      </x:c>
      <x:c r="D73" s="59" t="str">
        <x:v>Brak ekspertyzy wpływu nie blokuje ewidencji. Brak danych sieciowych wyklucza wyliczanie rezerwy MW i częstości ograniczeń.</x:v>
      </x:c>
      <x:c r="E73" s="59" t="str">
        <x:v>Prototyp ewidencji miejsc i dziedziczenia prywatności działa; rozwinąć historię, kontrakty wejściowe i integrację. Projekt techniczny może uzupełnić dane później.</x:v>
      </x:c>
    </x:row>
  </x:sheetData>
  <x:pageMargins left="0.7" right="0.7" top="0.75" bottom="0.75" header="0.3" footer="0.3"/>
  <x:tableParts count="1">
    <x:tablePart xmlns:r="http://schemas.openxmlformats.org/officeDocument/2006/relationships" r:id="Rd5921693fb6e40ea"/>
  </x:tableParts>
</x:worksheet>
</file>

<file path=xl/worksheets/sheet8.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38" customHeight="1">
      <x:c r="A7" s="59" t="str">
        <x:v>README.md</x:v>
      </x:c>
      <x:c r="B7" s="59" t="str">
        <x:v>Grid Connection Intelligence - Polska</x:v>
      </x:c>
      <x:c r="C7" s="59" t="str">
        <x:v>Stan na 10.09.2026: zakończony pierwszy przegląd źródeł i prób dostępu. Projekt jest na etapie badań;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0" customHeight="1">
      <x:c r="A9" s="59" t="str">
        <x:v>README.md</x:v>
      </x:c>
      <x:c r="B9" s="59" t="str">
        <x:v>Dokumenty</x:v>
      </x:c>
      <x:c r="C9" s="59" t="str">
        <x:v>- Rejestr TODO (TODO.md) - Raport Excel — generowanie i aktualizacja (docs/project_reporting.md)</x:v>
      </x:c>
    </x:row>
    <x:row r="10" ht="94" customHeight="1">
      <x:c r="A10" s="59" t="str">
        <x:v>README.md</x:v>
      </x:c>
      <x:c r="B10" s="59" t="str">
        <x:v>Dokumenty</x:v>
      </x:c>
      <x:c r="C10"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1" ht="38" customHeight="1">
      <x:c r="A11" s="59" t="str">
        <x:v>README.md</x:v>
      </x:c>
      <x:c r="B11" s="59" t="str">
        <x:v>Dokumenty</x:v>
      </x:c>
      <x:c r="C11" s="59" t="str">
        <x:v>Decyzje (docs/decision_log.md) - Wyniki kontroli lokalnych (data/catalog/research_validation.json) - Pierwszy push i codzienna praca z Git (docs/git_workflow.md) - Odtwarzanie środowiska i archiwum danych (docs/reproducibility.md)</x:v>
      </x:c>
    </x:row>
    <x:row r="12" ht="66" customHeight="1">
      <x:c r="A12" s="59" t="str">
        <x:v>README.md</x:v>
      </x:c>
      <x:c r="B12" s="59" t="str">
        <x:v>Struktura</x:v>
      </x:c>
      <x:c r="C12" s="59" t="str">
        <x:v>connectors/ rezerwuje miejsce dla źródeł PSE, PGE, ENEA, TAURON, Energa, Stoen, ENTSO-E, BIP i GIS. Nie zawiera jeszcze connectorów produkcyjnych. data/raw/research/2026-09-10/ zawiera niezmieniane próbki źródłowe; data/staging/research/ — podglądy kontrolne PDF. data/catalog/ zawiera rejestr i manifesty pobrań z SHA-256. data/processed/ i data/reference/ pozostają bez danych analitycznych. Nie utworzono fikcyjnej infrastruktury.</x:v>
      </x:c>
    </x:row>
    <x:row r="13" ht="30" customHeight="1">
      <x:c r="A13" s="59" t="str">
        <x:v>README.md</x:v>
      </x:c>
      <x:c r="B13" s="59" t="str">
        <x:v>Odtworzenie kontroli</x:v>
      </x:c>
      <x:c r="C13" s="59" t="str">
        <x:v>W Pythonie z pakietami pypdf i openpyxl:</x:v>
      </x:c>
    </x:row>
    <x:row r="14" ht="30" customHeight="1">
      <x:c r="A14" s="59" t="str">
        <x:v>README.md</x:v>
      </x:c>
      <x:c r="B14" s="59" t="str">
        <x:v>Odtworzenie kontroli</x:v>
      </x:c>
      <x:c r="C14" s="59" t="str">
        <x:v>python scripts/build_research_catalog.py python scripts/validate_research.py</x:v>
      </x:c>
    </x:row>
    <x:row r="15" ht="52" customHeight="1">
      <x:c r="A15" s="59" t="str">
        <x:v>README.md</x:v>
      </x:c>
      <x:c r="B15" s="59" t="str">
        <x:v>Odtworzenie kontroli</x:v>
      </x:c>
      <x:c r="C15" s="59" t="str">
        <x:v>Pierwszy skrypt generuje katalog i jego widok Markdown z jawnych notatek data/catalog/source_notes.json. Drugi sprawdza integralność zachowanych próbek, strukturę katalogu i podstawowe formaty danych. Są to narzędzia badawcze, nie pipeline normalizujący dane do modelu sieci.</x:v>
      </x:c>
    </x:row>
    <x:row r="16" ht="52" customHeight="1">
      <x:c r="A16" s="59" t="str">
        <x:v>README.md</x:v>
      </x:c>
      <x:c r="B16" s="59" t="str">
        <x:v>Odtworzenie kontroli</x:v>
      </x:c>
      <x:c r="C16"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17" ht="52" customHeight="1">
      <x:c r="A17" s="59" t="str">
        <x:v>README.md</x:v>
      </x:c>
      <x:c r="B17" s="59" t="str">
        <x:v>Odtworzenie kontroli</x:v>
      </x:c>
      <x:c r="C17" s="59" t="str">
        <x:v>Próbki źródłowe są lokalnym materiałem audytowym i nie są przeznaczone do publikacji w Git. Dostęp techniczny nie stanowi potwierdzenia praw do komercyjnego ponownego wykorzystania. Nie wybrano jeszcze ostatecznej architektury, regionu pilotażowego ani wag scoringu.</x:v>
      </x:c>
    </x:row>
    <x:row r="18" ht="38" customHeight="1">
      <x:c r="A18" s="59" t="str">
        <x:v>README.md</x:v>
      </x:c>
      <x:c r="B18" s="59" t="str">
        <x:v>Odtworzenie kontroli</x:v>
      </x:c>
      <x:c r="C18" s="59" t="str">
        <x:v>Folder _secrets/ jest lokalny i wykluczony z Git, także w podkatalogach. Nie dodawać go przez git add -f ani do archiwów źródeł; poświadczenia nie są danymi badawczymi.</x:v>
      </x:c>
    </x:row>
    <x:row r="19" ht="38" customHeight="1">
      <x:c r="A19" s="59" t="str">
        <x:v>docs/01_data_research.md</x:v>
      </x:c>
      <x:c r="B19" s="59" t="str">
        <x:v>Publiczne dane dla Grid Connection Intelligence w Polsce</x:v>
      </x:c>
      <x:c r="C19" s="59" t="str">
        <x:v>Etap 1 — raport badawczy. Data sprawdzenia źródeł: 10 września 2026 r.</x:v>
      </x:c>
    </x:row>
    <x:row r="20" ht="52" customHeight="1">
      <x:c r="A20" s="59" t="str">
        <x:v>docs/01_data_research.md</x:v>
      </x:c>
      <x:c r="B20" s="59" t="str">
        <x:v>Publiczne dane dla Grid Connection Intelligence w Polsce</x:v>
      </x:c>
      <x:c r="C20"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1" ht="66" customHeight="1">
      <x:c r="A21" s="59" t="str">
        <x:v>docs/01_data_research.md</x:v>
      </x:c>
      <x:c r="B21" s="59" t="str">
        <x:v>1. Executive summary</x:v>
      </x:c>
      <x:c r="C21"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2" ht="66" customHeight="1">
      <x:c r="A22" s="59" t="str">
        <x:v>docs/01_data_research.md</x:v>
      </x:c>
      <x:c r="B22" s="59" t="str">
        <x:v>1. Executive summary</x:v>
      </x:c>
      <x:c r="C22"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3" ht="30" customHeight="1">
      <x:c r="A23" s="59" t="str">
        <x:v>docs/01_data_research.md</x:v>
      </x:c>
      <x:c r="B23" s="59" t="str">
        <x:v>1. Executive summary</x:v>
      </x:c>
      <x:c r="C23" s="59" t="str">
        <x:v>Poziom sieci / Realistyczny produkt z danych publicznych / Granica dokładności</x:v>
      </x:c>
    </x:row>
    <x:row r="24" ht="52" customHeight="1">
      <x:c r="A24" s="59" t="str">
        <x:v>docs/01_data_research.md</x:v>
      </x:c>
      <x:c r="B24" s="59" t="str">
        <x:v>1. Executive summary</x:v>
      </x:c>
      <x:c r="C24"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5" ht="52" customHeight="1">
      <x:c r="A25" s="59" t="str">
        <x:v>docs/01_data_research.md</x:v>
      </x:c>
      <x:c r="B25" s="59" t="str">
        <x:v>1. Executive summary</x:v>
      </x:c>
      <x:c r="C25"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26" ht="52" customHeight="1">
      <x:c r="A26" s="59" t="str">
        <x:v>docs/01_data_research.md</x:v>
      </x:c>
      <x:c r="B26" s="59" t="str">
        <x:v>1. Executive summary</x:v>
      </x:c>
      <x:c r="C26"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7" ht="52" customHeight="1">
      <x:c r="A27" s="59" t="str">
        <x:v>docs/01_data_research.md</x:v>
      </x:c>
      <x:c r="B27" s="59" t="str">
        <x:v>1. Executive summary</x:v>
      </x:c>
      <x:c r="C27"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8" ht="66" customHeight="1">
      <x:c r="A28" s="59" t="str">
        <x:v>docs/01_data_research.md</x:v>
      </x:c>
      <x:c r="B28" s="59" t="str">
        <x:v>1. Executive summary</x:v>
      </x:c>
      <x:c r="C28"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9" ht="52" customHeight="1">
      <x:c r="A29" s="59" t="str">
        <x:v>docs/01_data_research.md</x:v>
      </x:c>
      <x:c r="B29" s="59" t="str">
        <x:v>1. Executive summary</x:v>
      </x:c>
      <x:c r="C29"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0" ht="66" customHeight="1">
      <x:c r="A30" s="59" t="str">
        <x:v>docs/01_data_research.md</x:v>
      </x:c>
      <x:c r="B30" s="59" t="str">
        <x:v>2. Jak wykonano badanie i jak czytać jego wyniki</x:v>
      </x:c>
      <x:c r="C30"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1" ht="30" customHeight="1">
      <x:c r="A31" s="59" t="str">
        <x:v>docs/01_data_research.md</x:v>
      </x:c>
      <x:c r="B31" s="59" t="str">
        <x:v>2. Jak wykonano badanie i jak czytać jego wyniki</x:v>
      </x:c>
      <x:c r="C31" s="59" t="str">
        <x:v>Badanie obejmuje trzy różne rodzaje dowodu:</x:v>
      </x:c>
    </x:row>
    <x:row r="32" ht="66" customHeight="1">
      <x:c r="A32" s="59" t="str">
        <x:v>docs/01_data_research.md</x:v>
      </x:c>
      <x:c r="B32" s="59" t="str">
        <x:v>2. Jak wykonano badanie i jak czytać jego wyniki</x:v>
      </x:c>
      <x:c r="C32"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3" ht="52" customHeight="1">
      <x:c r="A33" s="59" t="str">
        <x:v>docs/01_data_research.md</x:v>
      </x:c>
      <x:c r="B33" s="59" t="str">
        <x:v>2. Jak wykonano badanie i jak czytać jego wyniki</x:v>
      </x:c>
      <x:c r="C33"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4" ht="66" customHeight="1">
      <x:c r="A34" s="59" t="str">
        <x:v>docs/01_data_research.md</x:v>
      </x:c>
      <x:c r="B34" s="59" t="str">
        <x:v>2. Jak wykonano badanie i jak czytać jego wyniki</x:v>
      </x:c>
      <x:c r="C34"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5" ht="38" customHeight="1">
      <x:c r="A35" s="59" t="str">
        <x:v>docs/01_data_research.md</x:v>
      </x:c>
      <x:c r="B35" s="59" t="str">
        <x:v>2. Jak wykonano badanie i jak czytać jego wyniki</x:v>
      </x:c>
      <x:c r="C35"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36" ht="80" customHeight="1">
      <x:c r="A36" s="59" t="str">
        <x:v>docs/01_data_research.md</x:v>
      </x:c>
      <x:c r="B36" s="59" t="str">
        <x:v>3.1. Dane o podmiotach i etapach przyłączenia</x:v>
      </x:c>
      <x:c r="C36"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37" ht="66" customHeight="1">
      <x:c r="A37" s="59" t="str">
        <x:v>docs/01_data_research.md</x:v>
      </x:c>
      <x:c r="B37" s="59" t="str">
        <x:v>3.1. Dane o podmiotach i etapach przyłączenia</x:v>
      </x:c>
      <x:c r="C37"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38" ht="80" customHeight="1">
      <x:c r="A38" s="59" t="str">
        <x:v>docs/01_data_research.md</x:v>
      </x:c>
      <x:c r="B38" s="59" t="str">
        <x:v>3.2. Publikowane moce przyłączeniowe</x:v>
      </x:c>
      <x:c r="C38"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39" ht="38" customHeight="1">
      <x:c r="A39" s="59" t="str">
        <x:v>docs/01_data_research.md</x:v>
      </x:c>
      <x:c r="B39" s="59" t="str">
        <x:v>3.2. Publikowane moce przyłączeniowe</x:v>
      </x:c>
      <x:c r="C39" s="59" t="str">
        <x:v>(https://www.pse.pl/documents/20182/51490/informacja_o_dostepnosci_mocy_przylaczeniowej_do_sieci_przesylowej.pdf/81835e70-c6bb-4ed1-8154-1959a45b44f1).</x:v>
      </x:c>
    </x:row>
    <x:row r="40" ht="80" customHeight="1">
      <x:c r="A40" s="59" t="str">
        <x:v>docs/01_data_research.md</x:v>
      </x:c>
      <x:c r="B40" s="59" t="str">
        <x:v>3.3. API raportowe</x:v>
      </x:c>
      <x:c r="C40"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1" ht="80" customHeight="1">
      <x:c r="A41" s="59" t="str">
        <x:v>docs/01_data_research.md</x:v>
      </x:c>
      <x:c r="B41" s="59" t="str">
        <x:v>3.3. API raportowe</x:v>
      </x:c>
      <x:c r="C41"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2" ht="66" customHeight="1">
      <x:c r="A42" s="59" t="str">
        <x:v>docs/01_data_research.md</x:v>
      </x:c>
      <x:c r="B42" s="59" t="str">
        <x:v>3.4. Topologia i przyszła sieć</x:v>
      </x:c>
      <x:c r="C42"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3" ht="66" customHeight="1">
      <x:c r="A43" s="59" t="str">
        <x:v>docs/01_data_research.md</x:v>
      </x:c>
      <x:c r="B43" s="59" t="str">
        <x:v>3.4. Topologia i przyszła sieć</x:v>
      </x:c>
      <x:c r="C43"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4" ht="80" customHeight="1">
      <x:c r="A44" s="59" t="str">
        <x:v>docs/01_data_research.md</x:v>
      </x:c>
      <x:c r="B44" s="59" t="str">
        <x:v>4.1. Energa-Operator</x:v>
      </x:c>
      <x:c r="C44"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5" ht="66" customHeight="1">
      <x:c r="A45" s="59" t="str">
        <x:v>docs/01_data_research.md</x:v>
      </x:c>
      <x:c r="B45" s="59" t="str">
        <x:v>4.1. Energa-Operator</x:v>
      </x:c>
      <x:c r="C45"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46" ht="66" customHeight="1">
      <x:c r="A46" s="59" t="str">
        <x:v>docs/01_data_research.md</x:v>
      </x:c>
      <x:c r="B46" s="59" t="str">
        <x:v>4.1. Energa-Operator</x:v>
      </x:c>
      <x:c r="C46"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47" ht="52" customHeight="1">
      <x:c r="A47" s="59" t="str">
        <x:v>docs/01_data_research.md</x:v>
      </x:c>
      <x:c r="B47" s="59" t="str">
        <x:v>4.1. Energa-Operator</x:v>
      </x:c>
      <x:c r="C47" s="59" t="str">
        <x:v>Plan 2026–2031 jest opisany jako uzgodniony. Może zasilać rejestr przyszłych inwestycji, lecz planowana data nie jest potwierdzeniem oddania do ruchu. Energa — plan rozwoju i status, sprawdzono 10.09.2026 (https://energa-operator.pl/raporty-i-liczby/plan-rozwoju).</x:v>
      </x:c>
    </x:row>
    <x:row r="48" ht="66" customHeight="1">
      <x:c r="A48" s="59" t="str">
        <x:v>docs/01_data_research.md</x:v>
      </x:c>
      <x:c r="B48" s="59" t="str">
        <x:v>4.2. ENEA Operator</x:v>
      </x:c>
      <x:c r="C48"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49" ht="80" customHeight="1">
      <x:c r="A49" s="59" t="str">
        <x:v>docs/01_data_research.md</x:v>
      </x:c>
      <x:c r="B49" s="59" t="str">
        <x:v>4.2. ENEA Operator</x:v>
      </x:c>
      <x:c r="C49"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0" ht="38" customHeight="1">
      <x:c r="A50" s="59" t="str">
        <x:v>docs/01_data_research.md</x:v>
      </x:c>
      <x:c r="B50" s="59" t="str">
        <x:v>4.2. ENEA Operator</x:v>
      </x:c>
      <x:c r="C50" s="59" t="str">
        <x:v>Plan 2026–2031 jest przedstawiony jako uzgodniony z URE. To źródło inwestycji, nie dynamicznych przepływów. ENEA — plan rozwoju, sprawdzono 10.09.2026 (https://www.operator.enea.pl/plan-rozwoju-enea-operator-na-lata-2026-2031).</x:v>
      </x:c>
    </x:row>
    <x:row r="51" ht="80" customHeight="1">
      <x:c r="A51" s="59" t="str">
        <x:v>docs/01_data_research.md</x:v>
      </x:c>
      <x:c r="B51" s="59" t="str">
        <x:v>4.3. TAURON Dystrybucja</x:v>
      </x:c>
      <x:c r="C51"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2" ht="66" customHeight="1">
      <x:c r="A52" s="59" t="str">
        <x:v>docs/01_data_research.md</x:v>
      </x:c>
      <x:c r="B52" s="59" t="str">
        <x:v>4.3. TAURON Dystrybucja</x:v>
      </x:c>
      <x:c r="C52"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3" ht="52" customHeight="1">
      <x:c r="A53" s="59" t="str">
        <x:v>docs/01_data_research.md</x:v>
      </x:c>
      <x:c r="B53" s="59" t="str">
        <x:v>4.4. Stoen Operator</x:v>
      </x:c>
      <x:c r="C53"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4" ht="66" customHeight="1">
      <x:c r="A54" s="59" t="str">
        <x:v>docs/01_data_research.md</x:v>
      </x:c>
      <x:c r="B54" s="59" t="str">
        <x:v>4.4. Stoen Operator</x:v>
      </x:c>
      <x:c r="C54"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5" ht="66" customHeight="1">
      <x:c r="A55" s="59" t="str">
        <x:v>docs/01_data_research.md</x:v>
      </x:c>
      <x:c r="B55" s="59" t="str">
        <x:v>4.4. Stoen Operator</x:v>
      </x:c>
      <x:c r="C55"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56" ht="94" customHeight="1">
      <x:c r="A56" s="59" t="str">
        <x:v>docs/01_data_research.md</x:v>
      </x:c>
      <x:c r="B56" s="59" t="str">
        <x:v>4.5. PGE Dystrybucja</x:v>
      </x:c>
      <x:c r="C56"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57" ht="66" customHeight="1">
      <x:c r="A57" s="59" t="str">
        <x:v>docs/01_data_research.md</x:v>
      </x:c>
      <x:c r="B57" s="59" t="str">
        <x:v>4.6. Mniejsi operatorzy i pokrycie projektów odbiorczych</x:v>
      </x:c>
      <x:c r="C57"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58" ht="52" customHeight="1">
      <x:c r="A58" s="59" t="str">
        <x:v>docs/01_data_research.md</x:v>
      </x:c>
      <x:c r="B58" s="59" t="str">
        <x:v>4.6. Mniejsi operatorzy i pokrycie projektów odbiorczych</x:v>
      </x:c>
      <x:c r="C58"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59" ht="66" customHeight="1">
      <x:c r="A59" s="59" t="str">
        <x:v>docs/01_data_research.md</x:v>
      </x:c>
      <x:c r="B59" s="59" t="str">
        <x:v>5. Rejestry administracyjne i odkrywanie projektów</x:v>
      </x:c>
      <x:c r="C59"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0" ht="80" customHeight="1">
      <x:c r="A60" s="59" t="str">
        <x:v>docs/01_data_research.md</x:v>
      </x:c>
      <x:c r="B60" s="59" t="str">
        <x:v>5. Rejestry administracyjne i odkrywanie projektów</x:v>
      </x:c>
      <x:c r="C60"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1" ht="52" customHeight="1">
      <x:c r="A61" s="59" t="str">
        <x:v>docs/01_data_research.md</x:v>
      </x:c>
      <x:c r="B61" s="59" t="str">
        <x:v>5. Rejestry administracyjne i odkrywanie projektów</x:v>
      </x:c>
      <x:c r="C61"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2" ht="80" customHeight="1">
      <x:c r="A62" s="59" t="str">
        <x:v>docs/01_data_research.md</x:v>
      </x:c>
      <x:c r="B62" s="59" t="str">
        <x:v>5. Rejestry administracyjne i odkrywanie projektów</x:v>
      </x:c>
      <x:c r="C62"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3" ht="38" customHeight="1">
      <x:c r="A63" s="59" t="str">
        <x:v>docs/01_data_research.md</x:v>
      </x:c>
      <x:c r="B63" s="59" t="str">
        <x:v>6. Dane przestrzenne</x:v>
      </x:c>
      <x:c r="C63" s="59" t="str">
        <x:v>Warstwa GIS może wykluczać ewidentnie problematyczne korytarze i wspierać wybór kandydatów. Nie wyznacza samodzielnie możliwej do uzyskania służebności, warunków przekroczenia drogi ani wykonalności przyłącza.</x:v>
      </x:c>
    </x:row>
    <x:row r="64" ht="30" customHeight="1">
      <x:c r="A64" s="59" t="str">
        <x:v>docs/01_data_research.md</x:v>
      </x:c>
      <x:c r="B64" s="59" t="str">
        <x:v>6. Dane przestrzenne</x:v>
      </x:c>
      <x:c r="C64" s="59" t="str">
        <x:v>Źródło i data kontroli / Potwierdzony interfejs / zawartość / Ograniczenie</x:v>
      </x:c>
    </x:row>
    <x:row r="65" ht="66" customHeight="1">
      <x:c r="A65" s="59" t="str">
        <x:v>docs/01_data_research.md</x:v>
      </x:c>
      <x:c r="B65" s="59" t="str">
        <x:v>6. Dane przestrzenne</x:v>
      </x:c>
      <x:c r="C65"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66" ht="52" customHeight="1">
      <x:c r="A66" s="59" t="str">
        <x:v>docs/01_data_research.md</x:v>
      </x:c>
      <x:c r="B66" s="59" t="str">
        <x:v>6. Dane przestrzenne</x:v>
      </x:c>
      <x:c r="C66" s="59" t="str">
        <x:v>BDOT10k (https://www.geoportal.gov.pl/pl/dane/baza-danych-obiektow-topograficznych-bdot10k/), 10.09.2026 / Pakiety danych i usługa WMS do pobierania; drogi, kolej, obiekty topograficzne / Parametry sieci elektrycznej i stan łączników nie wynikają z topografii</x:v>
      </x:c>
    </x:row>
    <x:row r="67" ht="52" customHeight="1">
      <x:c r="A67" s="59" t="str">
        <x:v>docs/01_data_research.md</x:v>
      </x:c>
      <x:c r="B67" s="59" t="str">
        <x:v>6. Dane przestrzenne</x:v>
      </x:c>
      <x:c r="C67"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68" ht="52" customHeight="1">
      <x:c r="A68" s="59" t="str">
        <x:v>docs/01_data_research.md</x:v>
      </x:c>
      <x:c r="B68" s="59" t="str">
        <x:v>6. Dane przestrzenne</x:v>
      </x:c>
      <x:c r="C68" s="59" t="str">
        <x:v>Ortofotomapa (https://www.geoportal.gov.pl/pl/dane/ortofotomapa-orto/), 10.09.2026 / WMS/WMTS i pobieranie; strona opisuje bezpłatne wykorzystanie / Data zdjęcia różna od daty pobrania; widoczny przewód nie potwierdza napięcia ani połączenia elektrycznego</x:v>
      </x:c>
    </x:row>
    <x:row r="69" ht="38" customHeight="1">
      <x:c r="A69" s="59" t="str">
        <x:v>docs/01_data_research.md</x:v>
      </x:c>
      <x:c r="B69" s="59" t="str">
        <x:v>6. Dane przestrzenne</x:v>
      </x:c>
      <x:c r="C69" s="59" t="str">
        <x:v>NMT (https://www.geoportal.gov.pl/pl/dane/numeryczny-model-terenu-nmt/), 10.09.2026 / Pliki wysokościowe/usługi opisane przez GUGiK / Rozdzielczość, pionowy układ odniesienia i aktualność wymagają zachowania w metadanych</x:v>
      </x:c>
    </x:row>
    <x:row r="70" ht="38" customHeight="1">
      <x:c r="A70" s="59" t="str">
        <x:v>docs/01_data_research.md</x:v>
      </x:c>
      <x:c r="B70" s="59" t="str">
        <x:v>6. Dane przestrzenne</x:v>
      </x:c>
      <x:c r="C70" s="59" t="str">
        <x:v>Integracja MPZP (https://mapy.geoportal.gov.pl/wss/ext/KrajowaIntegracjaMiejscowychPlanowZagospodarowaniaPrzestrzennego?lang=pol), 10.09.2026 / Zintegrowane prezentowanie planów / Obraz mapy nie zastępuje tekstu uchwały i ustaleń konkretnej gminy</x:v>
      </x:c>
    </x:row>
    <x:row r="71" ht="38" customHeight="1">
      <x:c r="A71" s="59" t="str">
        <x:v>docs/01_data_research.md</x:v>
      </x:c>
      <x:c r="B71" s="59" t="str">
        <x:v>6. Dane przestrzenne</x:v>
      </x:c>
      <x:c r="C71" s="59" t="str">
        <x:v>Rejestr Urbanistyczny (https://rejestr-urbanistyczny.gov.pl/published), 10.09.2026 / Otwarty interfejs strony / Nie potwierdzono kompletności, eksportu i stabilnego publicznego API; nie uznano go za gotowy krajowy connector</x:v>
      </x:c>
    </x:row>
    <x:row r="72" ht="52" customHeight="1">
      <x:c r="A72" s="59" t="str">
        <x:v>docs/01_data_research.md</x:v>
      </x:c>
      <x:c r="B72" s="59" t="str">
        <x:v>6. Dane przestrzenne</x:v>
      </x:c>
      <x:c r="C72" s="59" t="str">
        <x:v>GDOŚ WFS (https://sdi.gdos.gov.pl/wfs?SERVICE=WFS&amp;REQUEST=GetCapabilities), 10.09.2026 / Potwierdzone GetCapabilities; chronione obszary i Natura 2000 / Usługa nie zastępuje aktów ustanawiających ochronę; nie przeprowadzono walidacji wszystkich geometrii</x:v>
      </x:c>
    </x:row>
    <x:row r="73" ht="52" customHeight="1">
      <x:c r="A73" s="59" t="str">
        <x:v>docs/01_data_research.md</x:v>
      </x:c>
      <x:c r="B73" s="59" t="str">
        <x:v>6. Dane przestrzenne</x:v>
      </x:c>
      <x:c r="C73"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4" ht="52" customHeight="1">
      <x:c r="A74" s="59" t="str">
        <x:v>docs/01_data_research.md</x:v>
      </x:c>
      <x:c r="B74" s="59" t="str">
        <x:v>6. Dane przestrzenne</x:v>
      </x:c>
      <x:c r="C74"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5" ht="52" customHeight="1">
      <x:c r="A75" s="59" t="str">
        <x:v>docs/01_data_research.md</x:v>
      </x:c>
      <x:c r="B75" s="59" t="str">
        <x:v>6. Dane przestrzenne</x:v>
      </x:c>
      <x:c r="C75"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76" ht="80" customHeight="1">
      <x:c r="A76" s="59" t="str">
        <x:v>docs/01_data_research.md</x:v>
      </x:c>
      <x:c r="B76" s="59" t="str">
        <x:v>7.1. Dane systemowe</x:v>
      </x:c>
      <x:c r="C76"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77" ht="30" customHeight="1">
      <x:c r="A77" s="59" t="str">
        <x:v>docs/01_data_research.md</x:v>
      </x:c>
      <x:c r="B77" s="59" t="str">
        <x:v>7.1. Dane systemowe</x:v>
      </x:c>
      <x:c r="C77" s="59" t="str">
        <x:v>(https://transparencyplatform.zendesk.com/hc/en-us/articles/12783148966036-API-Rate-Limit-Part-1), sprawdzono 10.09.2026.</x:v>
      </x:c>
    </x:row>
    <x:row r="78" ht="52" customHeight="1">
      <x:c r="A78" s="59" t="str">
        <x:v>docs/01_data_research.md</x:v>
      </x:c>
      <x:c r="B78" s="59" t="str">
        <x:v>7.1. Dane systemowe</x:v>
      </x:c>
      <x:c r="C78"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79" ht="94" customHeight="1">
      <x:c r="A79" s="59" t="str">
        <x:v>docs/01_data_research.md</x:v>
      </x:c>
      <x:c r="B79" s="59" t="str">
        <x:v>7.1. Dane systemowe</x:v>
      </x:c>
      <x:c r="C79"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0" ht="30" customHeight="1">
      <x:c r="A80" s="59" t="str">
        <x:v>docs/01_data_research.md</x:v>
      </x:c>
      <x:c r="B80" s="59" t="str">
        <x:v>7.1. Dane systemowe</x:v>
      </x:c>
      <x:c r="C80" s="59" t="str">
        <x:v>Ember — dokumentacja (https://api.ember-energy.org/v1/docs), sprawdzono 10.09.2026.</x:v>
      </x:c>
    </x:row>
    <x:row r="81" ht="66" customHeight="1">
      <x:c r="A81" s="59" t="str">
        <x:v>docs/01_data_research.md</x:v>
      </x:c>
      <x:c r="B81" s="59" t="str">
        <x:v>7.1. Dane systemowe</x:v>
      </x:c>
      <x:c r="C81"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2" ht="80" customHeight="1">
      <x:c r="A82" s="59" t="str">
        <x:v>docs/01_data_research.md</x:v>
      </x:c>
      <x:c r="B82" s="59" t="str">
        <x:v>7.1. Dane systemowe</x:v>
      </x:c>
      <x:c r="C82"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3" ht="38" customHeight="1">
      <x:c r="A83" s="59" t="str">
        <x:v>docs/01_data_research.md</x:v>
      </x:c>
      <x:c r="B83" s="59" t="str">
        <x:v>7.2. Czy istnieje gotowy model topologii Polski?</x:v>
      </x:c>
      <x:c r="C83" s="59" t="str">
        <x:v>Istnieją materiały do zbudowania grafu referencyjnego, ale w badaniu nie potwierdzono gotowego publicznego modelu odpowiadającego bieżącej polskiej sieci operacyjnej i wszystkim potrzebom przyłączeniowym.</x:v>
      </x:c>
    </x:row>
    <x:row r="84" ht="30" customHeight="1">
      <x:c r="A84" s="59" t="str">
        <x:v>docs/01_data_research.md</x:v>
      </x:c>
      <x:c r="B84" s="59" t="str">
        <x:v>7.2. Czy istnieje gotowy model topologii Polski?</x:v>
      </x:c>
      <x:c r="C84" s="59" t="str">
        <x:v>Źródło, sprawdzone 10.09.2026 / Możliwe zastosowanie / Czego nie dowodzi</x:v>
      </x:c>
    </x:row>
    <x:row r="85" ht="38" customHeight="1">
      <x:c r="A85" s="59" t="str">
        <x:v>docs/01_data_research.md</x:v>
      </x:c>
      <x:c r="B85" s="59" t="str">
        <x:v>7.2. Czy istnieje gotowy model topologii Polski?</x:v>
      </x:c>
      <x:c r="C85" s="59" t="str">
        <x:v>ENTSO-E Grid Map (https://www.entsoe.eu/data/map/downloads/) / Mapa przeglądowa sieci przesyłowej; dostępne wydanie opisane jako aktualizowane w 2024 r. / Układu ruchowego i parametrów każdego elementu w 2026 r.</x:v>
      </x:c>
    </x:row>
    <x:row r="86" ht="52" customHeight="1">
      <x:c r="A86" s="59" t="str">
        <x:v>docs/01_data_research.md</x:v>
      </x:c>
      <x:c r="B86" s="59" t="str">
        <x:v>7.2. Czy istnieje gotowy model topologii Polski?</x:v>
      </x:c>
      <x:c r="C86"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87" ht="38" customHeight="1">
      <x:c r="A87" s="59" t="str">
        <x:v>docs/01_data_research.md</x:v>
      </x:c>
      <x:c r="B87" s="59" t="str">
        <x:v>7.2. Czy istnieje gotowy model topologii Polski?</x:v>
      </x:c>
      <x:c r="C87" s="59" t="str">
        <x:v>OpenInfraMap (https://openinframap.org/about) / Czytelny podgląd warstwy energetycznej OSM / Niezależnego potwierdzenia OSM — to wizualizacja tych samych danych</x:v>
      </x:c>
    </x:row>
    <x:row r="88" ht="52" customHeight="1">
      <x:c r="A88" s="59" t="str">
        <x:v>docs/01_data_research.md</x:v>
      </x:c>
      <x:c r="B88" s="59" t="str">
        <x:v>7.2. Czy istnieje gotowy model topologii Polski?</x:v>
      </x:c>
      <x:c r="C88"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89" ht="52" customHeight="1">
      <x:c r="A89" s="59" t="str">
        <x:v>docs/01_data_research.md</x:v>
      </x:c>
      <x:c r="B89" s="59" t="str">
        <x:v>7.2. Czy istnieje gotowy model topologii Polski?</x:v>
      </x:c>
      <x:c r="C89"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0" ht="52" customHeight="1">
      <x:c r="A90" s="59" t="str">
        <x:v>docs/01_data_research.md</x:v>
      </x:c>
      <x:c r="B90" s="59" t="str">
        <x:v>7.2. Czy istnieje gotowy model topologii Polski?</x:v>
      </x:c>
      <x:c r="C90"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1" ht="38" customHeight="1">
      <x:c r="A91" s="59" t="str">
        <x:v>docs/01_data_research.md</x:v>
      </x:c>
      <x:c r="B91" s="59" t="str">
        <x:v>7.3. Biblioteki — ocena przydatności, bez dodawania zależności</x:v>
      </x:c>
      <x:c r="C91" s="59" t="str">
        <x:v>Narzędzie, sprawdzone 10.09.2026 / Zastosowanie po spełnieniu warunków / Decyzja etapu 1</x:v>
      </x:c>
    </x:row>
    <x:row r="92" ht="38" customHeight="1">
      <x:c r="A92" s="59" t="str">
        <x:v>docs/01_data_research.md</x:v>
      </x:c>
      <x:c r="B92" s="59" t="str">
        <x:v>7.3. Biblioteki — ocena przydatności, bez dodawania zależności</x:v>
      </x:c>
      <x:c r="C92" s="59" t="str">
        <x:v>pandapower (https://github.com/e2nIEE/pandapower) / Analiza rozpływów przy kompletnych parametrach i założeniach / Kandydat do późniejszej walidacji; wbudowane przykłady nie są aktualnym modelem Polski</x:v>
      </x:c>
    </x:row>
    <x:row r="93" ht="38" customHeight="1">
      <x:c r="A93" s="59" t="str">
        <x:v>docs/01_data_research.md</x:v>
      </x:c>
      <x:c r="B93" s="59" t="str">
        <x:v>7.3. Biblioteki — ocena przydatności, bez dodawania zależności</x:v>
      </x:c>
      <x:c r="C93" s="59" t="str">
        <x:v>PyPSA-Eur (https://github.com/PyPSA/pypsa-eur) / Scenariusze systemowe i przygotowanie modeli / Przeanalizować metody, zachować licencje poszczególnych danych niezależnie od kodu</x:v>
      </x:c>
    </x:row>
    <x:row r="94" ht="38" customHeight="1">
      <x:c r="A94" s="59" t="str">
        <x:v>docs/01_data_research.md</x:v>
      </x:c>
      <x:c r="B94" s="59" t="str">
        <x:v>7.3. Biblioteki — ocena przydatności, bez dodawania zależności</x:v>
      </x:c>
      <x:c r="C94" s="59" t="str">
        <x:v>GridCal / VeraGrid (https://github.com/SanPen/VeraGrid) / Narzędzia analizy sieci; repozytorium obecnie pod nazwą VeraGrid, licencja MPL-2.0 / Alternatywa do porównania dopiero z rzeczywistym przypadkiem testowym</x:v>
      </x:c>
    </x:row>
    <x:row r="95" ht="38" customHeight="1">
      <x:c r="A95" s="59" t="str">
        <x:v>docs/01_data_research.md</x:v>
      </x:c>
      <x:c r="B95" s="59" t="str">
        <x:v>7.3. Biblioteki — ocena przydatności, bez dodawania zależności</x:v>
      </x:c>
      <x:c r="C95" s="59" t="str">
        <x:v>MATPOWER (https://github.com/MATPOWER/matpower) / Referencyjne obliczenia i przypadki testowe / Benchmark, nie źródło aktualnego KSE</x:v>
      </x:c>
    </x:row>
    <x:row r="96" ht="38" customHeight="1">
      <x:c r="A96" s="59" t="str">
        <x:v>docs/01_data_research.md</x:v>
      </x:c>
      <x:c r="B96" s="59" t="str">
        <x:v>7.3. Biblioteki — ocena przydatności, bez dodawania zależności</x:v>
      </x:c>
      <x:c r="C96" s="59" t="str">
        <x:v>PowerModels.jl (https://github.com/lanl-ansi/PowerModels.jl) / Formułowanie problemów optymalizacji sieci / Dodatkowy stos Julia nie jest uzasadniony dla etapu dokumentacyjnego</x:v>
      </x:c>
    </x:row>
    <x:row r="97" ht="38" customHeight="1">
      <x:c r="A97" s="59" t="str">
        <x:v>docs/01_data_research.md</x:v>
      </x:c>
      <x:c r="B97" s="59" t="str">
        <x:v>7.3. Biblioteki — ocena przydatności, bez dodawania zależności</x:v>
      </x:c>
      <x:c r="C97" s="59" t="str">
        <x:v>Dobór solvera nie usuwa braku danych wejściowych. Warunki licencyjne kodu należy sprawdzać dla przypiętej wersji, a danych — osobno. Nie instalowano tych bibliotek ani nie uruchamiano obliczeń rozpływowych.</x:v>
      </x:c>
    </x:row>
    <x:row r="98" ht="38" customHeight="1">
      <x:c r="A98" s="59" t="str">
        <x:v>docs/01_data_research.md</x:v>
      </x:c>
      <x:c r="B98" s="59" t="str">
        <x:v>8. Czy można odtworzyć project → feeder → GPZ → 110 kV → SE PSE?</x:v>
      </x:c>
      <x:c r="C98" s="59" t="str">
        <x:v>Częściowo, dla wybranych projektów i odcinków. Nie wykazano możliwości kompletnego odtworzenia tego łańcucha w całej Polsce.</x:v>
      </x:c>
    </x:row>
    <x:row r="99" ht="38" customHeight="1">
      <x:c r="A99" s="59" t="str">
        <x:v>docs/01_data_research.md</x:v>
      </x:c>
      <x:c r="B99" s="59" t="str">
        <x:v>8. Czy można odtworzyć project → feeder → GPZ → 110 kV → SE PSE?</x:v>
      </x:c>
      <x:c r="C99" s="59" t="str">
        <x:v>Relacja / Dostępny dowód / Zasada modelowania</x:v>
      </x:c>
    </x:row>
    <x:row r="100" ht="38" customHeight="1">
      <x:c r="A100" s="59" t="str">
        <x:v>docs/01_data_research.md</x:v>
      </x:c>
      <x:c r="B100" s="59" t="str">
        <x:v>8. Czy można odtworzyć project → feeder → GPZ → 110 kV → SE PSE?</x:v>
      </x:c>
      <x:c r="C100" s="59" t="str">
        <x:v>Projekt → punkt wskazany w wykazie / Nazwa stacji/linii, napięcie, etap procedury / Relacja confirmed wyłącznie w zakresie treści dokumentu; WP nie oznacza fizycznego przyłączenia działającego projektu</x:v>
      </x:c>
    </x:row>
    <x:row r="101" ht="38" customHeight="1">
      <x:c r="A101" s="59" t="str">
        <x:v>docs/01_data_research.md</x:v>
      </x:c>
      <x:c r="B101" s="59" t="str">
        <x:v>8. Czy można odtworzyć project → feeder → GPZ → 110 kV → SE PSE?</x:v>
      </x:c>
      <x:c r="C101" s="59" t="str">
        <x:v>Projekt → odpływ SN / Niekiedy dokument lokalny lub techniczne warunki / Przy braku dokumentu unknown; najbliższy przewód nie wystarcza</x:v>
      </x:c>
    </x:row>
    <x:row r="102" ht="38" customHeight="1">
      <x:c r="A102" s="59" t="str">
        <x:v>docs/01_data_research.md</x:v>
      </x:c>
      <x:c r="B102" s="59" t="str">
        <x:v>8. Czy można odtworzyć project → feeder → GPZ → 110 kV → SE PSE?</x:v>
      </x:c>
      <x:c r="C102" s="59" t="str">
        <x:v>Odpływ → GPZ / Lokalne schematy i dane operatora, jeśli dostępne / Sam przebieg linii na mapie zwykle nie rozstrzyga układu zasilania</x:v>
      </x:c>
    </x:row>
    <x:row r="103" ht="38" customHeight="1">
      <x:c r="A103" s="59" t="str">
        <x:v>docs/01_data_research.md</x:v>
      </x:c>
      <x:c r="B103" s="59" t="str">
        <x:v>8. Czy można odtworzyć project → feeder → GPZ → 110 kV → SE PSE?</x:v>
      </x:c>
      <x:c r="C103" s="59" t="str">
        <x:v>GPZ → sieć 110 kV / Dokumenty operatora, mapy i OSM jako pomoc / Rozdzielić dowód przebiegu od połączenia elektrycznego i od bieżącego stanu łączników</x:v>
      </x:c>
    </x:row>
    <x:row r="104" ht="38" customHeight="1">
      <x:c r="A104" s="59" t="str">
        <x:v>docs/01_data_research.md</x:v>
      </x:c>
      <x:c r="B104" s="59" t="str">
        <x:v>8. Czy można odtworzyć project → feeder → GPZ → 110 kV → SE PSE?</x:v>
      </x:c>
      <x:c r="C104" s="59" t="str">
        <x:v>Sieć 110 kV → SE PSE / Wskazane stacje i transformacja, dokumenty inwestycji / Nie przypisywać wszystkich projektów do najbliższej SE PSE; możliwe wiele dróg zasilania</x:v>
      </x:c>
    </x:row>
    <x:row r="105" ht="52" customHeight="1">
      <x:c r="A105" s="59" t="str">
        <x:v>docs/01_data_research.md</x:v>
      </x:c>
      <x:c r="B105" s="59" t="str">
        <x:v>8. Czy można odtworzyć project → feeder → GPZ → 110 kV → SE PSE?</x:v>
      </x:c>
      <x:c r="C105"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06" ht="66" customHeight="1">
      <x:c r="A106" s="59" t="str">
        <x:v>docs/01_data_research.md</x:v>
      </x:c>
      <x:c r="B106" s="59" t="str">
        <x:v>Co można policzyć odpowiedzialnie</x:v>
      </x:c>
      <x:c r="C106"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07" ht="52" customHeight="1">
      <x:c r="A107" s="59" t="str">
        <x:v>docs/01_data_research.md</x:v>
      </x:c>
      <x:c r="B107" s="59" t="str">
        <x:v>Co można policzyć odpowiedzialnie</x:v>
      </x:c>
      <x:c r="C107"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08" ht="52" customHeight="1">
      <x:c r="A108" s="59" t="str">
        <x:v>docs/01_data_research.md</x:v>
      </x:c>
      <x:c r="B108" s="59" t="str">
        <x:v>Czego brakuje do modelu elektrycznego</x:v>
      </x:c>
      <x:c r="C108"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09" ht="52" customHeight="1">
      <x:c r="A109" s="59" t="str">
        <x:v>docs/01_data_research.md</x:v>
      </x:c>
      <x:c r="B109" s="59" t="str">
        <x:v>Czego brakuje do modelu elektrycznego</x:v>
      </x:c>
      <x:c r="C109"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0" ht="66" customHeight="1">
      <x:c r="A110" s="59" t="str">
        <x:v>docs/01_data_research.md</x:v>
      </x:c>
      <x:c r="B110" s="59" t="str">
        <x:v>Estymacje i ich warunki dopuszczenia</x:v>
      </x:c>
      <x:c r="C110"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1" ht="52" customHeight="1">
      <x:c r="A111" s="59" t="str">
        <x:v>docs/01_data_research.md</x:v>
      </x:c>
      <x:c r="B111" s="59" t="str">
        <x:v>Estymacje i ich warunki dopuszczenia</x:v>
      </x:c>
      <x:c r="C111"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2" ht="80" customHeight="1">
      <x:c r="A112" s="59" t="str">
        <x:v>docs/01_data_research.md</x:v>
      </x:c>
      <x:c r="B112" s="59" t="str">
        <x:v>BESS i hybrydy</x:v>
      </x:c>
      <x:c r="C112"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3" ht="38" customHeight="1">
      <x:c r="A113" s="59" t="str">
        <x:v>docs/01_data_research.md</x:v>
      </x:c>
      <x:c r="B113" s="59" t="str">
        <x:v>10. Licencje i możliwość automatyzacji</x:v>
      </x:c>
      <x:c r="C113" s="59" t="str">
        <x:v>Potwierdzono działanie części kanałów technicznych; nie potwierdzono kompletnego prawa do komercyjnego wykorzystania wszystkich potrzebnych danych. To dwa niezależne warunki wejścia do MVP.</x:v>
      </x:c>
    </x:row>
    <x:row r="114" ht="30" customHeight="1">
      <x:c r="A114" s="59" t="str">
        <x:v>docs/01_data_research.md</x:v>
      </x:c>
      <x:c r="B114" s="59" t="str">
        <x:v>10. Licencje i możliwość automatyzacji</x:v>
      </x:c>
      <x:c r="C114" s="59" t="str">
        <x:v>Grupa źródeł / Stan ustaleń prawnych / Konsekwencja</x:v>
      </x:c>
    </x:row>
    <x:row r="115" ht="52" customHeight="1">
      <x:c r="A115" s="59" t="str">
        <x:v>docs/01_data_research.md</x:v>
      </x:c>
      <x:c r="B115" s="59" t="str">
        <x:v>10. Licencje i możliwość automatyzacji</x:v>
      </x:c>
      <x:c r="C115"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16" ht="38" customHeight="1">
      <x:c r="A116" s="59" t="str">
        <x:v>docs/01_data_research.md</x:v>
      </x:c>
      <x:c r="B116" s="59" t="str">
        <x:v>10. Licencje i możliwość automatyzacji</x:v>
      </x:c>
      <x:c r="C116" s="59" t="str">
        <x:v>OSM / OpenInfraMap / Geofabrik / ODbL, obowiązki atrybucji i warunki dla baz pochodnych / Zaprojektować rozdzielenie pochodzenia; nie zakładać, że połączenie z własnymi danymi usuwa zobowiązania</x:v>
      </x:c>
    </x:row>
    <x:row r="117" ht="38" customHeight="1">
      <x:c r="A117" s="59" t="str">
        <x:v>docs/01_data_research.md</x:v>
      </x:c>
      <x:c r="B117" s="59" t="str">
        <x:v>10. Licencje i możliwość automatyzacji</x:v>
      </x:c>
      <x:c r="C117" s="59" t="str">
        <x:v>ENTSO-E / Lista dopuszczonych danych i wyjątków / Sprawdzić konkretny typ danych oraz dostawcę; mapa i API nie mają automatycznie wspólnej licencji</x:v>
      </x:c>
    </x:row>
    <x:row r="118" ht="38" customHeight="1">
      <x:c r="A118" s="59" t="str">
        <x:v>docs/01_data_research.md</x:v>
      </x:c>
      <x:c r="B118" s="59" t="str">
        <x:v>10. Licencje i możliwość automatyzacji</x:v>
      </x:c>
      <x:c r="C118" s="59" t="str">
        <x:v>GUGiK / GDOŚ / Wody Polskie / BDL / Zróżnicowane zasady produktu i dostępu; ortofotomapa ma jasny opis swobodnego użycia / Nie przenosić licencji jednej warstwy na EGiB, wszystkie produkty wodne lub dane właścicielskie</x:v>
      </x:c>
    </x:row>
    <x:row r="119" ht="38" customHeight="1">
      <x:c r="A119" s="59" t="str">
        <x:v>docs/01_data_research.md</x:v>
      </x:c>
      <x:c r="B119" s="59" t="str">
        <x:v>10. Licencje i możliwość automatyzacji</x:v>
      </x:c>
      <x:c r="C119" s="59" t="str">
        <x:v>Copernicus / Warunki produktu i usługi, osobne warunki treści portalu / Sprawdzać wybrany produkt; dostęp do konta i limit usługi nie określają same praw do danych</x:v>
      </x:c>
    </x:row>
    <x:row r="120" ht="38" customHeight="1">
      <x:c r="A120" s="59" t="str">
        <x:v>docs/01_data_research.md</x:v>
      </x:c>
      <x:c r="B120" s="59" t="str">
        <x:v>10. Licencje i możliwość automatyzacji</x:v>
      </x:c>
      <x:c r="C120" s="59" t="str">
        <x:v>Biblioteki i modele / Licencja kodu odrębna od wejściowych danych oraz konkretnego przypadku sieci / Przypiąć wersję i licencję przed zależnością produkcyjną</x:v>
      </x:c>
    </x:row>
    <x:row r="121" ht="66" customHeight="1">
      <x:c r="A121" s="59" t="str">
        <x:v>docs/01_data_research.md</x:v>
      </x:c>
      <x:c r="B121" s="59" t="str">
        <x:v>10. Licencje i możliwość automatyzacji</x:v>
      </x:c>
      <x:c r="C121"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2" ht="38" customHeight="1">
      <x:c r="A122" s="59" t="str">
        <x:v>docs/01_data_research.md</x:v>
      </x:c>
      <x:c r="B122" s="59" t="str">
        <x:v>11. Jak często aktualizować dane</x:v>
      </x:c>
      <x:c r="C122" s="59" t="str">
        <x:v>Poniższe okresy to proponowana polityka przyszłego systemu, a nie pomiar częstotliwości każdego źródła. Rzeczywista częstotliwość publikacji jest opisana osobno w katalogu.</x:v>
      </x:c>
    </x:row>
    <x:row r="123" ht="30" customHeight="1">
      <x:c r="A123" s="59" t="str">
        <x:v>docs/01_data_research.md</x:v>
      </x:c>
      <x:c r="B123" s="59" t="str">
        <x:v>11. Jak często aktualizować dane</x:v>
      </x:c>
      <x:c r="C123" s="59" t="str">
        <x:v>Rodzaj / Proponowane sprawdzanie / Zasada</x:v>
      </x:c>
    </x:row>
    <x:row r="124" ht="38" customHeight="1">
      <x:c r="A124" s="59" t="str">
        <x:v>docs/01_data_research.md</x:v>
      </x:c>
      <x:c r="B124" s="59" t="str">
        <x:v>11. Jak często aktualizować dane</x:v>
      </x:c>
      <x:c r="C124" s="59" t="str">
        <x:v>Wykazy przyłączeń i dostępności / Raz dziennie lekka kontrola strony/wersji, pobranie tylko po zmianie / Snapshot także wtedy, gdy nazwa pliku jest stała; nie zmieniać daty obserwacji przy samym ponownym pobraniu</x:v>
      </x:c>
    </x:row>
    <x:row r="125" ht="38" customHeight="1">
      <x:c r="A125" s="59" t="str">
        <x:v>docs/01_data_research.md</x:v>
      </x:c>
      <x:c r="B125" s="59" t="str">
        <x:v>11. Jak często aktualizować dane</x:v>
      </x:c>
      <x:c r="C125" s="59" t="str">
        <x:v>PSE / ENTSO-E szeregi / Według faktycznej rozdzielczości i potrzeb analizy, z oknem na korekty / Stronicowanie, filtry czasu, cache, retry z backoff i limity; zachować wersje skorygowanych obserwacji</x:v>
      </x:c>
    </x:row>
    <x:row r="126" ht="38" customHeight="1">
      <x:c r="A126" s="59" t="str">
        <x:v>docs/01_data_research.md</x:v>
      </x:c>
      <x:c r="B126" s="59" t="str">
        <x:v>11. Jak często aktualizować dane</x:v>
      </x:c>
      <x:c r="C126" s="59" t="str">
        <x:v>Plany rozwoju i inwestycje / Co tydzień oraz przy publikacji zmian / Osobno projekt, plan uzgodniony i potwierdzenie realizacji</x:v>
      </x:c>
    </x:row>
    <x:row r="127" ht="38" customHeight="1">
      <x:c r="A127" s="59" t="str">
        <x:v>docs/01_data_research.md</x:v>
      </x:c>
      <x:c r="B127" s="59" t="str">
        <x:v>11. Jak często aktualizować dane</x:v>
      </x:c>
      <x:c r="C127" s="59" t="str">
        <x:v>BIP dla pilota / Ostrożna kontrola wybranych serwisów, np. dzienna po uzgodnieniu dostępu / Nowe obwieszczenie nie zmienia automatycznie zaawansowania całego projektu</x:v>
      </x:c>
    </x:row>
    <x:row r="128" ht="38" customHeight="1">
      <x:c r="A128" s="59" t="str">
        <x:v>docs/01_data_research.md</x:v>
      </x:c>
      <x:c r="B128" s="59" t="str">
        <x:v>11. Jak często aktualizować dane</x:v>
      </x:c>
      <x:c r="C128" s="59" t="str">
        <x:v>OSM/GIS topografia / Według wersji dostawcy i potrzeb, zwykle okresowe snapshoty / Nie pobierać ponownie całego kraju do każdego raportu</x:v>
      </x:c>
    </x:row>
    <x:row r="129" ht="52" customHeight="1">
      <x:c r="A129" s="59" t="str">
        <x:v>docs/01_data_research.md</x:v>
      </x:c>
      <x:c r="B129" s="59" t="str">
        <x:v>11. Jak często aktualizować dane</x:v>
      </x:c>
      <x:c r="C129"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0" ht="94" customHeight="1">
      <x:c r="A130" s="59" t="str">
        <x:v>docs/01_data_research.md</x:v>
      </x:c>
      <x:c r="B130" s="59" t="str">
        <x:v>12. Największe luki i sposoby ich zamykania</x:v>
      </x:c>
      <x:c r="C130"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1" ht="52" customHeight="1">
      <x:c r="A131" s="59" t="str">
        <x:v>docs/01_data_research.md</x:v>
      </x:c>
      <x:c r="B131" s="59" t="str">
        <x:v>12. Największe luki i sposoby ich zamykania</x:v>
      </x:c>
      <x:c r="C131"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2" ht="66" customHeight="1">
      <x:c r="A132" s="59" t="str">
        <x:v>docs/01_data_research.md</x:v>
      </x:c>
      <x:c r="B132" s="59" t="str">
        <x:v>13. Rekomendacja po etapie 1</x:v>
      </x:c>
      <x:c r="C132"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3" ht="80" customHeight="1">
      <x:c r="A133" s="59" t="str">
        <x:v>docs/01_data_research.md</x:v>
      </x:c>
      <x:c r="B133" s="59" t="str">
        <x:v>13. Rekomendacja po etapie 1</x:v>
      </x:c>
      <x:c r="C133"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4" ht="66" customHeight="1">
      <x:c r="A134" s="59" t="str">
        <x:v>docs/01_data_research.md</x:v>
      </x:c>
      <x:c r="B134" s="59" t="str">
        <x:v>13. Rekomendacja po etapie 1</x:v>
      </x:c>
      <x:c r="C134"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5" ht="52" customHeight="1">
      <x:c r="A135" s="59" t="str">
        <x:v>docs/01_data_research.md</x:v>
      </x:c>
      <x:c r="B135" s="59" t="str">
        <x:v>13. Rekomendacja po etapie 1</x:v>
      </x:c>
      <x:c r="C135"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36" ht="66" customHeight="1">
      <x:c r="A136" s="59" t="str">
        <x:v>docs/01_data_research.md</x:v>
      </x:c>
      <x:c r="B136" s="59" t="str">
        <x:v>13. Rekomendacja po etapie 1</x:v>
      </x:c>
      <x:c r="C136"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37" ht="52" customHeight="1">
      <x:c r="A137" s="59" t="str">
        <x:v>docs/01_data_research.md</x:v>
      </x:c>
      <x:c r="B137" s="59" t="str">
        <x:v>Uzupełnienie 11.09.2026 — linia 110 kV</x:v>
      </x:c>
      <x:c r="C137" s="59" t="str">
        <x:v>Rejestr obejmuje 61 źródeł publicznych. Decyzja 3/2024 (https://bip.kielce.uw.gov.pl/download/2/33548/decprzesylnr324.pdf) dostarczyła dowodu dla Radkowice–Wolica. Zakres i ograniczenia: badanie 110 kV (12_radkowice_110kv_research.md). Prywatne materiały użytkownika mają osobny rejestr lokalny i nie zwiększają liczby publicznych źródeł.</x:v>
      </x:c>
    </x:row>
    <x:row r="138" ht="38" customHeight="1">
      <x:c r="A138" s="59" t="str">
        <x:v>docs/02_feasibility_matrix.md</x:v>
      </x:c>
      <x:c r="B138" s="59" t="str">
        <x:v>Wstępna macierz wykonalności</x:v>
      </x:c>
      <x:c r="C138" s="59" t="str">
        <x:v>10.09.2026 — wynik badań etapu 1; nie jest deklaracją wdrożonej funkcjonalności. Pełne dowody, daty i linki: raport (01_data_research.md) i katalog (data_sources.md). Identyfikatory poniżej odnoszą się do katalogu JSON.</x:v>
      </x:c>
    </x:row>
    <x:row r="139" ht="52" customHeight="1">
      <x:c r="A139" s="59" t="str">
        <x:v>docs/02_feasibility_matrix.md</x:v>
      </x:c>
      <x:c r="B139" s="59" t="str">
        <x:v>Wstępna macierz wykonalności</x:v>
      </x:c>
      <x:c r="C139"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40" ht="30" customHeight="1">
      <x:c r="A140" s="59" t="str">
        <x:v>docs/02_feasibility_matrix.md</x:v>
      </x:c>
      <x:c r="B140" s="59" t="str">
        <x:v>Wstępna macierz wykonalności</x:v>
      </x:c>
      <x:c r="C140" s="59" t="str">
        <x:v>Moduł / precyzyjnie określona wielkość / Klasa / Dowód i warunek / Ograniczenie / wynik przy braku wejść</x:v>
      </x:c>
    </x:row>
    <x:row r="141" ht="38" customHeight="1">
      <x:c r="A141" s="59" t="str">
        <x:v>docs/02_feasibility_matrix.md</x:v>
      </x:c>
      <x:c r="B141" s="59" t="str">
        <x:v>Wstępna macierz wykonalności</x:v>
      </x:c>
      <x:c r="C141" s="59" t="str">
        <x:v>Wskazane stacje, rozdzielnie i szyny w publikacji PSE / AVAILABLE_DIRECTLY / PSE_API: próbka specwezlow / Nie jest kompletnym grafem ani listą wszystkich GPZ</x:v>
      </x:c>
    </x:row>
    <x:row r="142" ht="38" customHeight="1">
      <x:c r="A142" s="59" t="str">
        <x:v>docs/02_feasibility_matrix.md</x:v>
      </x:c>
      <x:c r="B142" s="59" t="str">
        <x:v>Wstępna macierz wykonalności</x:v>
      </x:c>
      <x:c r="C142" s="59" t="str">
        <x:v>Opublikowane miejsce przyłączenia konkretnego projektu / AVAILABLE_DIRECTLY / PSE_PIPELINE, TAURON_PIPELINE; dokument wskazuje miejsce / Może być nieustalone; WP nie oznacza fizycznego przyłączenia</x:v>
      </x:c>
    </x:row>
    <x:row r="143" ht="38" customHeight="1">
      <x:c r="A143" s="59" t="str">
        <x:v>docs/02_feasibility_matrix.md</x:v>
      </x:c>
      <x:c r="B143" s="59" t="str">
        <x:v>Wstępna macierz wykonalności</x:v>
      </x:c>
      <x:c r="C143" s="59" t="str">
        <x:v>Pełna liczba wszystkich projektów na dowolnym GPZ / NOT_CURRENTLY_AVAILABLE / Nie wykazano kompletności publicznych wykazów i przypisań / Nie przedstawiać znanej części jako pełnej liczby</x:v>
      </x:c>
    </x:row>
    <x:row r="144" ht="38" customHeight="1">
      <x:c r="A144" s="59" t="str">
        <x:v>docs/02_feasibility_matrix.md</x:v>
      </x:c>
      <x:c r="B144" s="59" t="str">
        <x:v>Wstępna macierz wykonalności</x:v>
      </x:c>
      <x:c r="C144" s="59" t="str">
        <x:v>Liczba znanych projektów przypisanych dokumentem do punktu / CALCULABLE / Deduplikacja, spójny snapshot, status i pewność relacji / Raportować pokrycie i projekty nieprzypisane</x:v>
      </x:c>
    </x:row>
    <x:row r="145" ht="38" customHeight="1">
      <x:c r="A145" s="59" t="str">
        <x:v>docs/02_feasibility_matrix.md</x:v>
      </x:c>
      <x:c r="B145" s="59" t="str">
        <x:v>Wstępna macierz wykonalności</x:v>
      </x:c>
      <x:c r="C145" s="59" t="str">
        <x:v>Moc znanych projektów na tym samym punkcie / CALCULABLE / Jawne MW i definicja mocy; PSE_PIPELINE / wykazy OSD / Osobno kierunek, etap, zainstalowana moc i PCC; nie jest przepływem</x:v>
      </x:c>
    </x:row>
    <x:row r="146" ht="38" customHeight="1">
      <x:c r="A146" s="59" t="str">
        <x:v>docs/02_feasibility_matrix.md</x:v>
      </x:c>
      <x:c r="B146" s="59" t="str">
        <x:v>Wstępna macierz wykonalności</x:v>
      </x:c>
      <x:c r="C146" s="59" t="str">
        <x:v>Pełna istniejąca generacja danego GPZ / NOT_CURRENTLY_AVAILABLE / URE_REGISTERS i wykazy operatorów mają różne zakresy / Możliwy częściowy udokumentowany inwentarz</x:v>
      </x:c>
    </x:row>
    <x:row r="147" ht="38" customHeight="1">
      <x:c r="A147" s="59" t="str">
        <x:v>docs/02_feasibility_matrix.md</x:v>
      </x:c>
      <x:c r="B147" s="59" t="str">
        <x:v>Wstępna macierz wykonalności</x:v>
      </x:c>
      <x:c r="C147" s="59" t="str">
        <x:v>Wskazana przez operatora moc przyłączeniowa w jego jednostce raportowania / AVAILABLE_DIRECTLY / PSE_CAPACITY, ENERGA_EXPORT/IMPORT, STOEN_EXPORT/IMPORT / Horyzont, grupa ograniczeń, kierunek i założenia są częścią wartości</x:v>
      </x:c>
    </x:row>
    <x:row r="148" ht="38" customHeight="1">
      <x:c r="A148" s="59" t="str">
        <x:v>docs/02_feasibility_matrix.md</x:v>
      </x:c>
      <x:c r="B148" s="59" t="str">
        <x:v>Wstępna macierz wykonalności</x:v>
      </x:c>
      <x:c r="C148" s="59" t="str">
        <x:v>Niezależna bieżąca wolna moc dowolnego GPZ / NOT_CURRENTLY_AVAILABLE / Brak kompletnej topologii, lokalnych profili i parametrów / value=null, classification=UNKNOWN</x:v>
      </x:c>
    </x:row>
    <x:row r="149" ht="38" customHeight="1">
      <x:c r="A149" s="59" t="str">
        <x:v>docs/02_feasibility_matrix.md</x:v>
      </x:c>
      <x:c r="B149" s="59" t="str">
        <x:v>Wstępna macierz wykonalności</x:v>
      </x:c>
      <x:c r="C149" s="59" t="str">
        <x:v>Moc znamionowa konkretnego transformatora opisana w dokumencie / AVAILABLE_DIRECTLY / Tylko jeśli właściwy dokument podaje parametr i obiekt / Ten research nie zwalidował pełnego inwentarza; brak wartości = UNKNOWN</x:v>
      </x:c>
    </x:row>
    <x:row r="150" ht="38" customHeight="1">
      <x:c r="A150" s="59" t="str">
        <x:v>docs/02_feasibility_matrix.md</x:v>
      </x:c>
      <x:c r="B150" s="59" t="str">
        <x:v>Wstępna macierz wykonalności</x:v>
      </x:c>
      <x:c r="C150" s="59" t="str">
        <x:v>Krajowy kompletny rejestr mocy transformatorów GPZ / NOT_CURRENTLY_AVAILABLE / Nie znaleziono kompletnego otwartego zbioru w badanym zakresie / Nie wnioskować z napięcia, zdjęcia lub typowej konstrukcji</x:v>
      </x:c>
    </x:row>
    <x:row r="151" ht="38" customHeight="1">
      <x:c r="A151" s="59" t="str">
        <x:v>docs/02_feasibility_matrix.md</x:v>
      </x:c>
      <x:c r="B151" s="59" t="str">
        <x:v>Wstępna macierz wykonalności</x:v>
      </x:c>
      <x:c r="C151" s="59" t="str">
        <x:v>Rzeczywiste obciążenie dowolnego transformatora GPZ / NOT_CURRENTLY_AVAILABLE / Brak publicznego pełnego pokrycia telemetrią / Moc znamionowa i suma PV nie wystarczą</x:v>
      </x:c>
    </x:row>
    <x:row r="152" ht="38" customHeight="1">
      <x:c r="A152" s="59" t="str">
        <x:v>docs/02_feasibility_matrix.md</x:v>
      </x:c>
      <x:c r="B152" s="59" t="str">
        <x:v>Wstępna macierz wykonalności</x:v>
      </x:c>
      <x:c r="C152" s="59" t="str">
        <x:v>Obciążenie dowolnej linii 110 kV / NOT_CURRENTLY_AVAILABLE / Brak parametrów i bieżącego układu/profili / Mapy linii nie pozwalają tego wyliczyć</x:v>
      </x:c>
    </x:row>
    <x:row r="153" ht="38" customHeight="1">
      <x:c r="A153" s="59" t="str">
        <x:v>docs/02_feasibility_matrix.md</x:v>
      </x:c>
      <x:c r="B153" s="59" t="str">
        <x:v>Wstępna macierz wykonalności</x:v>
      </x:c>
      <x:c r="C153" s="59" t="str">
        <x:v>Dane o bilansie i generacji na poziomie KSE / AVAILABLE_DIRECTLY / PSE_API; Energy-Charts jako dodatkowe źródło / Nie przenosić na lokalny GPZ</x:v>
      </x:c>
    </x:row>
    <x:row r="154" ht="38" customHeight="1">
      <x:c r="A154" s="59" t="str">
        <x:v>docs/02_feasibility_matrix.md</x:v>
      </x:c>
      <x:c r="B154" s="59" t="str">
        <x:v>Wstępna macierz wykonalności</x:v>
      </x:c>
      <x:c r="C154" s="59" t="str">
        <x:v>Raportowane redysponowanie z rozróżnieniem przyczyny / AVAILABLE_DIRECTLY / PSE_API poze-redoze, schemat i próbka / Lokalizacja ograniczenia nie wynika z agregatu; null nie jest zerem</x:v>
      </x:c>
    </x:row>
    <x:row r="155" ht="38" customHeight="1">
      <x:c r="A155" s="59" t="str">
        <x:v>docs/02_feasibility_matrix.md</x:v>
      </x:c>
      <x:c r="B155" s="59" t="str">
        <x:v>Wstępna macierz wykonalności</x:v>
      </x:c>
      <x:c r="C155" s="59" t="str">
        <x:v>Congestion konkretnego elementu w dowolnej lokalizacji / NOT_CURRENTLY_AVAILABLE / Brak powszechnego lokalnego dowodu / Możliwy opis udokumentowanego ograniczenia, bez udawanej mapy przeciążeń</x:v>
      </x:c>
    </x:row>
    <x:row r="156" ht="38" customHeight="1">
      <x:c r="A156" s="59" t="str">
        <x:v>docs/02_feasibility_matrix.md</x:v>
      </x:c>
      <x:c r="B156" s="59" t="str">
        <x:v>Wstępna macierz wykonalności</x:v>
      </x:c>
      <x:c r="C156" s="59" t="str">
        <x:v>Moc eksportowa/importowa BESS jako osobne pola projektu / AVAILABLE_DIRECTLY / PSE_PIPELINE i kierunkowe wykazy w badanym zakresie / Dostępność konkretnego pola zależy od rekordu; brak MWh nie uzupełniać domysłem</x:v>
      </x:c>
    </x:row>
    <x:row r="157" ht="38" customHeight="1">
      <x:c r="A157" s="59" t="str">
        <x:v>docs/02_feasibility_matrix.md</x:v>
      </x:c>
      <x:c r="B157" s="59" t="str">
        <x:v>Wstępna macierz wykonalności</x:v>
      </x:c>
      <x:c r="C157" s="59" t="str">
        <x:v>Czas magazynowania przy znanych MWh i mocy rozładowania / CALCULABLE / MWh / MW, dodatni mianownik, jawne znaczenie mocy i pojemności / Wymaga zgodnych nominalnych/użytecznych wartości; nie oznacza profilu pracy</x:v>
      </x:c>
    </x:row>
    <x:row r="158" ht="38" customHeight="1">
      <x:c r="A158" s="59" t="str">
        <x:v>docs/02_feasibility_matrix.md</x:v>
      </x:c>
      <x:c r="B158" s="59" t="str">
        <x:v>Wstępna macierz wykonalności</x:v>
      </x:c>
      <x:c r="C158" s="59" t="str">
        <x:v>Techniczna możliwość przyłączenia dowolnego BESS / NOT_CURRENTLY_AVAILABLE / Osobne import/eksport nie zastępują pełnej analizy sieci / Możliwy screening przesłanek dla obu kierunków</x:v>
      </x:c>
    </x:row>
    <x:row r="159" ht="38" customHeight="1">
      <x:c r="A159" s="59" t="str">
        <x:v>docs/02_feasibility_matrix.md</x:v>
      </x:c>
      <x:c r="B159" s="59" t="str">
        <x:v>Wstępna macierz wykonalności</x:v>
      </x:c>
      <x:c r="C159" s="59" t="str">
        <x:v>Scenariuszowy profil generacji PV/Wind / ESTIMABLE / Potrzebne parametry instalacji, pogoda, metoda i walidacja / Jeszcze nie wdrożono ani nie zwalidowano lokalnego modelu profili</x:v>
      </x:c>
    </x:row>
    <x:row r="160" ht="38" customHeight="1">
      <x:c r="A160" s="59" t="str">
        <x:v>docs/02_feasibility_matrix.md</x:v>
      </x:c>
      <x:c r="B160" s="59" t="str">
        <x:v>Wstępna macierz wykonalności</x:v>
      </x:c>
      <x:c r="C160" s="59" t="str">
        <x:v>Zastępcza lokalizacja/relacja sieciowa / ESTIMABLE / Kilka zgodnych dowodów; wynik relacji oznaczony INFERRED / Samo najbliższe GPZ nie wystarcza; konflikt zachować</x:v>
      </x:c>
    </x:row>
    <x:row r="161" ht="38" customHeight="1">
      <x:c r="A161" s="59" t="str">
        <x:v>docs/02_feasibility_matrix.md</x:v>
      </x:c>
      <x:c r="B161" s="59" t="str">
        <x:v>Wstępna macierz wykonalności</x:v>
      </x:c>
      <x:c r="C161" s="59" t="str">
        <x:v>Pełny łańcuch project–feeder–GPZ–PSE dla każdego projektu / NOT_CURRENTLY_AVAILABLE / Fragmenty dokumentacyjne + pomocnicza geometria / Dopuszczalne nieznane odcinki grafu</x:v>
      </x:c>
    </x:row>
    <x:row r="162" ht="38" customHeight="1">
      <x:c r="A162" s="59" t="str">
        <x:v>docs/02_feasibility_matrix.md</x:v>
      </x:c>
      <x:c r="B162" s="59" t="str">
        <x:v>Wstępna macierz wykonalności</x:v>
      </x:c>
      <x:c r="C162" s="59" t="str">
        <x:v>Udokumentowane planowane inwestycje / AVAILABLE_DIRECTLY / PSE_PLAN, ENERGA_PLAN, ENEA_PLAN / Projekt/uzgodnienie/realizacja to odrębne statusy</x:v>
      </x:c>
    </x:row>
    <x:row r="163" ht="38" customHeight="1">
      <x:c r="A163" s="59" t="str">
        <x:v>docs/02_feasibility_matrix.md</x:v>
      </x:c>
      <x:c r="B163" s="59" t="str">
        <x:v>Wstępna macierz wykonalności</x:v>
      </x:c>
      <x:c r="C163" s="59" t="str">
        <x:v>Przyszła dostępna moc z konkretnego wariantu publikacji / AVAILABLE_DIRECTLY / Jeśli operator podał wartość, datę i założenia; PSE_CAPACITY / Nie wyliczać prostym dodaniem MVA inwestycji do obecnych MW</x:v>
      </x:c>
    </x:row>
    <x:row r="164" ht="38" customHeight="1">
      <x:c r="A164" s="59" t="str">
        <x:v>docs/02_feasibility_matrix.md</x:v>
      </x:c>
      <x:c r="B164" s="59" t="str">
        <x:v>Wstępna macierz wykonalności</x:v>
      </x:c>
      <x:c r="C164" s="59" t="str">
        <x:v>Przyszła fizyczna dostępność każdego punktu / NOT_CURRENTLY_AVAILABLE / Brak kompletnych przyszłych profili, topologii i realizacji planów / Możliwa narracja wariantowa, nie gwarancja</x:v>
      </x:c>
    </x:row>
    <x:row r="165" ht="38" customHeight="1">
      <x:c r="A165" s="59" t="str">
        <x:v>docs/02_feasibility_matrix.md</x:v>
      </x:c>
      <x:c r="B165" s="59" t="str">
        <x:v>Wstępna macierz wykonalności</x:v>
      </x:c>
      <x:c r="C165" s="59" t="str">
        <x:v>Potencjalne korytarze i przecięcia ograniczeń GIS / CALCULABLE / Zweryfikowana geometria, CRS i aktualne warstwy / Nie jest prawem do gruntu ani pełną wykonalnością trasy</x:v>
      </x:c>
    </x:row>
    <x:row r="166" ht="38" customHeight="1">
      <x:c r="A166" s="59" t="str">
        <x:v>docs/02_feasibility_matrix.md</x:v>
      </x:c>
      <x:c r="B166" s="59" t="str">
        <x:v>Wstępna macierz wykonalności</x:v>
      </x:c>
      <x:c r="C166" s="59" t="str">
        <x:v>Rzeczywista możliwość pozyskania trasy przyłącza / NOT_CURRENTLY_AVAILABLE / Potrzebne prawa do nieruchomości, uzgodnienia i projekt techniczny / Publiczne działki i WMS nie wystarczą</x:v>
      </x:c>
    </x:row>
    <x:row r="167" ht="38" customHeight="1">
      <x:c r="A167" s="59" t="str">
        <x:v>docs/02_feasibility_matrix.md</x:v>
      </x:c>
      <x:c r="B167" s="59" t="str">
        <x:v>Wstępna macierz wykonalności</x:v>
      </x:c>
      <x:c r="C167" s="59" t="str">
        <x:v>Grid Connection Score 0–100 o zwalidowanej trafności / NOT_CURRENTLY_AVAILABLE / Nie skalibrowano wag, celu i zbioru referencyjnego / Nie wyświetlać arbitralnej liczby</x:v>
      </x:c>
    </x:row>
    <x:row r="168" ht="38" customHeight="1">
      <x:c r="A168" s="59" t="str">
        <x:v>docs/02_feasibility_matrix.md</x:v>
      </x:c>
      <x:c r="B168" s="59" t="str">
        <x:v>Wstępna macierz wykonalności</x:v>
      </x:c>
      <x:c r="C168" s="59" t="str">
        <x:v>Procentowe prawdopodobieństwo uzyskania WP / NOT_CURRENTLY_AVAILABLE / Brak reprezentatywnych etykiet wyników i wystarczających predyktorów / Nie utożsamiać historycznego udziału odmów z szansą konkretnego projektu</x:v>
      </x:c>
    </x:row>
    <x:row r="169" ht="38" customHeight="1">
      <x:c r="A169" s="59" t="str">
        <x:v>docs/02_feasibility_matrix.md</x:v>
      </x:c>
      <x:c r="B169" s="59" t="str">
        <x:v>Wstępna macierz wykonalności</x:v>
      </x:c>
      <x:c r="C169" s="59" t="str">
        <x:v>Historia wiedzy od rozpoczęcia archiwizacji / CALCULABLE / Snapshoty, manifesty, wersje normalizacji i metody / Nie odtworzy brakujących historycznych źródeł sprzed archiwizacji</x:v>
      </x:c>
    </x:row>
    <x:row r="170" ht="38" customHeight="1">
      <x:c r="A170" s="59" t="str">
        <x:v>docs/02_feasibility_matrix.md</x:v>
      </x:c>
      <x:c r="B170" s="59" t="str">
        <x:v>Wstępna macierz wykonalności</x:v>
      </x:c>
      <x:c r="C170" s="59" t="str">
        <x:v>Najważniejsze rozróżnienie: wiarygodne przepisanie wartości operatora jest możliwe znacznie wcześniej niż wiarygodne obliczenie tej samej wielkości samodzielnie. Produkt powinien wyraźnie pokazywać, którą czynność wykonał.</x:v>
      </x:c>
    </x:row>
    <x:row r="171" ht="30" customHeight="1">
      <x:c r="A171" s="59" t="str">
        <x:v>docs/03_system_architecture.md</x:v>
      </x:c>
      <x:c r="B171" s="59" t="str">
        <x:v>Kierunek architektury po researchu</x:v>
      </x:c>
      <x:c r="C171" s="59" t="str">
        <x:v>10.09.2026 — propozycja do etapu 2, bez instalacji bazy i bez wyboru ostatecznego stosu.</x:v>
      </x:c>
    </x:row>
    <x:row r="172" ht="52" customHeight="1">
      <x:c r="A172" s="59" t="str">
        <x:v>docs/03_system_architecture.md</x:v>
      </x:c>
      <x:c r="B172" s="59" t="str">
        <x:v>Kierunek architektury po researchu</x:v>
      </x:c>
      <x:c r="C172"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73" ht="30" customHeight="1">
      <x:c r="A173" s="59" t="str">
        <x:v>docs/03_system_architecture.md</x:v>
      </x:c>
      <x:c r="B173" s="59" t="str">
        <x:v>Kierunek architektury po researchu</x:v>
      </x:c>
      <x:c r="C173" s="59" t="str">
        <x:v>Wariant / Korzyść dla projektu / Koszt / ograniczenie / Wstępna ocena</x:v>
      </x:c>
    </x:row>
    <x:row r="174" ht="38" customHeight="1">
      <x:c r="A174" s="59" t="str">
        <x:v>docs/03_system_architecture.md</x:v>
      </x:c>
      <x:c r="B174" s="59" t="str">
        <x:v>Kierunek architektury po researchu</x:v>
      </x:c>
      <x:c r="C174" s="59" t="str">
        <x:v>PostgreSQL + PostGIS / Jeden magazyn danych domenowych, źródeł, historii i geometrii; graf jako węzły/krawędzie / Złożone przejścia grafowe trzeba świadomie zaprojektować / Preferowany kandydat MVP</x:v>
      </x:c>
    </x:row>
    <x:row r="175" ht="38" customHeight="1">
      <x:c r="A175" s="59" t="str">
        <x:v>docs/03_system_architecture.md</x:v>
      </x:c>
      <x:c r="B175" s="59" t="str">
        <x:v>Kierunek architektury po researchu</x:v>
      </x:c>
      <x:c r="C175" s="59" t="str">
        <x:v>PostgreSQL + PostGIS + pgRouting / Algorytmy trasowania/analizy grafowej w tym samym środowisku / Kolejne rozszerzenie; koszt grafu nie jest modelem przepływu energii / Dodać tylko dla uzasadnionego zapytania lub warstwy trasowej</x:v>
      </x:c>
    </x:row>
    <x:row r="176" ht="38" customHeight="1">
      <x:c r="A176" s="59" t="str">
        <x:v>docs/03_system_architecture.md</x:v>
      </x:c>
      <x:c r="B176" s="59" t="str">
        <x:v>Kierunek architektury po researchu</x:v>
      </x:c>
      <x:c r="C176" s="59" t="str">
        <x:v>Neo4j / Naturalna reprezentacja węzłów i relacji z właściwościami / Wymaga oceny obsługi historii, GIS, edycji/licencji i utrzymania / Brak potrzeby wykazanej badaniem danych</x:v>
      </x:c>
    </x:row>
    <x:row r="177" ht="38" customHeight="1">
      <x:c r="A177" s="59" t="str">
        <x:v>docs/03_system_architecture.md</x:v>
      </x:c>
      <x:c r="B177" s="59" t="str">
        <x:v>Kierunek architektury po researchu</x:v>
      </x:c>
      <x:c r="C177" s="59" t="str">
        <x:v>PostgreSQL/PostGIS + Neo4j / Osobna projekcja do intensywnej eksploracji grafu / Synchronizacja dwóch magazynów, ryzyko niespójności i trudniejszy audyt / Odłożyć do czasu mierzalnej potrzeby</x:v>
      </x:c>
    </x:row>
    <x:row r="178" ht="66" customHeight="1">
      <x:c r="A178" s="59" t="str">
        <x:v>docs/03_system_architecture.md</x:v>
      </x:c>
      <x:c r="B178" s="59" t="str">
        <x:v>Kierunek architektury po researchu</x:v>
      </x:c>
      <x:c r="C178"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79" ht="52" customHeight="1">
      <x:c r="A179" s="59" t="str">
        <x:v>docs/03_system_architecture.md</x:v>
      </x:c>
      <x:c r="B179" s="59" t="str">
        <x:v>Przepływ danych do zaprojektowania</x:v>
      </x:c>
      <x:c r="C179"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80" ht="52" customHeight="1">
      <x:c r="A180" s="59" t="str">
        <x:v>docs/03_system_architecture.md</x:v>
      </x:c>
      <x:c r="B180" s="59" t="str">
        <x:v>Przepływ danych do zaprojektowania</x:v>
      </x:c>
      <x:c r="C180"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81" ht="52" customHeight="1">
      <x:c r="A181" s="59" t="str">
        <x:v>docs/03_system_architecture.md</x:v>
      </x:c>
      <x:c r="B181" s="59" t="str">
        <x:v>Przepływ danych do zaprojektowania</x:v>
      </x:c>
      <x:c r="C181"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82" ht="52" customHeight="1">
      <x:c r="A182" s="59" t="str">
        <x:v>docs/04_data_model.md</x:v>
      </x:c>
      <x:c r="B182" s="59" t="str">
        <x:v>Wymagania dla przyszłego modelu danych</x:v>
      </x:c>
      <x:c r="C182"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183" ht="30" customHeight="1">
      <x:c r="A183" s="59" t="str">
        <x:v>docs/04_data_model.md</x:v>
      </x:c>
      <x:c r="B183" s="59" t="str">
        <x:v>Wymagania dla przyszłego modelu danych</x:v>
      </x:c>
      <x:c r="C183" s="59" t="str">
        <x:v>10.09.2026 — notatka z etapu 1. To nie jest wdrożony schemat bazy.</x:v>
      </x:c>
    </x:row>
    <x:row r="184" ht="66" customHeight="1">
      <x:c r="A184" s="59" t="str">
        <x:v>docs/04_data_model.md</x:v>
      </x:c>
      <x:c r="B184" s="59" t="str">
        <x:v>Wymagania dla przyszłego modelu danych</x:v>
      </x:c>
      <x:c r="C184"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185" ht="30" customHeight="1">
      <x:c r="A185" s="59" t="str">
        <x:v>docs/04_data_model.md</x:v>
      </x:c>
      <x:c r="B185" s="59" t="str">
        <x:v>Wymagania dla przyszłego modelu danych</x:v>
      </x:c>
      <x:c r="C185" s="59" t="str">
        <x:v>Obszar / Wymaganie wynikające z badań</x:v>
      </x:c>
    </x:row>
    <x:row r="186" ht="38" customHeight="1">
      <x:c r="A186" s="59" t="str">
        <x:v>docs/04_data_model.md</x:v>
      </x:c>
      <x:c r="B186" s="59" t="str">
        <x:v>Wymagania dla przyszłego modelu danych</x:v>
      </x:c>
      <x:c r="C186" s="59" t="str">
        <x:v>Tożsamość / Własny stabilny ID, identyfikatory operatora, aliasy, operator, napięcie, geometria; brak scalenia wyłącznie po podobieństwie nazwy</x:v>
      </x:c>
    </x:row>
    <x:row r="187" ht="38" customHeight="1">
      <x:c r="A187" s="59" t="str">
        <x:v>docs/04_data_model.md</x:v>
      </x:c>
      <x:c r="B187" s="59" t="str">
        <x:v>Wymagania dla przyszłego modelu danych</x:v>
      </x:c>
      <x:c r="C187" s="59" t="str">
        <x:v>Obserwacja / Wartość i jednostka, klasyfikacja REPORTED/MEASURED/CALCULATED/ESTIMATED/INFERRED/UNKNOWN, źródło i snapshot, strona/arkusz/wiersz/pole, daty</x:v>
      </x:c>
    </x:row>
    <x:row r="188" ht="38" customHeight="1">
      <x:c r="A188" s="59" t="str">
        <x:v>docs/04_data_model.md</x:v>
      </x:c>
      <x:c r="B188" s="59" t="str">
        <x:v>Wymagania dla przyszłego modelu danych</x:v>
      </x:c>
      <x:c r="C188" s="59" t="str">
        <x:v>Czas / Osobno publication_date, observation_date/source_date, retrieval_date, valid_from/to oraz moment rejestracji wiedzy; nieznane daty pozostają null</x:v>
      </x:c>
    </x:row>
    <x:row r="189" ht="30" customHeight="1">
      <x:c r="A189" s="59" t="str">
        <x:v>docs/04_data_model.md</x:v>
      </x:c>
      <x:c r="B189" s="59" t="str">
        <x:v>Wymagania dla przyszłego modelu danych</x:v>
      </x:c>
      <x:c r="C189" s="59" t="str">
        <x:v>Konflikt / Obie wersje wartości lub daty, dowody, status rozstrzygnięcia; nie nadpisywać jednej drugą</x:v>
      </x:c>
    </x:row>
    <x:row r="190" ht="30" customHeight="1">
      <x:c r="A190" s="59" t="str">
        <x:v>docs/04_data_model.md</x:v>
      </x:c>
      <x:c r="B190" s="59" t="str">
        <x:v>Wymagania dla przyszłego modelu danych</x:v>
      </x:c>
      <x:c r="C190" s="59" t="str">
        <x:v>Relacja / Obiekt początkowy/końcowy, typ, confirmed/probable/inferred/unknown, dowody, okres, stan planowany/istniejący</x:v>
      </x:c>
    </x:row>
    <x:row r="191" ht="38" customHeight="1">
      <x:c r="A191" s="59" t="str">
        <x:v>docs/04_data_model.md</x:v>
      </x:c>
      <x:c r="B191" s="59" t="str">
        <x:v>Wymagania dla przyszłego modelu danych</x:v>
      </x:c>
      <x:c r="C191" s="59" t="str">
        <x:v>Projekt / Technologie jako składniki, SPV/inwestor z dowodami, etapy procedury jako historia; nie wszystkie wpisy są osobnymi projektami</x:v>
      </x:c>
    </x:row>
    <x:row r="192" ht="38" customHeight="1">
      <x:c r="A192" s="59" t="str">
        <x:v>docs/04_data_model.md</x:v>
      </x:c>
      <x:c r="B192" s="59" t="str">
        <x:v>Wymagania dla przyszłego modelu danych</x:v>
      </x:c>
      <x:c r="C192" s="59" t="str">
        <x:v>BESS / P_export_MW, P_import_MW, energy_capacity_MWh, duration_h, PCC_export_limit_MW, PCC_import_limit_MW; brakujące pola null</x:v>
      </x:c>
    </x:row>
    <x:row r="193" ht="30" customHeight="1">
      <x:c r="A193" s="59" t="str">
        <x:v>docs/04_data_model.md</x:v>
      </x:c>
      <x:c r="B193" s="59" t="str">
        <x:v>Wymagania dla przyszłego modelu danych</x:v>
      </x:c>
      <x:c r="C193" s="59" t="str">
        <x:v>Hybryda / Składniki zainstalowane niezależnie od limitów PCC i scenariusza pracy</x:v>
      </x:c>
    </x:row>
    <x:row r="194" ht="30" customHeight="1">
      <x:c r="A194" s="59" t="str">
        <x:v>docs/04_data_model.md</x:v>
      </x:c>
      <x:c r="B194" s="59" t="str">
        <x:v>Wymagania dla przyszłego modelu danych</x:v>
      </x:c>
      <x:c r="C194" s="59" t="str">
        <x:v>Dostępność operatora / Kierunek, napięcie, grupa/stacja, horyzont, wariant WP, ograniczenia i definicja raportu</x:v>
      </x:c>
    </x:row>
    <x:row r="195" ht="38" customHeight="1">
      <x:c r="A195" s="59" t="str">
        <x:v>docs/04_data_model.md</x:v>
      </x:c>
      <x:c r="B195" s="59" t="str">
        <x:v>Wymagania dla przyszłego modelu danych</x:v>
      </x:c>
      <x:c r="C195" s="59" t="str">
        <x:v>Inwestycja / planned/under_construction/commissioned/cancelled/unknown, status dokumentu i daty oczekiwane oddzielone od rzeczywistych</x:v>
      </x:c>
    </x:row>
    <x:row r="196" ht="38" customHeight="1">
      <x:c r="A196" s="59" t="str">
        <x:v>docs/04_data_model.md</x:v>
      </x:c>
      <x:c r="B196" s="59" t="str">
        <x:v>Wymagania dla przyszłego modelu danych</x:v>
      </x:c>
      <x:c r="C196" s="59" t="str">
        <x:v>Wynik analizy / Snapshot, parametry projektu, wersja metody, konfiguracja, czas analizy, źródła wejściowe i wyjaśnienie; score i confidence odrębne</x:v>
      </x:c>
    </x:row>
    <x:row r="197" ht="38" customHeight="1">
      <x:c r="A197" s="59" t="str">
        <x:v>docs/04_data_model.md</x:v>
      </x:c>
      <x:c r="B197" s="59" t="str">
        <x:v>Wymagania dla przyszłego modelu danych</x:v>
      </x:c>
      <x:c r="C197" s="59" t="str">
        <x:v>Szczegółowy projekt SQL/API oraz walidacja kontraktów należą do etapu 2. Katalog źródeł w etapie 1 nie jest zamiennikiem modelu obserwacji technicznych.</x:v>
      </x:c>
    </x:row>
    <x:row r="198" ht="66" customHeight="1">
      <x:c r="A198" s="59" t="str">
        <x:v>docs/04_data_model.md</x:v>
      </x:c>
      <x:c r="B198" s="59" t="str">
        <x:v>Wymagania dla przyszłego modelu danych</x:v>
      </x:c>
      <x:c r="C198"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199" ht="52" customHeight="1">
      <x:c r="A199" s="59" t="str">
        <x:v>docs/04_data_model.md</x:v>
      </x:c>
      <x:c r="B199" s="59" t="str">
        <x:v>Prototyp wspólnego przyłącza — 11.09.2026</x:v>
      </x:c>
      <x:c r="C199" s="59" t="str">
        <x:v>Model ewidencji miejsc (13_shared_connection_model.md) rozdziela identyfikatory projektów, miejsc i przyłącza, scenariusz, kompletność danych oraz kierunkowe limity MW. Działa jako niezależna biblioteka i nie zastępuje pełnego schematu bazy, historii ani kontroli dostępu aplikacji. Wyniki elektryczne pozostają UNKNOWN.</x:v>
      </x:c>
    </x:row>
    <x:row r="200" ht="30" customHeight="1">
      <x:c r="A200" s="59" t="str">
        <x:v>docs/05_grid_capacity_methodology.md</x:v>
      </x:c>
      <x:c r="B200" s="59" t="str">
        <x:v>Granice metody oceny dostępności</x:v>
      </x:c>
      <x:c r="C200" s="59" t="str">
        <x:v>10.09.2026 — wymagania badawcze, brak zaimplementowanego silnika mocy.</x:v>
      </x:c>
    </x:row>
    <x:row r="201" ht="30" customHeight="1">
      <x:c r="A201" s="59" t="str">
        <x:v>docs/05_grid_capacity_methodology.md</x:v>
      </x:c>
      <x:c r="B201" s="59" t="str">
        <x:v>Granice metody oceny dostępności</x:v>
      </x:c>
      <x:c r="C201" s="59" t="str">
        <x:v>Pierwszy raport powinien oddzielać:</x:v>
      </x:c>
    </x:row>
    <x:row r="202" ht="66" customHeight="1">
      <x:c r="A202" s="59" t="str">
        <x:v>docs/05_grid_capacity_methodology.md</x:v>
      </x:c>
      <x:c r="B202" s="59" t="str">
        <x:v>Granice metody oceny dostępności</x:v>
      </x:c>
      <x:c r="C202"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03" ht="52" customHeight="1">
      <x:c r="A203" s="59" t="str">
        <x:v>docs/05_grid_capacity_methodology.md</x:v>
      </x:c>
      <x:c r="B203" s="59" t="str">
        <x:v>Granice metody oceny dostępności</x:v>
      </x:c>
      <x:c r="C203"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04" ht="52" customHeight="1">
      <x:c r="A204" s="59" t="str">
        <x:v>docs/05_grid_capacity_methodology.md</x:v>
      </x:c>
      <x:c r="B204" s="59" t="str">
        <x:v>Granice metody oceny dostępności</x:v>
      </x:c>
      <x:c r="C204"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05" ht="52" customHeight="1">
      <x:c r="A205" s="59" t="str">
        <x:v>docs/05_grid_capacity_methodology.md</x:v>
      </x:c>
      <x:c r="B205" s="59" t="str">
        <x:v>Granice metody oceny dostępności</x:v>
      </x:c>
      <x:c r="C205"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06" ht="38" customHeight="1">
      <x:c r="A206" s="59" t="str">
        <x:v>docs/05_grid_capacity_methodology.md</x:v>
      </x:c>
      <x:c r="B206" s="59" t="str">
        <x:v>Granice metody oceny dostępności</x:v>
      </x:c>
      <x:c r="C206" s="59" t="str">
        <x:v>W badaniu nie ustalono parametrów pozwalających wyznaczyć wiarygodny przedział wolnej mocy dla dowolnego GPZ. Nie utworzono sztucznych zakresów MW ani współczynników zastępczych. Dowody: raport, rozdziały 3–4 i 8–9 (01_data_research.md).</x:v>
      </x:c>
    </x:row>
    <x:row r="207" ht="30" customHeight="1">
      <x:c r="A207" s="59" t="str">
        <x:v>docs/06_scoring_methodology.md</x:v>
      </x:c>
      <x:c r="B207" s="59" t="str">
        <x:v>Status Grid Connection Score</x:v>
      </x:c>
      <x:c r="C207" s="59" t="str">
        <x:v>10.09.2026 — metoda nie jest jeszcze zdefiniowana ani wdrożona.</x:v>
      </x:c>
    </x:row>
    <x:row r="208" ht="52" customHeight="1">
      <x:c r="A208" s="59" t="str">
        <x:v>docs/06_scoring_methodology.md</x:v>
      </x:c>
      <x:c r="B208" s="59" t="str">
        <x:v>Status Grid Connection Score</x:v>
      </x:c>
      <x:c r="C208"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09" ht="30" customHeight="1">
      <x:c r="A209" s="59" t="str">
        <x:v>docs/06_scoring_methodology.md</x:v>
      </x:c>
      <x:c r="B209" s="59" t="str">
        <x:v>Status Grid Connection Score</x:v>
      </x:c>
      <x:c r="C209" s="59" t="str">
        <x:v>Potencjalna zmienna / Stan dowodów</x:v>
      </x:c>
    </x:row>
    <x:row r="210" ht="30" customHeight="1">
      <x:c r="A210" s="59" t="str">
        <x:v>docs/06_scoring_methodology.md</x:v>
      </x:c>
      <x:c r="B210" s="59" t="str">
        <x:v>Status Grid Connection Score</x:v>
      </x:c>
      <x:c r="C210" s="59" t="str">
        <x:v>Raportowana dostępność kierunkowa / Dostępna dla określonych jednostek i założeń operatorów</x:v>
      </x:c>
    </x:row>
    <x:row r="211" ht="30" customHeight="1">
      <x:c r="A211" s="59" t="str">
        <x:v>docs/06_scoring_methodology.md</x:v>
      </x:c>
      <x:c r="B211" s="59" t="str">
        <x:v>Status Grid Connection Score</x:v>
      </x:c>
      <x:c r="C211" s="59" t="str">
        <x:v>Znany pipeline i etap / Częściowo dostępny; wymaga deduplikacji i relacji infrastrukturalnych</x:v>
      </x:c>
    </x:row>
    <x:row r="212" ht="30" customHeight="1">
      <x:c r="A212" s="59" t="str">
        <x:v>docs/06_scoring_methodology.md</x:v>
      </x:c>
      <x:c r="B212" s="59" t="str">
        <x:v>Status Grid Connection Score</x:v>
      </x:c>
      <x:c r="C212" s="59" t="str">
        <x:v>Planowane wzmocnienia / Dostępne dokumentacyjnie; terminy i realizacja nie są pewne</x:v>
      </x:c>
    </x:row>
    <x:row r="213" ht="30" customHeight="1">
      <x:c r="A213" s="59" t="str">
        <x:v>docs/06_scoring_methodology.md</x:v>
      </x:c>
      <x:c r="B213" s="59" t="str">
        <x:v>Status Grid Connection Score</x:v>
      </x:c>
      <x:c r="C213" s="59" t="str">
        <x:v>Napięcie i odległość / Dostępne/obliczalne przy znanym obiekcie i geometrii; sama odległość nie rozstrzyga</x:v>
      </x:c>
    </x:row>
    <x:row r="214" ht="30" customHeight="1">
      <x:c r="A214" s="59" t="str">
        <x:v>docs/06_scoring_methodology.md</x:v>
      </x:c>
      <x:c r="B214" s="59" t="str">
        <x:v>Status Grid Connection Score</x:v>
      </x:c>
      <x:c r="C214" s="59" t="str">
        <x:v>Obciążenia i topologia ruchowa / Brak pełnego publicznego pokrycia</x:v>
      </x:c>
    </x:row>
    <x:row r="215" ht="30" customHeight="1">
      <x:c r="A215" s="59" t="str">
        <x:v>docs/06_scoring_methodology.md</x:v>
      </x:c>
      <x:c r="B215" s="59" t="str">
        <x:v>Status Grid Connection Score</x:v>
      </x:c>
      <x:c r="C215" s="59" t="str">
        <x:v>Elastyczność BESS / Parametry kierunkowe częściowo dostępne; strategia pracy i akceptacja warunków często nieznane</x:v>
      </x:c>
    </x:row>
    <x:row r="216" ht="38" customHeight="1">
      <x:c r="A216" s="59" t="str">
        <x:v>docs/06_scoring_methodology.md</x:v>
      </x:c>
      <x:c r="B216" s="59" t="str">
        <x:v>Status Grid Connection Score</x:v>
      </x:c>
      <x:c r="C216" s="59" t="str">
        <x:v>Odmowy, curtailment i redysponowanie / Konieczny właściwy zakres przestrzenny i przyczyna; brak podstaw do automatycznej lokalnej kary</x:v>
      </x:c>
    </x:row>
    <x:row r="217" ht="52" customHeight="1">
      <x:c r="A217" s="59" t="str">
        <x:v>docs/06_scoring_methodology.md</x:v>
      </x:c>
      <x:c r="B217" s="59" t="str">
        <x:v>Status Grid Connection Score</x:v>
      </x:c>
      <x:c r="C217"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18" ht="52" customHeight="1">
      <x:c r="A218" s="59" t="str">
        <x:v>docs/06_scoring_methodology.md</x:v>
      </x:c>
      <x:c r="B218" s="59" t="str">
        <x:v>Status Grid Connection Score</x:v>
      </x:c>
      <x:c r="C218"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19" ht="38" customHeight="1">
      <x:c r="A219" s="59" t="str">
        <x:v>docs/07_data_quality.md</x:v>
      </x:c>
      <x:c r="B219" s="59" t="str">
        <x:v>Jakość danych — ustalenia i kontrola etapu 1</x:v>
      </x:c>
      <x:c r="C219" s="59" t="str">
        <x:v>10.09.2026. Autorytet źródła A–H według AGENTS.md jest oddzielony od kompletności, świeżości, pewności relacji i praw do wykorzystania. Katalog nie zawiera arbitralnych liczbowych ocen jakości.</x:v>
      </x:c>
    </x:row>
    <x:row r="220" ht="30" customHeight="1">
      <x:c r="A220" s="59" t="str">
        <x:v>docs/07_data_quality.md</x:v>
      </x:c>
      <x:c r="B220" s="59" t="str">
        <x:v>Znalezione przypadki wymagające ostrożności</x:v>
      </x:c>
      <x:c r="C220" s="59" t="str">
        <x:v>Przypadek / Dowód / Obsługa</x:v>
      </x:c>
    </x:row>
    <x:row r="221" ht="30" customHeight="1">
      <x:c r="A221" s="59" t="str">
        <x:v>docs/07_data_quality.md</x:v>
      </x:c>
      <x:c r="B221" s="59" t="str">
        <x:v>Znalezione przypadki wymagające ostrożności</x:v>
      </x:c>
      <x:c r="C221" s="59" t="str">
        <x:v>HTTP 200 bez danych / PGE: zachowany HTML odrzucenia, 346 bajtów / BLOCKED; nie sukces parsera</x:v>
      </x:c>
    </x:row>
    <x:row r="222" ht="30" customHeight="1">
      <x:c r="A222" s="59" t="str">
        <x:v>docs/07_data_quality.md</x:v>
      </x:c>
      <x:c r="B222" s="59" t="str">
        <x:v>Znalezione przypadki wymagające ostrożności</x:v>
      </x:c>
      <x:c r="C222" s="59" t="str">
        <x:v>Sprzeczne daty / Energa pipeline: nazwa 31.08, nagłówek i metadane 30.06 / Zachować konflikt, source_date nierozstrzygnięta</x:v>
      </x:c>
    </x:row>
    <x:row r="223" ht="30" customHeight="1">
      <x:c r="A223" s="59" t="str">
        <x:v>docs/07_data_quality.md</x:v>
      </x:c>
      <x:c r="B223" s="59" t="str">
        <x:v>Znalezione przypadki wymagające ostrożności</x:v>
      </x:c>
      <x:c r="C223" s="59" t="str">
        <x:v>Inna data strony i arkusza / PSE: aktualizacja strony 01.09, XLSX stan 31.07 / Dwa odrębne pola, bez „odmładzania” danych</x:v>
      </x:c>
    </x:row>
    <x:row r="224" ht="30" customHeight="1">
      <x:c r="A224" s="59" t="str">
        <x:v>docs/07_data_quality.md</x:v>
      </x:c>
      <x:c r="B224" s="59" t="str">
        <x:v>Znalezione przypadki wymagające ostrożności</x:v>
      </x:c>
      <x:c r="C224" s="59" t="str">
        <x:v>Przyszłe zamiast obecnych mocy / PSE: tabela importowa nowych planowanych stacji / FUTURE_GRID; nie bieżąca rezerwa</x:v>
      </x:c>
    </x:row>
    <x:row r="225" ht="38" customHeight="1">
      <x:c r="A225" s="59" t="str">
        <x:v>docs/07_data_quality.md</x:v>
      </x:c>
      <x:c r="B225" s="59" t="str">
        <x:v>Znalezione przypadki wymagające ostrożności</x:v>
      </x:c>
      <x:c r="C225" s="59" t="str">
        <x:v>Starsze wejścia w nowej publikacji / Stoen: część informacji o małych źródłach z IV kw.2025 / Wiek wejść odrębny od daty wydania</x:v>
      </x:c>
    </x:row>
    <x:row r="226" ht="30" customHeight="1">
      <x:c r="A226" s="59" t="str">
        <x:v>docs/07_data_quality.md</x:v>
      </x:c>
      <x:c r="B226" s="59" t="str">
        <x:v>Znalezione przypadki wymagające ostrożności</x:v>
      </x:c>
      <x:c r="C226" s="59" t="str">
        <x:v>Null w API / PSE poze-redoze: brak wartości w próbce / UNKNOWN, bez zamiany na 0</x:v>
      </x:c>
    </x:row>
    <x:row r="227" ht="30" customHeight="1">
      <x:c r="A227" s="59" t="str">
        <x:v>docs/07_data_quality.md</x:v>
      </x:c>
      <x:c r="B227" s="59" t="str">
        <x:v>Znalezione przypadki wymagające ostrożności</x:v>
      </x:c>
      <x:c r="C227" s="59" t="str">
        <x:v>Najstarsze wyniki bez filtra / PSE $first=2: obserwacje z 2024 / Próba interfejsu, nie snapshot bieżącego KSE</x:v>
      </x:c>
    </x:row>
    <x:row r="228" ht="30" customHeight="1">
      <x:c r="A228" s="59" t="str">
        <x:v>docs/07_data_quality.md</x:v>
      </x:c>
      <x:c r="B228" s="59" t="str">
        <x:v>Znalezione przypadki wymagające ostrożności</x:v>
      </x:c>
      <x:c r="C228" s="59" t="str">
        <x:v>Anonimizacja i nieustalone punkty / TAURON: wybrane wiersze próbki / Brak scalenia „Osoba prawna” do jednego inwestora</x:v>
      </x:c>
    </x:row>
    <x:row r="229" ht="30" customHeight="1">
      <x:c r="A229" s="59" t="str">
        <x:v>docs/07_data_quality.md</x:v>
      </x:c>
      <x:c r="B229" s="59" t="str">
        <x:v>Znalezione przypadki wymagające ostrożności</x:v>
      </x:c>
      <x:c r="C229" s="59" t="str">
        <x:v>Mapowy podgląd bez eksportu / ENEA Power BI / Nie deklarować działającego API danych</x:v>
      </x:c>
    </x:row>
    <x:row r="230" ht="66" customHeight="1">
      <x:c r="A230" s="59" t="str">
        <x:v>docs/07_data_quality.md</x:v>
      </x:c>
      <x:c r="B230" s="59" t="str">
        <x:v>Wykonana kontrola</x:v>
      </x:c>
      <x:c r="C230"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31" ht="52" customHeight="1">
      <x:c r="A231" s="59" t="str">
        <x:v>docs/07_data_quality.md</x:v>
      </x:c>
      <x:c r="B231" s="59" t="str">
        <x:v>Wykonana kontrola</x:v>
      </x:c>
      <x:c r="C231"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32" ht="66" customHeight="1">
      <x:c r="A232" s="59" t="str">
        <x:v>docs/07_data_quality.md</x:v>
      </x:c>
      <x:c r="B232" s="59" t="str">
        <x:v>Wykonana kontrola</x:v>
      </x:c>
      <x:c r="C232"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33" ht="66" customHeight="1">
      <x:c r="A233" s="59" t="str">
        <x:v>docs/07_data_quality.md</x:v>
      </x:c>
      <x:c r="B233" s="59" t="str">
        <x:v>Kontrola dat Energi — 11.09.2026</x:v>
      </x:c>
      <x:c r="C233"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34" ht="52" customHeight="1">
      <x:c r="A234" s="59" t="str">
        <x:v>docs/07_data_quality.md</x:v>
      </x:c>
      <x:c r="B234" s="59" t="str">
        <x:v>Kontrola dat Energi — 11.09.2026</x:v>
      </x:c>
      <x:c r="C234"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35" ht="52" customHeight="1">
      <x:c r="A235" s="59" t="str">
        <x:v>docs/07_data_quality.md</x:v>
      </x:c>
      <x:c r="B235" s="59" t="str">
        <x:v>Kontrola dat Energi — 11.09.2026</x:v>
      </x:c>
      <x:c r="C235"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36" ht="30" customHeight="1">
      <x:c r="A236" s="59" t="str">
        <x:v>docs/07_data_quality.md</x:v>
      </x:c>
      <x:c r="B236" s="59" t="str">
        <x:v>Kontrola dat Energi — 11.09.2026</x:v>
      </x:c>
      <x:c r="C236" s="59" t="str">
        <x:v>Odtworzenie po przywróceniu archiwum (Python z requirements-research.txt; nowa nazwa wyjścia chroni historię):</x:v>
      </x:c>
    </x:row>
    <x:row r="237" ht="52" customHeight="1">
      <x:c r="A237" s="59" t="str">
        <x:v>docs/07_data_quality.md</x:v>
      </x:c>
      <x:c r="B237" s="59" t="str">
        <x:v>Kontrola dat Energi — 11.09.2026</x:v>
      </x:c>
      <x:c r="C237"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38" ht="38" customHeight="1">
      <x:c r="A238" s="59" t="str">
        <x:v>docs/07_data_quality.md</x:v>
      </x:c>
      <x:c r="B238" s="59" t="str">
        <x:v>Kontrola dat Energi — 11.09.2026</x:v>
      </x:c>
      <x:c r="C238" s="59" t="str">
        <x:v>Wykonano 7 testów, w tym rzeczywistego PDF; wszystkie przeszły. Metoda rozpoznaje wyłącznie wskazany wzorzec dat, więc zmieniony nagłówek powoduje zatrzymanie, a nie zgadywanie daty z wierszy projektów.</x:v>
      </x:c>
    </x:row>
    <x:row r="239" ht="66" customHeight="1">
      <x:c r="A239" s="59" t="str">
        <x:v>docs/07_data_quality.md</x:v>
      </x:c>
      <x:c r="B239" s="59" t="str">
        <x:v>Kontrola dat Energi — 11.09.2026</x:v>
      </x:c>
      <x:c r="C239"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40" ht="52" customHeight="1">
      <x:c r="A240" s="59" t="str">
        <x:v>docs/07_data_quality.md</x:v>
      </x:c>
      <x:c r="B240" s="59" t="str">
        <x:v>Kontrola dat Energi — 11.09.2026</x:v>
      </x:c>
      <x:c r="C240"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41" ht="30" customHeight="1">
      <x:c r="A241" s="59" t="str">
        <x:v>docs/08_roadmap.md</x:v>
      </x:c>
      <x:c r="B241" s="59" t="str">
        <x:v>Proponowane etapy po badaniu źródeł</x:v>
      </x:c>
      <x:c r="C241" s="59" t="str">
        <x:v>10.09.2026 — rekomendacja, nie rozpoczęta implementacja.</x:v>
      </x:c>
    </x:row>
    <x:row r="242" ht="30" customHeight="1">
      <x:c r="A242" s="59" t="str">
        <x:v>docs/08_roadmap.md</x:v>
      </x:c>
      <x:c r="B242" s="59" t="str">
        <x:v>Proponowane etapy po badaniu źródeł</x:v>
      </x:c>
      <x:c r="C242" s="59" t="str">
        <x:v>Etap / Wartość dla użytkownika / Warunki wejścia / zakończenia</x:v>
      </x:c>
    </x:row>
    <x:row r="243" ht="52" customHeight="1">
      <x:c r="A243" s="59" t="str">
        <x:v>docs/08_roadmap.md</x:v>
      </x:c>
      <x:c r="B243" s="59" t="str">
        <x:v>Proponowane etapy po badaniu źródeł</x:v>
      </x:c>
      <x:c r="C243"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44" ht="38" customHeight="1">
      <x:c r="A244" s="59" t="str">
        <x:v>docs/08_roadmap.md</x:v>
      </x:c>
      <x:c r="B244" s="59" t="str">
        <x:v>Proponowane etapy po badaniu źródeł</x:v>
      </x:c>
      <x:c r="C244" s="59" t="str">
        <x:v>V1 — rozszerzenie pokrycia / Kilku operatorów/obszarów, historia zmian, deduplikacja, konflikty, kontrola źródeł, podstawowa mapa dowodów / Mierzalna kompletność i poprawność na próbie referencyjnej; stabilna automatyzacja zgodna z warunkami</x:v>
      </x:c>
    </x:row>
    <x:row r="245" ht="38" customHeight="1">
      <x:c r="A245" s="59" t="str">
        <x:v>docs/08_roadmap.md</x:v>
      </x:c>
      <x:c r="B245" s="59" t="str">
        <x:v>Proponowane etapy po badaniu źródeł</x:v>
      </x:c>
      <x:c r="C245" s="59" t="str">
        <x:v>V2 — scenariusze i warunkowa analityka / Kandydaci przyłączenia, import/eksport BESS, ograniczenia PCC, warianty przyszłej sieci i trasy GIS / Zweryfikowane wejścia i zakres stosowalności; scoring tylko po osobnym opracowaniu i walidacji</x:v>
      </x:c>
    </x:row>
    <x:row r="246" ht="38" customHeight="1">
      <x:c r="A246" s="59" t="str">
        <x:v>docs/08_roadmap.md</x:v>
      </x:c>
      <x:c r="B246" s="59" t="str">
        <x:v>Proponowane etapy po badaniu źródeł</x:v>
      </x:c>
      <x:c r="C246" s="59" t="str">
        <x:v>LONG-TERM — model techniczny / Analizy elektryczne i lepsza kalibracja wyników dla uprawnionych obszarów / Dane operatora/inwestora: topologia, parametry, profile, zdarzenia N-1; referencyjne wyniki studiów</x:v>
      </x:c>
    </x:row>
    <x:row r="247" ht="52" customHeight="1">
      <x:c r="A247" s="59" t="str">
        <x:v>docs/08_roadmap.md</x:v>
      </x:c>
      <x:c r="B247" s="59" t="str">
        <x:v>Proponowane etapy po badaniu źródeł</x:v>
      </x:c>
      <x:c r="C247"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48" ht="38" customHeight="1">
      <x:c r="A248" s="59" t="str">
        <x:v>docs/08_roadmap.md</x:v>
      </x:c>
      <x:c r="B248" s="59" t="str">
        <x:v>Proponowane etapy po badaniu źródeł</x:v>
      </x:c>
      <x:c r="C248" s="59" t="str">
        <x:v>Rozbudowa UI następuje po wiarygodnym raporcie danych. Ogólnopolskie pokrycie nie jest warunkiem sukcesu pilota. Brak lokalnych danych elektrycznych może pozostać trwałą granicą produktu opartego wyłącznie na danych publicznych.</x:v>
      </x:c>
    </x:row>
    <x:row r="249" ht="66" customHeight="1">
      <x:c r="A249" s="59" t="str">
        <x:v>docs/08_roadmap.md</x:v>
      </x:c>
      <x:c r="B249" s="59" t="str">
        <x:v>Proponowane etapy po badaniu źródeł</x:v>
      </x:c>
      <x:c r="C249"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50" ht="38" customHeight="1">
      <x:c r="A250" s="59" t="str">
        <x:v>docs/gpz_pipeline.md</x:v>
      </x:c>
      <x:c r="B250" s="59" t="str">
        <x:v>Widok GPZ — projekty istniejące i pipeline</x:v>
      </x:c>
      <x:c r="C250" s="59" t="str">
        <x:v>Wymaganie użytkownika z 10.09.2026. Status: specyfikacja do pilota, bez wdrożonego interfejsu i bez wprowadzania danych projektowych.</x:v>
      </x:c>
    </x:row>
    <x:row r="251" ht="30" customHeight="1">
      <x:c r="A251" s="59" t="str">
        <x:v>docs/gpz_pipeline.md</x:v>
      </x:c>
      <x:c r="B251" s="59" t="str">
        <x:v>Widok GPZ — projekty istniejące i pipeline</x:v>
      </x:c>
      <x:c r="C251" s="59" t="str">
        <x:v>Po wybraniu GPZ użytkownik powinien zobaczyć projekty w trzech grupach, z datą stanu źródeł i możliwością obejrzenia dowodów:</x:v>
      </x:c>
    </x:row>
    <x:row r="252" ht="30" customHeight="1">
      <x:c r="A252" s="59" t="str">
        <x:v>docs/gpz_pipeline.md</x:v>
      </x:c>
      <x:c r="B252" s="59" t="str">
        <x:v>Widok GPZ — projekty istniejące i pipeline</x:v>
      </x:c>
      <x:c r="C252" s="59" t="str">
        <x:v>Grupa / Warunek zakwalifikowania / Szczegóły widoczne dla użytkownika</x:v>
      </x:c>
    </x:row>
    <x:row r="253" ht="38" customHeight="1">
      <x:c r="A253" s="59" t="str">
        <x:v>docs/gpz_pipeline.md</x:v>
      </x:c>
      <x:c r="B253" s="59" t="str">
        <x:v>Widok GPZ — projekty istniejące i pipeline</x:v>
      </x:c>
      <x:c r="C253" s="59" t="str">
        <x:v>A. Przyłączone / Źródło potwierdza wykonane przyłączenie do tej stacji / Data przyłączenia, status eksploatacji, jeśli osobno znany; sama umowa lub WP nie wystarcza</x:v>
      </x:c>
    </x:row>
    <x:row r="254" ht="38" customHeight="1">
      <x:c r="A254" s="59" t="str">
        <x:v>docs/gpz_pipeline.md</x:v>
      </x:c>
      <x:c r="B254" s="59" t="str">
        <x:v>Widok GPZ — projekty istniejące i pipeline</x:v>
      </x:c>
      <x:c r="C254" s="59" t="str">
        <x:v>B. Planowane do przyłączenia / Udokumentowane planowane przyłączenie, bez potwierdzenia wykonania / Osobno: plan wstępny, wydane WP, umowa, budowa; plan bez wniosku nie jest rezerwacją mocy</x:v>
      </x:c>
    </x:row>
    <x:row r="255" ht="38" customHeight="1">
      <x:c r="A255" s="59" t="str">
        <x:v>docs/gpz_pipeline.md</x:v>
      </x:c>
      <x:c r="B255" s="59" t="str">
        <x:v>Widok GPZ — projekty istniejące i pipeline</x:v>
      </x:c>
      <x:c r="C255"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56" ht="52" customHeight="1">
      <x:c r="A256" s="59" t="str">
        <x:v>docs/gpz_pipeline.md</x:v>
      </x:c>
      <x:c r="B256" s="59" t="str">
        <x:v>Widok GPZ — projekty istniejące i pipeline</x:v>
      </x:c>
      <x:c r="C256"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57" ht="52" customHeight="1">
      <x:c r="A257" s="59" t="str">
        <x:v>docs/gpz_pipeline.md</x:v>
      </x:c>
      <x:c r="B257" s="59" t="str">
        <x:v>Widok GPZ — projekty istniejące i pipeline</x:v>
      </x:c>
      <x:c r="C257"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58" ht="52" customHeight="1">
      <x:c r="A258" s="59" t="str">
        <x:v>docs/gpz_pipeline.md</x:v>
      </x:c>
      <x:c r="B258" s="59" t="str">
        <x:v>Powiązanie projektu ze stacją</x:v>
      </x:c>
      <x:c r="C258"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59" ht="52" customHeight="1">
      <x:c r="A259" s="59" t="str">
        <x:v>docs/gpz_pipeline.md</x:v>
      </x:c>
      <x:c r="B259" s="59" t="str">
        <x:v>Powiązanie projektu ze stacją</x:v>
      </x:c>
      <x:c r="C259"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60" ht="52" customHeight="1">
      <x:c r="A260" s="59" t="str">
        <x:v>docs/gpz_pipeline.md</x:v>
      </x:c>
      <x:c r="B260" s="59" t="str">
        <x:v>Informacje i podsumowania</x:v>
      </x:c>
      <x:c r="C260"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61" ht="52" customHeight="1">
      <x:c r="A261" s="59" t="str">
        <x:v>docs/gpz_pipeline.md</x:v>
      </x:c>
      <x:c r="B261" s="59" t="str">
        <x:v>Informacje i podsumowania</x:v>
      </x:c>
      <x:c r="C261"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62" ht="52" customHeight="1">
      <x:c r="A262" s="59" t="str">
        <x:v>docs/gpz_pipeline.md</x:v>
      </x:c>
      <x:c r="B262" s="59" t="str">
        <x:v>Informacje i podsumowania</x:v>
      </x:c>
      <x:c r="C262"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63" ht="52" customHeight="1">
      <x:c r="A263" s="59" t="str">
        <x:v>docs/gpz_pipeline.md</x:v>
      </x:c>
      <x:c r="B263" s="59" t="str">
        <x:v>Informacje i podsumowania</x:v>
      </x:c>
      <x:c r="C263"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64" ht="80" customHeight="1">
      <x:c r="A264" s="59" t="str">
        <x:v>docs/gpz_pipeline.md</x:v>
      </x:c>
      <x:c r="B264" s="59" t="str">
        <x:v>Warunki gotowości pilota</x:v>
      </x:c>
      <x:c r="C264"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65" ht="38" customHeight="1">
      <x:c r="A265" s="59" t="str">
        <x:v>docs/gpz_pipeline.md</x:v>
      </x:c>
      <x:c r="B265" s="59" t="str">
        <x:v>Warunki gotowości pilota</x:v>
      </x:c>
      <x:c r="C265" s="59" t="str">
        <x:v>Źródła kandydackie i ich ograniczenia są już opisane w katalogu (data_sources.md) oraz macierzy wykonalności (02_feasibility_matrix.md). Specyfikacja nie potwierdza kompletności takich list dla wszystkich GPZ w Polsce.</x:v>
      </x:c>
    </x:row>
    <x:row r="266" ht="80" customHeight="1">
      <x:c r="A266" s="59" t="str">
        <x:v>docs/decision_log.md</x:v>
      </x:c>
      <x:c r="B266" s="59" t="str">
        <x:v>2026-09-10 — Zakres etapu 1</x:v>
      </x:c>
      <x:c r="C266"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67" ht="80" customHeight="1">
      <x:c r="A267" s="59" t="str">
        <x:v>docs/decision_log.md</x:v>
      </x:c>
      <x:c r="B267" s="59" t="str">
        <x:v>2026-09-10 — Proweniencja i status weryfikacji</x:v>
      </x:c>
      <x:c r="C267"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68" ht="80" customHeight="1">
      <x:c r="A268" s="59" t="str">
        <x:v>docs/decision_log.md</x:v>
      </x:c>
      <x:c r="B268" s="59" t="str">
        <x:v>2026-09-10 — Brak sztucznej dokładności i scoringu</x:v>
      </x:c>
      <x:c r="C268"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69" ht="94" customHeight="1">
      <x:c r="A269" s="59" t="str">
        <x:v>docs/decision_log.md</x:v>
      </x:c>
      <x:c r="B269" s="59" t="str">
        <x:v>2026-09-10 — Daty i grupy raportowania są częścią danych</x:v>
      </x:c>
      <x:c r="C269"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70" ht="38" customHeight="1">
      <x:c r="A270" s="59" t="str">
        <x:v>docs/decision_log.md</x:v>
      </x:c>
      <x:c r="B270" s="59" t="str">
        <x:v>2026-09-10 — Daty i grupy raportowania są częścią danych</x:v>
      </x:c>
      <x:c r="C270" s="59" t="str">
        <x:v>Consequences: Rozstrzygnięcie konfliktu i interpretacja tabel są warunkami normalizacji.</x:v>
      </x:c>
    </x:row>
    <x:row r="271" ht="80" customHeight="1">
      <x:c r="A271" s="59" t="str">
        <x:v>docs/decision_log.md</x:v>
      </x:c>
      <x:c r="B271" s="59" t="str">
        <x:v>2026-09-10 — Architektura pozostaje propozycją</x:v>
      </x:c>
      <x:c r="C271"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272" ht="94" customHeight="1">
      <x:c r="A272" s="59" t="str">
        <x:v>docs/decision_log.md</x:v>
      </x:c>
      <x:c r="B272" s="59" t="str">
        <x:v>2026-09-10 — Git i odtwarzalne snapshoty</x:v>
      </x:c>
      <x:c r="C272"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273" ht="38" customHeight="1">
      <x:c r="A273" s="59" t="str">
        <x:v>docs/decision_log.md</x:v>
      </x:c>
      <x:c r="B273" s="59" t="str">
        <x:v>2026-09-10 — Git i odtwarzalne snapshoty</x:v>
      </x:c>
      <x:c r="C273" s="59" t="str">
        <x:v>ZIP; nie skonfigurowano zewnętrznego magazynu danych. Consequences: Autor z adresem GitHub noreply, lokalne commity po sprawdzeniu, push odrębny od zapisu lokalnego; zależności badawcze przypięte do wersji.</x:v>
      </x:c>
    </x:row>
    <x:row r="274" ht="30" customHeight="1">
      <x:c r="A274" s="59" t="str">
        <x:v>docs/decision_log.md</x:v>
      </x:c>
      <x:c r="B274" s="59" t="str">
        <x:v>2026-09-10 — Lokalne sekrety i widok pipeline GPZ</x:v>
      </x:c>
      <x:c r="C274" s="59" t="str">
        <x:v>Date: 2026-09-10</x:v>
      </x:c>
    </x:row>
    <x:row r="275" ht="30" customHeight="1">
      <x:c r="A275" s="59" t="str">
        <x:v>docs/decision_log.md</x:v>
      </x:c>
      <x:c r="B275" s="59" t="str">
        <x:v>2026-09-10 — Lokalne sekrety i widok pipeline GPZ</x:v>
      </x:c>
      <x:c r="C275" s="59" t="str">
        <x:v>Decision: Wykluczyć _secrets/ z Git i opisać trzy grupy projektów wybranego GPZ.</x:v>
      </x:c>
    </x:row>
    <x:row r="276" ht="38" customHeight="1">
      <x:c r="A276" s="59" t="str">
        <x:v>docs/decision_log.md</x:v>
      </x:c>
      <x:c r="B276" s="59" t="str">
        <x:v>2026-09-10 — Lokalne sekrety i widok pipeline GPZ</x:v>
      </x:c>
      <x:c r="C276" s="59" t="str">
        <x:v>Context: Użytkownik dodał lokalne poświadczenie ENTSO-E oraz wskazał potrzebę rozróżnienia projektów przyłączonych, planowanych i wniosków bez odpowiedzi.</x:v>
      </x:c>
    </x:row>
    <x:row r="277" ht="38" customHeight="1">
      <x:c r="A277" s="59" t="str">
        <x:v>docs/decision_log.md</x:v>
      </x:c>
      <x:c r="B277" s="59" t="str">
        <x:v>2026-09-10 — Lokalne sekrety i widok pipeline GPZ</x:v>
      </x:c>
      <x:c r="C277" s="59" t="str">
        <x:v>Options considered: Sam status projektu; odrębne wykonanie przyłączenia, eksploatacja i procedury wniosków. Interpretowanie pustej daty odpowiedzi jako oczekiwania albo jawne UNKNOWN.</x:v>
      </x:c>
    </x:row>
    <x:row r="278" ht="38" customHeight="1">
      <x:c r="A278" s="59" t="str">
        <x:v>docs/decision_log.md</x:v>
      </x:c>
      <x:c r="B278" s="59" t="str">
        <x:v>2026-09-10 — Lokalne sekrety i widok pipeline GPZ</x:v>
      </x:c>
      <x:c r="C278" s="59" t="str">
        <x:v>Selected option: Specyfikacja gpz_pipeline.md, odrębne wnioski i dowody statusu; brak potwierdzenia odpowiedzi nie jest potwierdzonym oczekiwaniem. Folder sekretów ignorowany rekurencyjnie, bez odczytu zawartości.</x:v>
      </x:c>
    </x:row>
    <x:row r="279" ht="30" customHeight="1">
      <x:c r="A279" s="59" t="str">
        <x:v>docs/decision_log.md</x:v>
      </x:c>
      <x:c r="B279" s="59" t="str">
        <x:v>2026-09-10 — Lokalne sekrety i widok pipeline GPZ</x:v>
      </x:c>
      <x:c r="C279" s="59" t="str">
        <x:v>Reason: Użyteczność raportu GPZ przy zachowaniu poprawnych statusów, deduplikacji i ochrony poświadczeń.</x:v>
      </x:c>
    </x:row>
    <x:row r="280" ht="30" customHeight="1">
      <x:c r="A280" s="59" t="str">
        <x:v>docs/decision_log.md</x:v>
      </x:c>
      <x:c r="B280" s="59" t="str">
        <x:v>2026-09-10 — Lokalne sekrety i widok pipeline GPZ</x:v>
      </x:c>
      <x:c r="C280" s="59" t="str">
        <x:v>Trade-offs: Nie każdy publiczny rekord pozwala wypełnić jedną z trzech grup; potrzebna kategoria nieznana/konfliktowa.</x:v>
      </x:c>
    </x:row>
    <x:row r="281" ht="30" customHeight="1">
      <x:c r="A281" s="59" t="str">
        <x:v>docs/decision_log.md</x:v>
      </x:c>
      <x:c r="B281" s="59" t="str">
        <x:v>2026-09-10 — Lokalne sekrety i widok pipeline GPZ</x:v>
      </x:c>
      <x:c r="C281" s="59" t="str">
        <x:v>Consequences: Rozszerzono wymagania pilota i modelu danych; nie wdrożono jeszcze funkcji ani nie użyto klucza API.</x:v>
      </x:c>
    </x:row>
    <x:row r="282" ht="30" customHeight="1">
      <x:c r="A282" s="59" t="str">
        <x:v>docs/decision_log.md</x:v>
      </x:c>
      <x:c r="B282" s="59" t="str">
        <x:v>2026-09-10 — Stały TODO i generowany raport Excel</x:v>
      </x:c>
      <x:c r="C282" s="59" t="str">
        <x:v>Date: 2026-09-10</x:v>
      </x:c>
    </x:row>
    <x:row r="283" ht="30" customHeight="1">
      <x:c r="A283" s="59" t="str">
        <x:v>docs/decision_log.md</x:v>
      </x:c>
      <x:c r="B283" s="59" t="str">
        <x:v>2026-09-10 — Stały TODO i generowany raport Excel</x:v>
      </x:c>
      <x:c r="C283" s="59" t="str">
        <x:v>Decision: Utrzymywać jeden strukturalny rejestr zadań i generować z plików projektu szczegółowy raport XLSX.</x:v>
      </x:c>
    </x:row>
    <x:row r="284" ht="30" customHeight="1">
      <x:c r="A284" s="59" t="str">
        <x:v>docs/decision_log.md</x:v>
      </x:c>
      <x:c r="B284" s="59" t="str">
        <x:v>2026-09-10 — Stały TODO i generowany raport Excel</x:v>
      </x:c>
      <x:c r="C284" s="59" t="str">
        <x:v>Context: Użytkownik poprosił o prowadzenie TODO oraz skrypt do pełnego raportowania projektu; wybrał szablon Project Tracker.</x:v>
      </x:c>
    </x:row>
    <x:row r="285" ht="38" customHeight="1">
      <x:c r="A285" s="59" t="str">
        <x:v>docs/decision_log.md</x:v>
      </x:c>
      <x:c r="B285" s="59" t="str">
        <x:v>2026-09-10 — Stały TODO i generowany raport Excel</x:v>
      </x:c>
      <x:c r="C285" s="59" t="str">
        <x:v>Options considered: Ręcznie aktualizowany Excel; osobne niesynchronizowane listy; JSON jako źródło i generowane widoki Markdown/Excel.</x:v>
      </x:c>
    </x:row>
    <x:row r="286" ht="38" customHeight="1">
      <x:c r="A286" s="59" t="str">
        <x:v>docs/decision_log.md</x:v>
      </x:c>
      <x:c r="B286" s="59" t="str">
        <x:v>2026-09-10 — Stały TODO i generowany raport Excel</x:v>
      </x:c>
      <x:c r="C286" s="59" t="str">
        <x:v>Selected option: data/project/todo.json, stałe ID, zależności i kryteria; generator Node.js z dołączonym artifact-tool oraz zachowanym szablonem. Pełny raport obejmuje wszystkie źródła, wykonalność, ryzyka, dokumentację i zapisane kontrole.</x:v>
      </x:c>
    </x:row>
    <x:row r="287" ht="38" customHeight="1">
      <x:c r="A287" s="59" t="str">
        <x:v>docs/decision_log.md</x:v>
      </x:c>
      <x:c r="B287" s="59" t="str">
        <x:v>2026-09-10 — Stały TODO i generowany raport Excel</x:v>
      </x:c>
      <x:c r="C287" s="59" t="str">
        <x:v>Reason: Utrzymanie historii w Git i odtwarzalnego powiązania raportu z konkretnymi wejściami. Brak podwójnej ręcznej edycji statusów.</x:v>
      </x:c>
    </x:row>
    <x:row r="288" ht="52" customHeight="1">
      <x:c r="A288" s="59" t="str">
        <x:v>docs/decision_log.md</x:v>
      </x:c>
      <x:c r="B288" s="59" t="str">
        <x:v>2026-09-10 — Stały TODO i generowany raport Excel</x:v>
      </x:c>
      <x:c r="C288"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289" ht="38" customHeight="1">
      <x:c r="A289" s="59" t="str">
        <x:v>docs/decision_log.md</x:v>
      </x:c>
      <x:c r="B289" s="59" t="str">
        <x:v>2026-09-10 — Stały TODO i generowany raport Excel</x:v>
      </x:c>
      <x:c r="C289" s="59" t="str">
        <x:v>Consequences: Dodano walidację zależności, dowodów zakończenia, schematu wykonalności oraz manifest raportu z hashami wejść. Sekrety pozostają poza raportem. Nie rozpoczęto implementacji analitycznej aplikacji.</x:v>
      </x:c>
    </x:row>
    <x:row r="290" ht="38" customHeight="1">
      <x:c r="A290" s="59" t="str">
        <x:v>docs/decision_log.md</x:v>
      </x:c>
      <x:c r="B290" s="59" t="str">
        <x:v>2026-09-11 — kwarantanna sprzecznej daty pipeline</x:v>
      </x:c>
      <x:c r="C290" s="59" t="str">
        <x:v>Decision / Context: Publikacja Energi wskazuje różne daty w nazwie pliku i nagłówku. Ponowny odczyt oficjalnej strony nie dostarczył rozstrzygnięcia.</x:v>
      </x:c>
    </x:row>
    <x:row r="291" ht="30" customHeight="1">
      <x:c r="A291" s="59" t="str">
        <x:v>docs/decision_log.md</x:v>
      </x:c>
      <x:c r="B291" s="59" t="str">
        <x:v>2026-09-11 — kwarantanna sprzecznej daty pipeline</x:v>
      </x:c>
      <x:c r="C291" s="59" t="str">
        <x:v>Options considered: Data z nazwy; data z nagłówka; zachowanie wszystkich twierdzeń i kwarantanna.</x:v>
      </x:c>
    </x:row>
    <x:row r="292" ht="38" customHeight="1">
      <x:c r="A292" s="59" t="str">
        <x:v>docs/decision_log.md</x:v>
      </x:c>
      <x:c r="B292" s="59" t="str">
        <x:v>2026-09-11 — kwarantanna sprzecznej daty pipeline</x:v>
      </x:c>
      <x:c r="C292" s="59" t="str">
        <x:v>Selected option / Reason: Ostatni wariant, source_date=null, DATE_CONFLICT. Nie ma podstaw do wyboru jednej daty dla całego zbioru. KSE-008 kończy się kontrolą ryzyka, a nie usunięciem sprzeczności u operatora.</x:v>
      </x:c>
    </x:row>
    <x:row r="293" ht="52" customHeight="1">
      <x:c r="A293" s="59" t="str">
        <x:v>docs/decision_log.md</x:v>
      </x:c>
      <x:c r="B293" s="59" t="str">
        <x:v>2026-09-11 — kwarantanna sprzecznej daty pipeline</x:v>
      </x:c>
      <x:c r="C293"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294" ht="38" customHeight="1">
      <x:c r="A294" s="59" t="str">
        <x:v>docs/decision_log.md</x:v>
      </x:c>
      <x:c r="B294" s="59" t="str">
        <x:v>2026-09-11 — Radkowice jako obszar pilota dokumentacyjnego</x:v>
      </x:c>
      <x:c r="C294" s="59" t="str">
        <x:v>Decision / Context: Użytkownik zaproponował Radkowice 220/110 kV i dopuścił lepiej udokumentowaną alternatywę.</x:v>
      </x:c>
    </x:row>
    <x:row r="295" ht="38" customHeight="1">
      <x:c r="A295" s="59" t="str">
        <x:v>docs/decision_log.md</x:v>
      </x:c>
      <x:c r="B295" s="59" t="str">
        <x:v>2026-09-11 — Radkowice jako obszar pilota dokumentacyjnego</x:v>
      </x:c>
      <x:c r="C295" s="59" t="str">
        <x:v>Options considered: Radkowice; Kościerzyna z publikacji Energi; dalsze poszukiwanie stacji bez wskazania użytkownika.</x:v>
      </x:c>
    </x:row>
    <x:row r="296" ht="52" customHeight="1">
      <x:c r="A296" s="59" t="str">
        <x:v>docs/decision_log.md</x:v>
      </x:c>
      <x:c r="B296" s="59" t="str">
        <x:v>2026-09-11 — Radkowice jako obszar pilota dokumentacyjnego</x:v>
      </x:c>
      <x:c r="C296"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297" ht="66" customHeight="1">
      <x:c r="A297" s="59" t="str">
        <x:v>docs/decision_log.md</x:v>
      </x:c>
      <x:c r="B297" s="59" t="str">
        <x:v>2026-09-11 — Radkowice jako obszar pilota dokumentacyjnego</x:v>
      </x:c>
      <x:c r="C297"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298" ht="38" customHeight="1">
      <x:c r="A298" s="59" t="str">
        <x:v>docs/decision_log.md</x:v>
      </x:c>
      <x:c r="B298" s="59" t="str">
        <x:v>2026-09-11 — eksperymentalny graf dowodów, bez bazy produkcyjnej</x:v>
      </x:c>
      <x:c r="C298" s="59" t="str">
        <x:v>Decision / Context: Dostępne źródła pozwalają przetestować część relacji przed pełnym modelem pilota; brak granic własności i parametrów elektrycznych.</x:v>
      </x:c>
    </x:row>
    <x:row r="299" ht="38" customHeight="1">
      <x:c r="A299" s="59" t="str">
        <x:v>docs/decision_log.md</x:v>
      </x:c>
      <x:c r="B299" s="59" t="str">
        <x:v>2026-09-11 — eksperymentalny graf dowodów, bez bazy produkcyjnej</x:v>
      </x:c>
      <x:c r="C299" s="59" t="str">
        <x:v>Options considered: Czekać na komplet źródeł; uruchomić pełną bazę; przetestować niewielki graf dokumentacyjny w JSON z walidacją.</x:v>
      </x:c>
    </x:row>
    <x:row r="300" ht="38" customHeight="1">
      <x:c r="A300" s="59" t="str">
        <x:v>docs/decision_log.md</x:v>
      </x:c>
      <x:c r="B300" s="59" t="str">
        <x:v>2026-09-11 — eksperymentalny graf dowodów, bez bazy produkcyjnej</x:v>
      </x:c>
      <x:c r="C300" s="59" t="str">
        <x:v>Selected option / Reason: JSON i walidator Python, bez nowych zależności. Każde twierdzenie ma dowód, daty i hash. To odtwarzalny eksperyment reprezentacji danych; nie zmienia otwartych warunków produkcyjnego wykorzystania źródeł.</x:v>
      </x:c>
    </x:row>
    <x:row r="301" ht="52" customHeight="1">
      <x:c r="A301" s="59" t="str">
        <x:v>docs/decision_log.md</x:v>
      </x:c>
      <x:c r="B301" s="59" t="str">
        <x:v>2026-09-11 — eksperymentalny graf dowodów, bez bazy produkcyjnej</x:v>
      </x:c>
      <x:c r="C301"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02" ht="94" customHeight="1">
      <x:c r="A302" s="59" t="str">
        <x:v>docs/decision_log.md</x:v>
      </x:c>
      <x:c r="B302" s="59" t="str">
        <x:v>11.09.2026 — graf v2 i prywatne materiały</x:v>
      </x:c>
      <x:c r="C302" s="59" t="str">
        <x:v>Decision: zachować v1, utworzyć v2 z dodatkowym źródłem publicznym; dokumenty użytkownika i pochodne wyniki przechowywać oddzielnie. Options considered: nadpisanie grafu; wspólny katalog bez ograniczeń; jawne wersje i rozdział dostępu. Selected option: jawne wersje grafu i lokalny katalog prywatny z wersjami przeglądu oraz hashami. Reason: nie mieszać parametrów planowanych z istniejącymi ani materiałów użytkownika z publiczną bazą źródeł. Trade-offs: prywatne wyniki nie są objęte Git ani ogólnym Excelem; wymagają oddzielnej kopii. Consequences: pełna integracja prywatnych danych pozostaje KSE-033; obecna aplikacja nie ma jeszcze kontroli</x:v>
      </x:c>
    </x:row>
    <x:row r="303" ht="30" customHeight="1">
      <x:c r="A303" s="59" t="str">
        <x:v>docs/decision_log.md</x:v>
      </x:c>
      <x:c r="B303" s="59" t="str">
        <x:v>11.09.2026 — graf v2 i prywatne materiały</x:v>
      </x:c>
      <x:c r="C303" s="59" t="str">
        <x:v>dostępu.</x:v>
      </x:c>
    </x:row>
    <x:row r="304" ht="94" customHeight="1">
      <x:c r="A304" s="59" t="str">
        <x:v>docs/decision_log.md</x:v>
      </x:c>
      <x:c r="B304" s="59" t="str">
        <x:v>11.09.2026 — niezależna ewidencja wspólnego przyłącza</x:v>
      </x:c>
      <x:c r="C304" s="59" t="str">
        <x:v>Decision: rozwijać model dokumentacyjny mimo niedostępności ekspertyzy wpływu od użytkownika. Options considered: oczekiwanie na ekspertyzę; heurystyczne MW; ewidencja miejsc z jawnymi brakami. Selected option: ewidencja w osobnym, czystym module Python bez dodatkowych zależności. Reason: przypisania i status kompletności dają sprawdzalne informacje bez udawania modelu rozpływowego. Trade-offs: można obliczyć liczbę nieprzypisanych miejsc dopiero z kompletnych wejść; nie obliczamy dostępnych MW ani prawdopodobieństwa. Consequences: prywatny dowód oznacza prywatny wynik, również gdy nie wchodzi do pewnego licznika. KSE-033 pozostaje w toku,</x:v>
      </x:c>
    </x:row>
    <x:row r="305" ht="38" customHeight="1">
      <x:c r="A305" s="59" t="str">
        <x:v>docs/decision_log.md</x:v>
      </x:c>
      <x:c r="B305" s="59" t="str">
        <x:v>11.09.2026 — niezależna ewidencja wspólnego przyłącza</x:v>
      </x:c>
      <x:c r="C305" s="59" t="str">
        <x:v>ponieważ nie ukończono historii i integracji aplikacyjnej.</x:v>
      </x:c>
    </x:row>
    <x:row r="306" ht="38" customHeight="1">
      <x:c r="A306" s="59" t="str">
        <x:v>docs/discovery_log.md</x:v>
      </x:c>
      <x:c r="B306" s="59" t="str">
        <x:v>Zakres odkrywania interfejsów — 10.09.2026</x:v>
      </x:c>
      <x:c r="C306" s="59" t="str">
        <x:v>Uzupełnienie raportu (01_data_research.md) i katalogu (data_sources.md). To macierz wyników pierwszego badania, nie certyfikat nieistnienia nieodnalezionego interfejsu.</x:v>
      </x:c>
    </x:row>
    <x:row r="307" ht="52" customHeight="1">
      <x:c r="A307" s="59" t="str">
        <x:v>docs/discovery_log.md</x:v>
      </x:c>
      <x:c r="B307" s="59" t="str">
        <x:v>Zakres odkrywania interfejsów — 10.09.2026</x:v>
      </x:c>
      <x:c r="C307"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08" ht="30" customHeight="1">
      <x:c r="A308" s="59" t="str">
        <x:v>docs/discovery_log.md</x:v>
      </x:c>
      <x:c r="B308" s="59" t="str">
        <x:v>Zakres odkrywania interfejsów — 10.09.2026</x:v>
      </x:c>
      <x:c r="C308" s="59" t="str">
        <x:v>Rodzina / API / dane strukturalne / GIS / Dokumenty / pozostałe / Dowód w katalogu</x:v>
      </x:c>
    </x:row>
    <x:row r="309" ht="38" customHeight="1">
      <x:c r="A309" s="59" t="str">
        <x:v>docs/discovery_log.md</x:v>
      </x:c>
      <x:c r="B309" s="59" t="str">
        <x:v>Zakres odkrywania interfejsów — 10.09.2026</x:v>
      </x:c>
      <x:c r="C309" s="59" t="str">
        <x:v>PSE / Działa API JSON, pobrano OpenAPI i XLSX / Nie potwierdzono publicznego operacyjnego WFS/ArcGIS ani pełnej topologii API / PDF mocy i planów; dokumentacja strukturalna B2B to odrębny zakres / PSE_API, PSE_PIPELINE, PSE_CAPACITY, PSE_STRUCT_B2B</x:v>
      </x:c>
    </x:row>
    <x:row r="310" ht="38" customHeight="1">
      <x:c r="A310" s="59" t="str">
        <x:v>docs/discovery_log.md</x:v>
      </x:c>
      <x:c r="B310" s="59" t="str">
        <x:v>Zakres odkrywania interfejsów — 10.09.2026</x:v>
      </x:c>
      <x:c r="C310" s="59" t="str">
        <x:v>PGE / Brak potwierdzenia; odczyt blokowany / Nie potwierdzono / Wskazania PDF; treść niepotwierdzona / PGE_LANDING, PGE_EXPORT_DISCOVERY, PGE_PLAN_DISCOVERY</x:v>
      </x:c>
    </x:row>
    <x:row r="311" ht="38" customHeight="1">
      <x:c r="A311" s="59" t="str">
        <x:v>docs/discovery_log.md</x:v>
      </x:c>
      <x:c r="B311" s="59" t="str">
        <x:v>Zakres odkrywania interfejsów — 10.09.2026</x:v>
      </x:c>
      <x:c r="C311" s="59" t="str">
        <x:v>ENEA / Nie potwierdzono publicznego API; Power BI w HTML / Viewer; nie potwierdzono WFS/WMS/GeoJSON do pobierania infrastruktury / Wykazy, kryteria SN, plan / ENEA_MAP, ENEA_PIPELINE, ENEA_PLAN</x:v>
      </x:c>
    </x:row>
    <x:row r="312" ht="38" customHeight="1">
      <x:c r="A312" s="59" t="str">
        <x:v>docs/discovery_log.md</x:v>
      </x:c>
      <x:c r="B312" s="59" t="str">
        <x:v>Zakres odkrywania interfejsów — 10.09.2026</x:v>
      </x:c>
      <x:c r="C312" s="59" t="str">
        <x:v>TAURON / Nie potwierdzono publicznego API portalu / Viewer dostępności; brak potwierdzonego eksportu topologii / Pobrany PDF wykazu, indeks planu / TAURON_PIPELINE, TAURON_MAP, TAURON_PLAN</x:v>
      </x:c>
    </x:row>
    <x:row r="313" ht="38" customHeight="1">
      <x:c r="A313" s="59" t="str">
        <x:v>docs/discovery_log.md</x:v>
      </x:c>
      <x:c r="B313" s="59" t="str">
        <x:v>Zakres odkrywania interfejsów — 10.09.2026</x:v>
      </x:c>
      <x:c r="C313" s="59" t="str">
        <x:v>Energa / Nie potwierdzono publicznego API badanych wykazów / Nie potwierdzono operacyjnej topologii GIS / Pobrane osobne PDF eksport/import/pipeline; plan / ENERGA_*</x:v>
      </x:c>
    </x:row>
    <x:row r="314" ht="38" customHeight="1">
      <x:c r="A314" s="59" t="str">
        <x:v>docs/discovery_log.md</x:v>
      </x:c>
      <x:c r="B314" s="59" t="str">
        <x:v>Zakres odkrywania interfejsów — 10.09.2026</x:v>
      </x:c>
      <x:c r="C314" s="59" t="str">
        <x:v>Stoen / Nie potwierdzono publicznego API / Nie potwierdzono operacyjnej topologii GIS / PDF kierunkowych mocy; linki rejestrów i planu / STOEN_*</x:v>
      </x:c>
    </x:row>
    <x:row r="315" ht="30" customHeight="1">
      <x:c r="A315" s="59" t="str">
        <x:v>docs/discovery_log.md</x:v>
      </x:c>
      <x:c r="B315" s="59" t="str">
        <x:v>Zakres odkrywania interfejsów — 10.09.2026</x:v>
      </x:c>
      <x:c r="C315" s="59" t="str">
        <x:v>KGHM OSDn / Linki do arkuszy; nie zwalidowano załączników / Nie potwierdzono / Publiczne informacje OSD i rejestry / KGHM_OSD</x:v>
      </x:c>
    </x:row>
    <x:row r="316" ht="38" customHeight="1">
      <x:c r="A316" s="59" t="str">
        <x:v>docs/discovery_log.md</x:v>
      </x:c>
      <x:c r="B316" s="59" t="str">
        <x:v>Zakres odkrywania interfejsów — 10.09.2026</x:v>
      </x:c>
      <x:c r="C316" s="59" t="str">
        <x:v>GUGiK / Pliki i GeoParquet; dokumentowane usługi / Potwierdzony WFS GetCapabilities EGiB; dokumentacja WMS/WMTS/WCS pozostałych produktów / Dane katastralne/topograficzne/terenowe, integracja MPZP / GUGIK_*</x:v>
      </x:c>
    </x:row>
    <x:row r="317" ht="30" customHeight="1">
      <x:c r="A317" s="59" t="str">
        <x:v>docs/discovery_log.md</x:v>
      </x:c>
      <x:c r="B317" s="59" t="str">
        <x:v>Zakres odkrywania interfejsów — 10.09.2026</x:v>
      </x:c>
      <x:c r="C317" s="59" t="str">
        <x:v>GDOŚ / OGC XML / Potwierdzony WFS GetCapabilities, opis WMS / Ochrona przyrody; akty prawne osobno / GDOS_GIS</x:v>
      </x:c>
    </x:row>
    <x:row r="318" ht="38" customHeight="1">
      <x:c r="A318" s="59" t="str">
        <x:v>docs/discovery_log.md</x:v>
      </x:c>
      <x:c r="B318" s="59" t="str">
        <x:v>Zakres odkrywania interfejsów — 10.09.2026</x:v>
      </x:c>
      <x:c r="C318" s="59" t="str">
        <x:v>Wody Polskie / BDL / Zależnie od produktu / Opis WMS i WFS/WMTS BDL, adresy usług ArcGIS; brak testu całego pobierania / Procedury udostępniania / WODY_SIGW, BDL_GIS</x:v>
      </x:c>
    </x:row>
    <x:row r="319" ht="38" customHeight="1">
      <x:c r="A319" s="59" t="str">
        <x:v>docs/discovery_log.md</x:v>
      </x:c>
      <x:c r="B319" s="59" t="str">
        <x:v>Zakres odkrywania interfejsów — 10.09.2026</x:v>
      </x:c>
      <x:c r="C319" s="59" t="str">
        <x:v>ENTSO-E / REST/XML z tokenem, nie wykonano zapytania / Mapa PDF nie jest API topologii / Warunki ponownego wykorzystania według datasetu / ENTSOE_TP, ENTSOE_MAP</x:v>
      </x:c>
    </x:row>
    <x:row r="320" ht="38" customHeight="1">
      <x:c r="A320" s="59" t="str">
        <x:v>docs/discovery_log.md</x:v>
      </x:c>
      <x:c r="B320" s="59" t="str">
        <x:v>Zakres odkrywania interfejsów — 10.09.2026</x:v>
      </x:c>
      <x:c r="C320" s="59" t="str">
        <x:v>OSM/OpenInfraMap / Regionalny PBF; Overpass jako wskazany kanał małych ekstraktów / Geometria społecznościowa, nie potwierdzone relacje operatora / ODbL; OpenInfraMap nie jest drugim źródłem / OSM_LICENSE, GEOFABRIK_PL, OPENINFRAMAP</x:v>
      </x:c>
    </x:row>
    <x:row r="321" ht="38" customHeight="1">
      <x:c r="A321" s="59" t="str">
        <x:v>docs/discovery_log.md</x:v>
      </x:c>
      <x:c r="B321" s="59" t="str">
        <x:v>Zakres odkrywania interfejsów — 10.09.2026</x:v>
      </x:c>
      <x:c r="C321" s="59" t="str">
        <x:v>Modele otwarte / Repozytoria GitHub i formaty modeli / Geometria i parametry mogą być inferowane / PyPSA-Eur i historyczny MATPOWER nie są aktualnym operacyjnym KSE / PYPSA_EUR, MATPOWER_POLAND</x:v>
      </x:c>
    </x:row>
    <x:row r="322" ht="52" customHeight="1">
      <x:c r="A322" s="59" t="str">
        <x:v>docs/discovery_log.md</x:v>
      </x:c>
      <x:c r="B322" s="59" t="str">
        <x:v>Zakres odkrywania interfejsów — 10.09.2026</x:v>
      </x:c>
      <x:c r="C322"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323" ht="94" customHeight="1">
      <x:c r="A323" s="59" t="str">
        <x:v>docs/discovery_log.md</x:v>
      </x:c>
      <x:c r="B323" s="59" t="str">
        <x:v>Otwarte działania po badaniu</x:v>
      </x:c>
      <x:c r="C323"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324" ht="38" customHeight="1">
      <x:c r="A324" s="59" t="str">
        <x:v>docs/discovery_log.md</x:v>
      </x:c>
      <x:c r="B324" s="59" t="str">
        <x:v>Otwarte działania po badaniu</x:v>
      </x:c>
      <x:c r="C324" s="59" t="str">
        <x:v>Nie traktować powyższej listy jako zaległej implementacji w etapie 1: są to ujawnione warunki wejścia do dalszych etapów. Źródła o niepotwierdzonej treści pozostają oznaczone jako niepotwierdzone.</x:v>
      </x:c>
    </x:row>
    <x:row r="325" ht="52" customHeight="1">
      <x:c r="A325" s="59" t="str">
        <x:v>docs/reproducibility.md</x:v>
      </x:c>
      <x:c r="B325" s="59" t="str">
        <x:v>Wersjonowanie i odtwarzalność</x:v>
      </x:c>
      <x:c r="C325"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326" ht="30" customHeight="1">
      <x:c r="A326" s="59" t="str">
        <x:v>docs/reproducibility.md</x:v>
      </x:c>
      <x:c r="B326" s="59" t="str">
        <x:v>Dwa elementy kopii projektu</x:v>
      </x:c>
      <x:c r="C326" s="59" t="str">
        <x:v>Element / Co zachowuje / Gdzie</x:v>
      </x:c>
    </x:row>
    <x:row r="327" ht="38" customHeight="1">
      <x:c r="A327" s="59" t="str">
        <x:v>docs/reproducibility.md</x:v>
      </x:c>
      <x:c r="B327" s="59" t="str">
        <x:v>Dwa elementy kopii projektu</x:v>
      </x:c>
      <x:c r="C327" s="59" t="str">
        <x:v>Historia Git / Dokumentacja, notatki źródłowe, skrypty, konfiguracja, wersje zależności, hash i lista próbek / Lokalnie .git, po push także prywatne GitHub</x:v>
      </x:c>
    </x:row>
    <x:row r="328" ht="30" customHeight="1">
      <x:c r="A328" s="59" t="str">
        <x:v>docs/reproducibility.md</x:v>
      </x:c>
      <x:c r="B328" s="59" t="str">
        <x:v>Dwa elementy kopii projektu</x:v>
      </x:c>
      <x:c r="C328" s="59" t="str">
        <x:v>Archiwum badania / Dokładne bajty pobranych plików i kontrolnych podglądów oraz manifesty / data/archives/, pomijane przez Git</x:v>
      </x:c>
    </x:row>
    <x:row r="329" ht="66" customHeight="1">
      <x:c r="A329" s="59" t="str">
        <x:v>docs/reproducibility.md</x:v>
      </x:c>
      <x:c r="B329" s="59" t="str">
        <x:v>Dwa elementy kopii projektu</x:v>
      </x:c>
      <x:c r="C329"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30" ht="38" customHeight="1">
      <x:c r="A330" s="59" t="str">
        <x:v>docs/reproducibility.md</x:v>
      </x:c>
      <x:c r="B330" s="59" t="str">
        <x:v>Dwa elementy kopii projektu</x:v>
      </x:c>
      <x:c r="C330" s="59" t="str">
        <x:v>URL pozwala ponowić pobranie, ale nie gwarantuje identycznej historycznej wersji. Gdy operator podmieni plik, nie wolno zastąpić starego snapshotu nową treścią i twierdzić, że odtworzono stare badanie. Dlatego zachowujemy osobne kopie oraz SHA-256.</x:v>
      </x:c>
    </x:row>
    <x:row r="331" ht="38" customHeight="1">
      <x:c r="A331" s="59" t="str">
        <x:v>docs/reproducibility.md</x:v>
      </x:c>
      <x:c r="B331" s="59" t="str">
        <x:v>Odtworzenie na komputerze z Pythonem</x:v>
      </x:c>
      <x:c r="C331" s="59" t="str">
        <x:v>Badanie sprawdzono na Pythonie 3.12.14. Dokładne użyte pakiety zapisano w requirements-research.txt. W PowerShell, w folderze repozytorium:</x:v>
      </x:c>
    </x:row>
    <x:row r="332" ht="52" customHeight="1">
      <x:c r="A332" s="59" t="str">
        <x:v>docs/reproducibility.md</x:v>
      </x:c>
      <x:c r="B332" s="59" t="str">
        <x:v>Odtworzenie na komputerze z Pythonem</x:v>
      </x:c>
      <x:c r="C332"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33" ht="52" customHeight="1">
      <x:c r="A333" s="59" t="str">
        <x:v>docs/reproducibility.md</x:v>
      </x:c>
      <x:c r="B333" s="59" t="str">
        <x:v>Odtworzenie na komputerze z Pythonem</x:v>
      </x:c>
      <x:c r="C333"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34" ht="52" customHeight="1">
      <x:c r="A334" s="59" t="str">
        <x:v>docs/reproducibility.md</x:v>
      </x:c>
      <x:c r="B334" s="59" t="str">
        <x:v>Odtworzenie na komputerze z Pythonem</x:v>
      </x:c>
      <x:c r="C334"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35" ht="66" customHeight="1">
      <x:c r="A335" s="59" t="str">
        <x:v>docs/reproducibility.md</x:v>
      </x:c>
      <x:c r="B335" s="59" t="str">
        <x:v>Test odtwarzania wykonany 10.09.2026</x:v>
      </x:c>
      <x:c r="C335"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36" ht="66" customHeight="1">
      <x:c r="A336" s="59" t="str">
        <x:v>docs/reproducibility.md</x:v>
      </x:c>
      <x:c r="B336" s="59" t="str">
        <x:v>Budowanie kolejnego archiwum</x:v>
      </x:c>
      <x:c r="C336"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37" ht="52" customHeight="1">
      <x:c r="A337" s="59" t="str">
        <x:v>docs/reproducibility.md</x:v>
      </x:c>
      <x:c r="B337" s="59" t="str">
        <x:v>Budowanie kolejnego archiwum</x:v>
      </x:c>
      <x:c r="C337"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38" ht="30" customHeight="1">
      <x:c r="A338" s="59" t="str">
        <x:v>docs/git_workflow.md</x:v>
      </x:c>
      <x:c r="B338" s="59" t="str">
        <x:v>Git i GitHub — instrukcja dla tego projektu</x:v>
      </x:c>
      <x:c r="C338" s="59" t="str">
        <x:v>Przygotowano 10.09.2026. Folder: C:\Users\woloo\Desktop\KSE. Repozytorium: woloo-del/KSE (https://github.com/woloo-del/KSE).</x:v>
      </x:c>
    </x:row>
    <x:row r="339" ht="38" customHeight="1">
      <x:c r="A339" s="59" t="str">
        <x:v>docs/git_workflow.md</x:v>
      </x:c>
      <x:c r="B339" s="59" t="str">
        <x:v>Git i GitHub — instrukcja dla tego projektu</x:v>
      </x:c>
      <x:c r="C339" s="59" t="str">
        <x:v>Git zapisuje wersje lokalnie. GitHub przechowuje wysłaną kopię historii. Commit to zapis wersji na komputerze; push wysyła zapisane commity na GitHub. Zapisanie pliku w edytorze samo nie wykonuje żadnej z tych operacji.</x:v>
      </x:c>
    </x:row>
    <x:row r="340" ht="94" customHeight="1">
      <x:c r="A340" s="59" t="str">
        <x:v>docs/git_workflow.md</x:v>
      </x:c>
      <x:c r="B340" s="59" t="str">
        <x:v>Co już skonfigurowano</x:v>
      </x:c>
      <x:c r="C340"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341" ht="30" customHeight="1">
      <x:c r="A341" s="59" t="str">
        <x:v>docs/git_workflow.md</x:v>
      </x:c>
      <x:c r="B341" s="59" t="str">
        <x:v>Co już skonfigurowano</x:v>
      </x:c>
      <x:c r="C341" s="59" t="str">
        <x:v>środowiska, cache i duże dane źródłowe. .gitattributes ustala końce linii plików tekstowych.</x:v>
      </x:c>
    </x:row>
    <x:row r="342" ht="30" customHeight="1">
      <x:c r="A342" s="59" t="str">
        <x:v>docs/git_workflow.md</x:v>
      </x:c>
      <x:c r="B342" s="59" t="str">
        <x:v>Pierwszy push</x:v>
      </x:c>
      <x:c r="C342" s="59" t="str">
        <x:v>Otwórz PowerShell i wpisz:</x:v>
      </x:c>
    </x:row>
    <x:row r="343" ht="30" customHeight="1">
      <x:c r="A343" s="59" t="str">
        <x:v>docs/git_workflow.md</x:v>
      </x:c>
      <x:c r="B343" s="59" t="str">
        <x:v>Pierwszy push</x:v>
      </x:c>
      <x:c r="C343" s="59" t="str">
        <x:v>Set-Location 'C:\Users\woloo\Desktop\KSE' git status git log -1 --oneline git push -u origin main</x:v>
      </x:c>
    </x:row>
    <x:row r="344" ht="52" customHeight="1">
      <x:c r="A344" s="59" t="str">
        <x:v>docs/git_workflow.md</x:v>
      </x:c>
      <x:c r="B344" s="59" t="str">
        <x:v>Pierwszy push</x:v>
      </x:c>
      <x:c r="C344"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345" ht="52" customHeight="1">
      <x:c r="A345" s="59" t="str">
        <x:v>docs/git_workflow.md</x:v>
      </x:c>
      <x:c r="B345" s="59" t="str">
        <x:v>Pierwszy push</x:v>
      </x:c>
      <x:c r="C345"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346" ht="30" customHeight="1">
      <x:c r="A346" s="59" t="str">
        <x:v>docs/git_workflow.md</x:v>
      </x:c>
      <x:c r="B346" s="59" t="str">
        <x:v>Kolejne zmiany — zwykły cykl</x:v>
      </x:c>
      <x:c r="C346" s="59" t="str">
        <x:v>Po zapisaniu plików i wykonaniu właściwych kontroli:</x:v>
      </x:c>
    </x:row>
    <x:row r="347" ht="38" customHeight="1">
      <x:c r="A347" s="59" t="str">
        <x:v>docs/git_workflow.md</x:v>
      </x:c>
      <x:c r="B347" s="59" t="str">
        <x:v>Kolejne zmiany — zwykły cykl</x:v>
      </x:c>
      <x:c r="C347" s="59" t="str">
        <x:v>git status git diff git add README.md docs scripts config data/catalog requirements-research.txt .gitignore .gitattributes AGENTS.md git diff --cached --stat git commit -m "Opisz konkretnie wykonana zmiane" git push</x:v>
      </x:c>
    </x:row>
    <x:row r="348" ht="52" customHeight="1">
      <x:c r="A348" s="59" t="str">
        <x:v>docs/git_workflow.md</x:v>
      </x:c>
      <x:c r="B348" s="59" t="str">
        <x:v>Kolejne zmiany — zwykły cykl</x:v>
      </x:c>
      <x:c r="C348"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349" ht="38" customHeight="1">
      <x:c r="A349" s="59" t="str">
        <x:v>docs/git_workflow.md</x:v>
      </x:c>
      <x:c r="B349" s="59" t="str">
        <x:v>Kolejne zmiany — zwykły cykl</x:v>
      </x:c>
      <x:c r="C349" s="59" t="str">
        <x:v>Gdy Codex informuje, że już wykonał commit, nie musisz ponownie robić add i commit; sprawdź git status, git log -1 --oneline, a następnie wykonaj git push.</x:v>
      </x:c>
    </x:row>
    <x:row r="350" ht="38" customHeight="1">
      <x:c r="A350" s="59" t="str">
        <x:v>docs/git_workflow.md</x:v>
      </x:c>
      <x:c r="B350" s="59" t="str">
        <x:v>Praca na drugim komputerze i zmiany na GitHub</x:v>
      </x:c>
      <x:c r="C350" s="59" t="str">
        <x:v>Na nowym komputerze pobierz repozytorium przez git clone https://github.com/woloo-del/KSE.git. Zależności i archiwum danych odtwórz według instrukcji odtwarzania (reproducibility.md).</x:v>
      </x:c>
    </x:row>
    <x:row r="351" ht="52" customHeight="1">
      <x:c r="A351" s="59" t="str">
        <x:v>docs/git_workflow.md</x:v>
      </x:c>
      <x:c r="B351" s="59" t="str">
        <x:v>Praca na drugim komputerze i zmiany na GitHub</x:v>
      </x:c>
      <x:c r="C351"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352" ht="30" customHeight="1">
      <x:c r="A352" s="59" t="str">
        <x:v>docs/git_workflow.md</x:v>
      </x:c>
      <x:c r="B352" s="59" t="str">
        <x:v>Co oznaczają typowe komunikaty</x:v>
      </x:c>
      <x:c r="C352" s="59" t="str">
        <x:v>Komunikat / Znaczenie / następny krok</x:v>
      </x:c>
    </x:row>
    <x:row r="353" ht="30" customHeight="1">
      <x:c r="A353" s="59" t="str">
        <x:v>docs/git_workflow.md</x:v>
      </x:c>
      <x:c r="B353" s="59" t="str">
        <x:v>Co oznaczają typowe komunikaty</x:v>
      </x:c>
      <x:c r="C353" s="59" t="str">
        <x:v>nothing to commit, working tree clean / Wszystkie śledzone zmiany zapisane lokalnie; nie dowodzi jeszcze wysłania</x:v>
      </x:c>
    </x:row>
    <x:row r="354" ht="30" customHeight="1">
      <x:c r="A354" s="59" t="str">
        <x:v>docs/git_workflow.md</x:v>
      </x:c>
      <x:c r="B354" s="59" t="str">
        <x:v>Co oznaczają typowe komunikaty</x:v>
      </x:c>
      <x:c r="C354" s="59" t="str">
        <x:v>Everything up-to-date / Brak nowych commitów do wysłania</x:v>
      </x:c>
    </x:row>
    <x:row r="355" ht="30" customHeight="1">
      <x:c r="A355" s="59" t="str">
        <x:v>docs/git_workflow.md</x:v>
      </x:c>
      <x:c r="B355" s="59" t="str">
        <x:v>Co oznaczają typowe komunikaty</x:v>
      </x:c>
      <x:c r="C355" s="59" t="str">
        <x:v>Your branch is ahead ... / Masz lokalne commity oczekujące na push</x:v>
      </x:c>
    </x:row>
    <x:row r="356" ht="30" customHeight="1">
      <x:c r="A356" s="59" t="str">
        <x:v>docs/git_workflow.md</x:v>
      </x:c>
      <x:c r="B356" s="59" t="str">
        <x:v>Co oznaczają typowe komunikaty</x:v>
      </x:c>
      <x:c r="C356" s="59" t="str">
        <x:v>Repository not found / Dla repo prywatnego sprawdź konto, dostęp i adres; nie musi oznaczać nieistnienia repo</x:v>
      </x:c>
    </x:row>
    <x:row r="357" ht="30" customHeight="1">
      <x:c r="A357" s="59" t="str">
        <x:v>docs/git_workflow.md</x:v>
      </x:c>
      <x:c r="B357" s="59" t="str">
        <x:v>Co oznaczają typowe komunikaty</x:v>
      </x:c>
      <x:c r="C357" s="59" t="str">
        <x:v>src refspec main does not match any / Zwykle brak pierwszego commita lub inna nazwa gałęzi</x:v>
      </x:c>
    </x:row>
    <x:row r="358" ht="30" customHeight="1">
      <x:c r="A358" s="59" t="str">
        <x:v>docs/git_workflow.md</x:v>
      </x:c>
      <x:c r="B358" s="59" t="str">
        <x:v>Co oznaczają typowe komunikaty</x:v>
      </x:c>
      <x:c r="C358" s="59" t="str">
        <x:v>non-fast-forward / fetch first / Na serwerze jest historia, której nie ma lokalnie; wymagana bezpieczna synchronizacja</x:v>
      </x:c>
    </x:row>
    <x:row r="359" ht="52" customHeight="1">
      <x:c r="A359" s="59" t="str">
        <x:v>docs/git_workflow.md</x:v>
      </x:c>
      <x:c r="B359" s="59" t="str">
        <x:v>Co oznaczają typowe komunikaty</x:v>
      </x:c>
      <x:c r="C359"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360" ht="52" customHeight="1">
      <x:c r="A360" s="59" t="str">
        <x:v>docs/project_reporting.md</x:v>
      </x:c>
      <x:c r="B360" s="59" t="str">
        <x:v>Rejestr TODO i raport projektu w Excelu</x:v>
      </x:c>
      <x:c r="C360"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361" ht="52" customHeight="1">
      <x:c r="A361" s="59" t="str">
        <x:v>docs/project_reporting.md</x:v>
      </x:c>
      <x:c r="B361" s="59" t="str">
        <x:v>Rejestr TODO i raport projektu w Excelu</x:v>
      </x:c>
      <x:c r="C361"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362" ht="30" customHeight="1">
      <x:c r="A362" s="59" t="str">
        <x:v>docs/project_reporting.md</x:v>
      </x:c>
      <x:c r="B362" s="59" t="str">
        <x:v>Generowanie</x:v>
      </x:c>
      <x:c r="C362" s="59" t="str">
        <x:v>W PowerShell, w folderze projektu:</x:v>
      </x:c>
    </x:row>
    <x:row r="363" ht="30" customHeight="1">
      <x:c r="A363" s="59" t="str">
        <x:v>docs/project_reporting.md</x:v>
      </x:c>
      <x:c r="B363" s="59" t="str">
        <x:v>Generowanie</x:v>
      </x:c>
      <x:c r="C363" s="59" t="str">
        <x:v>.\scripts\generate_project_report.ps1</x:v>
      </x:c>
    </x:row>
    <x:row r="364" ht="52" customHeight="1">
      <x:c r="A364" s="59" t="str">
        <x:v>docs/project_reporting.md</x:v>
      </x:c>
      <x:c r="B364" s="59" t="str">
        <x:v>Generowanie</x:v>
      </x:c>
      <x:c r="C364"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365" ht="80" customHeight="1">
      <x:c r="A365" s="59" t="str">
        <x:v>docs/project_reporting.md</x:v>
      </x:c>
      <x:c r="B365" s="59" t="str">
        <x:v>Generowanie</x:v>
      </x:c>
      <x:c r="C365"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366" ht="66" customHeight="1">
      <x:c r="A366" s="59" t="str">
        <x:v>docs/project_reporting.md</x:v>
      </x:c>
      <x:c r="B366" s="59" t="str">
        <x:v>Generowanie</x:v>
      </x:c>
      <x:c r="C366"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367" ht="66" customHeight="1">
      <x:c r="A367" s="59" t="str">
        <x:v>docs/project_reporting.md</x:v>
      </x:c>
      <x:c r="B367" s="59" t="str">
        <x:v>Zakres raportu</x:v>
      </x:c>
      <x:c r="C367"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368" ht="94" customHeight="1">
      <x:c r="A368" s="59" t="str">
        <x:v>docs/project_reporting.md</x:v>
      </x:c>
      <x:c r="B368" s="59" t="str">
        <x:v>Zakres raportu</x:v>
      </x:c>
      <x:c r="C368"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Macierz wykonalności, katalog wszystkich źródeł i szczegółowe karty pól, w tym daty, interfejsy, ograniczenia i licencje. - Rejestr ryzyk ze źródeł i zadań oraz komplet</x:v>
      </x:c>
    </x:row>
    <x:row r="369" ht="52" customHeight="1">
      <x:c r="A369" s="59" t="str">
        <x:v>docs/project_reporting.md</x:v>
      </x:c>
      <x:c r="B369" s="59" t="str">
        <x:v>Zakres raportu</x:v>
      </x:c>
      <x:c r="C369" s="59" t="str">
        <x:v>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370" ht="38" customHeight="1">
      <x:c r="A370" s="59" t="str">
        <x:v>docs/project_reporting.md</x:v>
      </x:c>
      <x:c r="B370" s="59" t="str">
        <x:v>Zakres raportu</x:v>
      </x:c>
      <x:c r="C370" s="59" t="str">
        <x:v>Raport jest snapshotem wiedzy projektowej. Nie zawiera nieistniejących wyników dla GPZ, sztucznych MW ani scoringu. Nie zastępuje szczegółowych surowych plików operatorów; ich lokalne archiwum i manifest pozostają osobno.</x:v>
      </x:c>
    </x:row>
    <x:row r="371" ht="52" customHeight="1">
      <x:c r="A371" s="59" t="str">
        <x:v>docs/project_reporting.md</x:v>
      </x:c>
      <x:c r="B371" s="59" t="str">
        <x:v>Bezpieczeństwo i aktualizacja</x:v>
      </x:c>
      <x:c r="C371"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372" ht="52" customHeight="1">
      <x:c r="A372" s="59" t="str">
        <x:v>docs/project_reporting.md</x:v>
      </x:c>
      <x:c r="B372" s="59" t="str">
        <x:v>Bezpieczeństwo i aktualizacja</x:v>
      </x:c>
      <x:c r="C372"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373" ht="52" customHeight="1">
      <x:c r="A373" s="59" t="str">
        <x:v>docs/09_pilot_scope.md</x:v>
      </x:c>
      <x:c r="B373" s="59" t="str">
        <x:v>Propozycja pilota GPZ</x:v>
      </x:c>
      <x:c r="C373"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374" ht="38" customHeight="1">
      <x:c r="A374" s="59" t="str">
        <x:v>docs/09_pilot_scope.md</x:v>
      </x:c>
      <x:c r="B374" s="59" t="str">
        <x:v>Propozycja pilota GPZ</x:v>
      </x:c>
      <x:c r="C374" s="59" t="str">
        <x:v>Pierwszy wynik: audytowalny raport jednego GPZ z powiązanymi projektami, stanem źródeł, kierunkami mocy i ograniczeniami. Obszar wybieramy po porównaniu dowodów, nie po liczbie punktów na mapie. Użytkownik może wskazać własny region.</x:v>
      </x:c>
    </x:row>
    <x:row r="375" ht="94" customHeight="1">
      <x:c r="A375" s="59" t="str">
        <x:v>docs/09_pilot_scope.md</x:v>
      </x:c>
      <x:c r="B375" s="59" t="str">
        <x:v>Kryteria odbioru</x:v>
      </x:c>
      <x:c r="C375"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376" ht="66" customHeight="1">
      <x:c r="A376" s="59" t="str">
        <x:v>docs/09_pilot_scope.md</x:v>
      </x:c>
      <x:c r="B376" s="59" t="str">
        <x:v>Kryteria odbioru</x:v>
      </x:c>
      <x:c r="C376"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377" ht="52" customHeight="1">
      <x:c r="A377" s="59" t="str">
        <x:v>docs/09_pilot_scope.md</x:v>
      </x:c>
      <x:c r="B377" s="59" t="str">
        <x:v>Kryteria odbioru</x:v>
      </x:c>
      <x:c r="C377"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378" ht="38" customHeight="1">
      <x:c r="A378" s="59" t="str">
        <x:v>docs/09_pilot_scope.md</x:v>
      </x:c>
      <x:c r="B378" s="59" t="str">
        <x:v>Kryteria odbioru</x:v>
      </x:c>
      <x:c r="C378" s="59" t="str">
        <x:v>Najbliższe zależności: zaakceptować zakres, wybrać dopuszczone źródła, porównać kandydatów GPZ, zaprojektować model i wdrożyć parsery. Kontrola jakości źródeł może być rozwijana niezależnie od wyboru regionu.</x:v>
      </x:c>
    </x:row>
    <x:row r="379" ht="52" customHeight="1">
      <x:c r="A379" s="59" t="str">
        <x:v>docs/10_radkowice_pilot.md</x:v>
      </x:c>
      <x:c r="B379" s="59" t="str">
        <x:v>Pilot: SE Radkowice 220/110 kV</x:v>
      </x:c>
      <x:c r="C379"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380" ht="38" customHeight="1">
      <x:c r="A380" s="59" t="str">
        <x:v>docs/10_radkowice_pilot.md</x:v>
      </x:c>
      <x:c r="B380" s="59" t="str">
        <x:v>Tożsamość i granice</x:v>
      </x:c>
      <x:c r="C380"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381" ht="52" customHeight="1">
      <x:c r="A381" s="59" t="str">
        <x:v>docs/10_radkowice_pilot.md</x:v>
      </x:c>
      <x:c r="B381" s="59" t="str">
        <x:v>Tożsamość i granice</x:v>
      </x:c>
      <x:c r="C381"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382" ht="52" customHeight="1">
      <x:c r="A382" s="59" t="str">
        <x:v>docs/10_radkowice_pilot.md</x:v>
      </x:c>
      <x:c r="B382" s="59" t="str">
        <x:v>Tożsamość i granice</x:v>
      </x:c>
      <x:c r="C382"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383" ht="52" customHeight="1">
      <x:c r="A383" s="59" t="str">
        <x:v>docs/10_radkowice_pilot.md</x:v>
      </x:c>
      <x:c r="B383" s="59" t="str">
        <x:v>Pierwsze znane projekty</x:v>
      </x:c>
      <x:c r="C383"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384" ht="30" customHeight="1">
      <x:c r="A384" s="59" t="str">
        <x:v>docs/10_radkowice_pilot.md</x:v>
      </x:c>
      <x:c r="B384" s="59" t="str">
        <x:v>Pierwsze znane projekty</x:v>
      </x:c>
      <x:c r="C384" s="59" t="str">
        <x:v>Wiersz / Projekt / Podmiot / Punkt / Eksport MW / Import MW / Status</x:v>
      </x:c>
    </x:row>
    <x:row r="385" ht="30" customHeight="1">
      <x:c r="A385" s="59" t="str">
        <x:v>docs/10_radkowice_pilot.md</x:v>
      </x:c>
      <x:c r="B385" s="59" t="str">
        <x:v>Pierwsze znane projekty</x:v>
      </x:c>
      <x:c r="C385" s="59" t="str">
        <x:v>787 / MEE Chałupki / Grand Solar 23 Sp. z o.o. / Radkowice 220 kV / 96,96 / 98,8992 / Obowiązująca umowa przyłączeniowa</x:v>
      </x:c>
    </x:row>
    <x:row r="386" ht="30" customHeight="1">
      <x:c r="A386" s="59" t="str">
        <x:v>docs/10_radkowice_pilot.md</x:v>
      </x:c>
      <x:c r="B386" s="59" t="str">
        <x:v>Pierwsze znane projekty</x:v>
      </x:c>
      <x:c r="C386" s="59" t="str">
        <x:v>843 / MEE Radkowice / RSE 10 Sp. z o.o. / Radkowice 220 kV / 50 / 50 / Obowiązująca umowa przyłączeniowa</x:v>
      </x:c>
    </x:row>
    <x:row r="387" ht="30" customHeight="1">
      <x:c r="A387" s="59" t="str">
        <x:v>docs/10_radkowice_pilot.md</x:v>
      </x:c>
      <x:c r="B387" s="59" t="str">
        <x:v>Pierwsze znane projekty</x:v>
      </x:c>
      <x:c r="C387" s="59" t="str">
        <x:v>847 / MEE Chęciny / Qair Polska S.A. / Radkowice 220 kV / 100 / 102 / Obowiązująca umowa przyłączeniowa</x:v>
      </x:c>
    </x:row>
    <x:row r="388" ht="52" customHeight="1">
      <x:c r="A388" s="59" t="str">
        <x:v>docs/10_radkowice_pilot.md</x:v>
      </x:c>
      <x:c r="B388" s="59" t="str">
        <x:v>Pierwsze znane projekty</x:v>
      </x:c>
      <x:c r="C388"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389" ht="52" customHeight="1">
      <x:c r="A389" s="59" t="str">
        <x:v>docs/10_radkowice_pilot.md</x:v>
      </x:c>
      <x:c r="B389" s="59" t="str">
        <x:v>Pierwsze znane projekty</x:v>
      </x:c>
      <x:c r="C389"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390" ht="52" customHeight="1">
      <x:c r="A390" s="59" t="str">
        <x:v>docs/10_radkowice_pilot.md</x:v>
      </x:c>
      <x:c r="B390" s="59" t="str">
        <x:v>Infrastruktura i inwestycje</x:v>
      </x:c>
      <x:c r="C390"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391" ht="52" customHeight="1">
      <x:c r="A391" s="59" t="str">
        <x:v>docs/10_radkowice_pilot.md</x:v>
      </x:c>
      <x:c r="B391" s="59" t="str">
        <x:v>Infrastruktura i inwestycje</x:v>
      </x:c>
      <x:c r="C391"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392" ht="52" customHeight="1">
      <x:c r="A392" s="59" t="str">
        <x:v>docs/10_radkowice_pilot.md</x:v>
      </x:c>
      <x:c r="B392" s="59" t="str">
        <x:v>Infrastruktura i inwestycje</x:v>
      </x:c>
      <x:c r="C392"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393" ht="30" customHeight="1">
      <x:c r="A393" s="59" t="str">
        <x:v>docs/10_radkowice_pilot.md</x:v>
      </x:c>
      <x:c r="B393" s="59" t="str">
        <x:v>Porównanie z alternatywą</x:v>
      </x:c>
      <x:c r="C393" s="59" t="str">
        <x:v>Kryterium / Radkowice — wybór główny / Kościerzyna — kandydat rezerwowy</x:v>
      </x:c>
    </x:row>
    <x:row r="394" ht="30" customHeight="1">
      <x:c r="A394" s="59" t="str">
        <x:v>docs/10_radkowice_pilot.md</x:v>
      </x:c>
      <x:c r="B394" s="59" t="str">
        <x:v>Porównanie z alternatywą</x:v>
      </x:c>
      <x:c r="C394" s="59" t="str">
        <x:v>Preferencja użytkownika / Wskazane wprost / Nie wskazana</x:v>
      </x:c>
    </x:row>
    <x:row r="395" ht="38" customHeight="1">
      <x:c r="A395" s="59" t="str">
        <x:v>docs/10_radkowice_pilot.md</x:v>
      </x:c>
      <x:c r="B395" s="59" t="str">
        <x:v>Porównanie z alternatywą</x:v>
      </x:c>
      <x:c r="C395" s="59" t="str">
        <x:v>Konkretne projekty / Trzy wskazane BESS w XLSX PSE / W dokumencie Energi jest m.in. wpis GPZ Kościerzyna i status obiektu przyłączonego</x:v>
      </x:c>
    </x:row>
    <x:row r="396" ht="30" customHeight="1">
      <x:c r="A396" s="59" t="str">
        <x:v>docs/10_radkowice_pilot.md</x:v>
      </x:c>
      <x:c r="B396" s="59" t="str">
        <x:v>Porównanie z alternatywą</x:v>
      </x:c>
      <x:c r="C396" s="59" t="str">
        <x:v>Jakość czasu publikacji / Jawny stan XLSX 31.07.2026 / Konflikt dat sierpień/czerwiec; kwarantanna</x:v>
      </x:c>
    </x:row>
    <x:row r="397" ht="30" customHeight="1">
      <x:c r="A397" s="59" t="str">
        <x:v>docs/10_radkowice_pilot.md</x:v>
      </x:c>
      <x:c r="B397" s="59" t="str">
        <x:v>Porównanie z alternatywą</x:v>
      </x:c>
      <x:c r="C397" s="59" t="str">
        <x:v>Inwestycje i topologia / Portal PSE i lokalny BIP / W tym porównaniu nie zweryfikowano kompletu dowodów</x:v>
      </x:c>
    </x:row>
    <x:row r="398" ht="30" customHeight="1">
      <x:c r="A398" s="59" t="str">
        <x:v>docs/10_radkowice_pilot.md</x:v>
      </x:c>
      <x:c r="B398" s="59" t="str">
        <x:v>Porównanie z alternatywą</x:v>
      </x:c>
      <x:c r="C398" s="59" t="str">
        <x:v>Przewaga / Bezpośredni test BESS i styku 220/110 kV / Możliwy późniejszy test innych statusów i OSD</x:v>
      </x:c>
    </x:row>
    <x:row r="399" ht="38" customHeight="1">
      <x:c r="A399" s="59" t="str">
        <x:v>docs/10_radkowice_pilot.md</x:v>
      </x:c>
      <x:c r="B399" s="59" t="str">
        <x:v>Porównanie z alternatywą</x:v>
      </x:c>
      <x:c r="C399" s="59" t="str">
        <x:v>Źródło alternatywy: Energa PDF (https://cdn-netpr.pl/file/mediakit/3063617/fa/2026_08_31_pusop_wnioski_i_odmowy_eop.pdf), strona 1, pozycja 3; konflikt opisany w kontroli z 11.09.2026. Nie jest to pełny ranking stacji Polski.</x:v>
      </x:c>
    </x:row>
    <x:row r="400" ht="66" customHeight="1">
      <x:c r="A400" s="59" t="str">
        <x:v>docs/10_radkowice_pilot.md</x:v>
      </x:c>
      <x:c r="B400" s="59" t="str">
        <x:v>Odtwarzanie i dalsze prace</x:v>
      </x:c>
      <x:c r="C400"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401" ht="80" customHeight="1">
      <x:c r="A401" s="59" t="str">
        <x:v>docs/10_radkowice_pilot.md</x:v>
      </x:c>
      <x:c r="B401" s="59" t="str">
        <x:v>Odtwarzanie i dalsze prace</x:v>
      </x:c>
      <x:c r="C401"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402" ht="52" customHeight="1">
      <x:c r="A402" s="59" t="str">
        <x:v>docs/10_radkowice_pilot.md</x:v>
      </x:c>
      <x:c r="B402" s="59" t="str">
        <x:v>Odtwarzanie i dalsze prace</x:v>
      </x:c>
      <x:c r="C402"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403" ht="38" customHeight="1">
      <x:c r="A403" s="59" t="str">
        <x:v>docs/11_radkowice_evidence_model.md</x:v>
      </x:c>
      <x:c r="B403" s="59" t="str">
        <x:v>Radkowice — pierwszy model powiązań dokumentacyjnych</x:v>
      </x:c>
      <x:c r="C403" s="59" t="str">
        <x:v>11.09.2026. Działa lokalny generator grafu: 11 obiektów i 10 relacji. To eksperyment na zachowanych źródłach, nie wdrożenie produkcyjnego silnika sieciowego. Nie wymaga nowej bazy ani dodatkowych bibliotek.</x:v>
      </x:c>
    </x:row>
    <x:row r="404" ht="66" customHeight="1">
      <x:c r="A404" s="59" t="str">
        <x:v>docs/11_radkowice_evidence_model.md</x:v>
      </x:c>
      <x:c r="B404" s="59" t="str">
        <x:v>Nowy dowód PSE/PGE</x:v>
      </x:c>
      <x:c r="C404"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405" ht="38" customHeight="1">
      <x:c r="A405" s="59" t="str">
        <x:v>docs/11_radkowice_evidence_model.md</x:v>
      </x:c>
      <x:c r="B405" s="59" t="str">
        <x:v>Nowy dowód PSE/PGE</x:v>
      </x:c>
      <x:c r="C405" s="59" t="str">
        <x:v>Ponowna próba bezpośredniego pliku mocy PGE: HTTP 200, 346 bajtów i brak sygnatury PDF. Zapisano metadane próby w data/catalog/pge_radkowice_access_2026-09-11.json; żadne wartości mocy z tej odpowiedzi nie weszły do modelu.</x:v>
      </x:c>
    </x:row>
    <x:row r="406" ht="66" customHeight="1">
      <x:c r="A406" s="59" t="str">
        <x:v>docs/11_radkowice_evidence_model.md</x:v>
      </x:c>
      <x:c r="B406" s="59" t="str">
        <x:v>Co reprezentuje graf</x:v>
      </x:c>
      <x:c r="C406"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407" ht="30" customHeight="1">
      <x:c r="A407" s="59" t="str">
        <x:v>docs/11_radkowice_evidence_model.md</x:v>
      </x:c>
      <x:c r="B407" s="59" t="str">
        <x:v>Co reprezentuje graf</x:v>
      </x:c>
      <x:c r="C407" s="59" t="str">
        <x:v>Obiekt/relacja / Znaczenie / Czego nie oznacza</x:v>
      </x:c>
    </x:row>
    <x:row r="408" ht="30" customHeight="1">
      <x:c r="A408" s="59" t="str">
        <x:v>docs/11_radkowice_evidence_model.md</x:v>
      </x:c>
      <x:c r="B408" s="59" t="str">
        <x:v>Co reprezentuje graf</x:v>
      </x:c>
      <x:c r="C408" s="59" t="str">
        <x:v>STATION_REFERENCE / Stacja nazwana w dokumencie / Pełna ewidencja urządzeń</x:v>
      </x:c>
    </x:row>
    <x:row r="409" ht="30" customHeight="1">
      <x:c r="A409" s="59" t="str">
        <x:v>docs/11_radkowice_evidence_model.md</x:v>
      </x:c>
      <x:c r="B409" s="59" t="str">
        <x:v>Co reprezentuje graf</x:v>
      </x:c>
      <x:c r="C409" s="59" t="str">
        <x:v>VOLTAGE_LEVEL_REFERENCE / Potwierdzony poziom 220 lub 110 kV / Konkretna sekcja szyn, pole lub punkt fizyczny</x:v>
      </x:c>
    </x:row>
    <x:row r="410" ht="30" customHeight="1">
      <x:c r="A410" s="59" t="str">
        <x:v>docs/11_radkowice_evidence_model.md</x:v>
      </x:c>
      <x:c r="B410" s="59" t="str">
        <x:v>Co reprezentuje graf</x:v>
      </x:c>
      <x:c r="C410" s="59" t="str">
        <x:v>REPORTED_LINE / Relacja do Kielc, Połańca lub Kielc Piaski opisana w BIP / Znany aktualny stan łączników i obciążalność</x:v>
      </x:c>
    </x:row>
    <x:row r="411" ht="30" customHeight="1">
      <x:c r="A411" s="59" t="str">
        <x:v>docs/11_radkowice_evidence_model.md</x:v>
      </x:c>
      <x:c r="B411" s="59" t="str">
        <x:v>Co reprezentuje graf</x:v>
      </x:c>
      <x:c r="C411" s="59" t="str">
        <x:v>PROJECT_RECORD / Wiersz PSE dotyczący BESS / Ostatecznie rozstrzygnięta tożsamość inwestycji we wszystkich źródłach</x:v>
      </x:c>
    </x:row>
    <x:row r="412" ht="30" customHeight="1">
      <x:c r="A412" s="59" t="str">
        <x:v>docs/11_radkowice_evidence_model.md</x:v>
      </x:c>
      <x:c r="B412" s="59" t="str">
        <x:v>Co reprezentuje graf</x:v>
      </x:c>
      <x:c r="C412" s="59" t="str">
        <x:v>PLANNED_CONNECTION / Wskazanie Radkowic 220 kV i umowy przyłączeniowej / Potwierdzone wykonanie przyłączenia</x:v>
      </x:c>
    </x:row>
    <x:row r="413" ht="30" customHeight="1">
      <x:c r="A413" s="59" t="str">
        <x:v>docs/11_radkowice_evidence_model.md</x:v>
      </x:c>
      <x:c r="B413" s="59" t="str">
        <x:v>Co reprezentuje graf</x:v>
      </x:c>
      <x:c r="C413" s="59" t="str">
        <x:v>DELIVERY_POINT_REFERENCE / Miejsce dostarczania z taryfy / Identyfikator konkretnego transformatora</x:v>
      </x:c>
    </x:row>
    <x:row r="414" ht="30" customHeight="1">
      <x:c r="A414" s="59" t="str">
        <x:v>docs/11_radkowice_evidence_model.md</x:v>
      </x:c>
      <x:c r="B414" s="59" t="str">
        <x:v>Co reprezentuje graf</x:v>
      </x:c>
      <x:c r="C414" s="59" t="str">
        <x:v>TARIFF_RECIPIENT / Odbiorca usług wskazany przez PSE / Właściciel całej stacji</x:v>
      </x:c>
    </x:row>
    <x:row r="415" ht="52" customHeight="1">
      <x:c r="A415" s="59" t="str">
        <x:v>docs/11_radkowice_evidence_model.md</x:v>
      </x:c>
      <x:c r="B415" s="59" t="str">
        <x:v>Co reprezentuje graf</x:v>
      </x:c>
      <x:c r="C415"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416" ht="38" customHeight="1">
      <x:c r="A416" s="59" t="str">
        <x:v>docs/11_radkowice_evidence_model.md</x:v>
      </x:c>
      <x:c r="B416" s="59" t="str">
        <x:v>Co reprezentuje graf</x:v>
      </x:c>
      <x:c r="C416" s="59" t="str">
        <x:v>Strzałki opisują relacje dokumentacyjne, nie kierunki przepływów energii. Schemat nie wstawia brakujących transformatorów ani feederów. Dla grafu obowiązuje power_flow_ready=false.</x:v>
      </x:c>
    </x:row>
    <x:row r="417" ht="30" customHeight="1">
      <x:c r="A417" s="59" t="str">
        <x:v>docs/11_radkowice_evidence_model.md</x:v>
      </x:c>
      <x:c r="B417" s="59" t="str">
        <x:v>Uruchamianie i kontrola</x:v>
      </x:c>
      <x:c r="C417" s="59" t="str">
        <x:v>Po przywróceniu wcześniejszych snapshotów XLSX/PDF i taryfy:</x:v>
      </x:c>
    </x:row>
    <x:row r="418" ht="30" customHeight="1">
      <x:c r="A418" s="59" t="str">
        <x:v>docs/11_radkowice_evidence_model.md</x:v>
      </x:c>
      <x:c r="B418" s="59" t="str">
        <x:v>Uruchamianie i kontrola</x:v>
      </x:c>
      <x:c r="C418" s="59" t="str">
        <x:v>python scripts/build_radkowice_graph.py python -m unittest discover -s tests -p test_evidence_graph.py -v</x:v>
      </x:c>
    </x:row>
    <x:row r="419" ht="52" customHeight="1">
      <x:c r="A419" s="59" t="str">
        <x:v>docs/11_radkowice_evidence_model.md</x:v>
      </x:c>
      <x:c r="B419" s="59" t="str">
        <x:v>Uruchamianie i kontrola</x:v>
      </x:c>
      <x:c r="C419"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420" ht="52" customHeight="1">
      <x:c r="A420" s="59" t="str">
        <x:v>docs/11_radkowice_evidence_model.md</x:v>
      </x:c>
      <x:c r="B420" s="59" t="str">
        <x:v>Uruchamianie i kontrola</x:v>
      </x:c>
      <x:c r="C420"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421" ht="66" customHeight="1">
      <x:c r="A421" s="59" t="str">
        <x:v>docs/11_radkowice_evidence_model.md</x:v>
      </x:c>
      <x:c r="B421" s="59" t="str">
        <x:v>Następny etap</x:v>
      </x:c>
      <x:c r="C421"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row r="422" ht="38" customHeight="1">
      <x:c r="A422" s="59" t="str">
        <x:v>docs/11_radkowice_evidence_model.md</x:v>
      </x:c>
      <x:c r="B422" s="59" t="str">
        <x:v>Wersja v2 — 11.09.2026</x:v>
      </x:c>
      <x:c r="C422" s="59" t="str">
        <x:v>Uzupełnienie 110 kV (12_radkowice_110kv_research.md) rozszerza graf do 13 obiektów i 13 relacji. Polecenie bez argumentu generuje teraz v2; --version 1 odtwarza zachowaną wersję v1. Dokumenty prywatne nie wchodzą do tego grafu.</x:v>
      </x:c>
    </x:row>
    <x:row r="423" ht="66" customHeight="1">
      <x:c r="A423" s="59" t="str">
        <x:v>docs/12_radkowice_110kv_research.md</x:v>
      </x:c>
      <x:c r="B423" s="59" t="str">
        <x:v>Radkowice–Wolica: dowód dla sieci 110 kV</x:v>
      </x:c>
      <x:c r="C423" s="59" t="str">
        <x:v>Weryfikacja: 11.09.2026. Decyzja Wojewody Świętokrzyskiego nr 3/2024, znak SPN.III.747.20.2024 (https://bip.kielce.uw.gov.pl/download/2/33548/decprzesylnr324.pdf), wydana 29.11.2024 na rzecz PGE Dystrybucja, opisuje przebudowę istniejącej linii 110 kV SE Radkowice–GPZ Wolica. Strony 1–3 zawierają zakres i parametry. Nie potwierdza to ukończenia robót ani własności całej stacji Radkowice.</x:v>
      </x:c>
    </x:row>
    <x:row r="424" ht="52" customHeight="1">
      <x:c r="A424" s="59" t="str">
        <x:v>docs/12_radkowice_110kv_research.md</x:v>
      </x:c>
      <x:c r="B424" s="59" t="str">
        <x:v>Radkowice–Wolica: dowód dla sieci 110 kV</x:v>
      </x:c>
      <x:c r="C424" s="59" t="str">
        <x:v>Zakres tej decyzji obejmuje 991,8 m, jeden tor i planowane przewody AFLs-10 300 mm². To długość odcinka objętego decyzją, nie długość całej linii. Nie przeliczamy przekroju przewodów na dostępną moc przyłączeniową bez warunków obciążalności, pozostałych ograniczeń i modelu pracy sieci.</x:v>
      </x:c>
    </x:row>
    <x:row r="425" ht="52" customHeight="1">
      <x:c r="A425" s="59" t="str">
        <x:v>docs/12_radkowice_110kv_research.md</x:v>
      </x:c>
      <x:c r="B425" s="59" t="str">
        <x:v>Radkowice–Wolica: dowód dla sieci 110 kV</x:v>
      </x:c>
      <x:c r="C425" s="59" t="str">
        <x:v>Wersja radkowice_documentary_v2 zawiera 13 obiektów i 13 relacji. Dodano odniesienie do Wolicy, linię 110 kV oraz osobny rekord inwestycji. PGE występuje jako wnioskodawca inwestycji. Planowane parametry pozostają w rekordzie inwestycji; aktualna obciążalność i stan realizacji są nieznane. Poprzedni graf v1 pozostaje zachowany.</x:v>
      </x:c>
    </x:row>
    <x:row r="426" ht="30" customHeight="1">
      <x:c r="A426" s="59" t="str">
        <x:v>docs/12_radkowice_110kv_research.md</x:v>
      </x:c>
      <x:c r="B426" s="59" t="str">
        <x:v>Radkowice–Wolica: dowód dla sieci 110 kV</x:v>
      </x:c>
      <x:c r="C426" s="59" t="str">
        <x:v>Odtworzenie po przywróceniu wszystkich źródeł:</x:v>
      </x:c>
    </x:row>
    <x:row r="427" ht="30" customHeight="1">
      <x:c r="A427" s="59" t="str">
        <x:v>docs/12_radkowice_110kv_research.md</x:v>
      </x:c>
      <x:c r="B427" s="59" t="str">
        <x:v>Radkowice–Wolica: dowód dla sieci 110 kV</x:v>
      </x:c>
      <x:c r="C427" s="59" t="str">
        <x:v>python scripts/build_radkowice_graph.py --version 2 python -m unittest discover -s tests -v</x:v>
      </x:c>
    </x:row>
    <x:row r="428" ht="52" customHeight="1">
      <x:c r="A428" s="59" t="str">
        <x:v>docs/12_radkowice_110kv_research.md</x:v>
      </x:c>
      <x:c r="B428" s="59" t="str">
        <x:v>Radkowice–Wolica: dowód dla sieci 110 kV</x:v>
      </x:c>
      <x:c r="C428" s="59" t="str">
        <x:v>Manifest źródła: data/catalog/probe_results_radkowice_wolica_2026-09-11.json. Paczka źródłowa: data/archives/radkowice_wolica_2026-09-11.zip; manifest data/catalog/radkowice_wolica_archive.json. Zachowano bajty i sprawdzono hash. Nie potwierdzono zewnętrznej kopii zapasowej.</x:v>
      </x:c>
    </x:row>
    <x:row r="429" ht="52" customHeight="1">
      <x:c r="A429" s="59" t="str">
        <x:v>docs/12_radkowice_110kv_research.md</x:v>
      </x:c>
      <x:c r="B429" s="59" t="str">
        <x:v>Radkowice–Wolica: dowód dla sieci 110 kV</x:v>
      </x:c>
      <x:c r="C429" s="59" t="str">
        <x:v>Plik PDF pobrano bez logowania, z bezpośredniego adresu BIP. Nie potwierdzono API dla tej kolekcji ani licencji na cały zbiór/załączniki. Jednorazowy odczyt nie jest wdrożeniem cyklicznego scrapera. Przed automatyzacją trzeba ustalić warunki ponownego wykorzystywania i limity.</x:v>
      </x:c>
    </x:row>
    <x:row r="430" ht="38" customHeight="1">
      <x:c r="A430" s="59" t="str">
        <x:v>docs/12_radkowice_110kv_research.md</x:v>
      </x:c>
      <x:c r="B430" s="59" t="str">
        <x:v>Radkowice–Wolica: dowód dla sieci 110 kV</x:v>
      </x:c>
      <x:c r="C430" s="59" t="str">
        <x:v>Pozostałe tropy wyszukiwarki: decyzja 2/2024 oraz projekt planu rozwoju PGE 2026–2031. Pełnych dokumentów tych dwóch tropów nie udało się odczytać w tym kroku; dat i wartości z ich snippetów nie włączono do modelu.</x:v>
      </x:c>
    </x:row>
    <x:row r="431" ht="38" customHeight="1">
      <x:c r="A431" s="59" t="str">
        <x:v>docs/13_shared_connection_model.md</x:v>
      </x:c>
      <x:c r="B431" s="59" t="str">
        <x:v>Wspólne przyłącze — model dokumentacyjny</x:v>
      </x:c>
      <x:c r="C431" s="59" t="str">
        <x:v>12.09.2026 (prace rozpoczęte 11.09). Moduł grid_engine/shared_connection.py działa bez bazy, internetu i nowych zależności. Jest ograniczonym modelem ewidencji miejsc, nie silnikiem oceny przepływów ani rezerwy mocy.</x:v>
      </x:c>
    </x:row>
    <x:row r="432" ht="52" customHeight="1">
      <x:c r="A432" s="59" t="str">
        <x:v>docs/13_shared_connection_model.md</x:v>
      </x:c>
      <x:c r="B432" s="59" t="str">
        <x:v>Dane wejściowe</x:v>
      </x:c>
      <x:c r="C432" s="59" t="str">
        <x:v>SharedConnectionSnapshot przechowuje ID przyłącza, ID snapshotu, datę zestawienia, scenariusz CURRENT lub PLANNED, maksymalną liczbę miejsc, przypisania projektów oraz odrębne, opcjonalne limity importu/eksportu w MW. Liczba miejsc nie określa liczby słupów, obciążalności mostu ani limitu mocy pojedynczego projektu.</x:v>
      </x:c>
    </x:row>
    <x:row r="433" ht="66" customHeight="1">
      <x:c r="A433" s="59" t="str">
        <x:v>docs/13_shared_connection_model.md</x:v>
      </x:c>
      <x:c r="B433" s="59" t="str">
        <x:v>Dane wejściowe</x:v>
      </x:c>
      <x:c r="C433" s="59" t="str">
        <x:v>Każda wartość i przypisanie mają dowód: ID źródła, lokalizator, hash zachowanej wersji, datę źródłową i odczytu, pochodzenie DOCUMENT/USER_PROVIDED oraz PUBLIC/PRIVATE. Oznaczenie DOCUMENT nie weryfikuje podpisu ani autentyczności. Znane parametry są REPORTED; nieznane wartości pozostają null. Decimal jest wymagany dla MW i zapisywany w wyniku jako tekst dziesiętny wraz z jednostką.</x:v>
      </x:c>
    </x:row>
    <x:row r="434" ht="52" customHeight="1">
      <x:c r="A434" s="59" t="str">
        <x:v>docs/13_shared_connection_model.md</x:v>
      </x:c>
      <x:c r="B434" s="59" t="str">
        <x:v>Dane wejściowe</x:v>
      </x:c>
      <x:c r="C434" s="59" t="str">
        <x:v>Przypisanie dotyczy konkretnego przyłącza i scenariusza. Wpis na poziomie stacji nie jest wystarczający do przypisania do wspólnego mostu. ID miejsca może pozostać nieznane. Potwierdzone wskazanie projektu w scenariuszu PLANNED nie oznacza fizycznego przyłączenia. Model liczy przypisania, nie realizację budowy ani moc zarezerwowaną umową.</x:v>
      </x:c>
    </x:row>
    <x:row r="435" ht="94" customHeight="1">
      <x:c r="A435" s="59" t="str">
        <x:v>docs/13_shared_connection_model.md</x:v>
      </x:c>
      <x:c r="B435" s="59" t="str">
        <x:v>Wynik i reguły</x:v>
      </x:c>
      <x:c r="C435" s="59" t="str">
        <x:v>- known_assigned_positions: liczba jednoznacznych, potwierdzonych przypisań do zidentyfikowanych miejsc. Zero może oznaczać brak takich danych. - known_distinct_projects: liczba unikalnych ID z potwierdzonym wskazaniem przyłącza, także jeśli numer miejsca jest nieznany. Rozstrzygnięcie tożsamości projektu jest obowiązkiem wcześniejszej warstwy. - unassigned_positions: różnica między maksimum a przypisaniami, wyłącznie przy znanej liczbie miejsc, udokumentowanej deklaracji kompletności i braku nierozstrzygniętych przypisań. W przeciwnym razie null z przyczyną. To liczba miejsc w ewidencji, nie oferta przyłączenia. - Limity importu i eksportu są</x:v>
      </x:c>
    </x:row>
    <x:row r="436" ht="38" customHeight="1">
      <x:c r="A436" s="59" t="str">
        <x:v>docs/13_shared_connection_model.md</x:v>
      </x:c>
      <x:c r="B436" s="59" t="str">
        <x:v>Wynik i reguły</x:v>
      </x:c>
      <x:c r="C436" s="59" t="str">
        <x:v>niezależnymi wartościami źródłowymi. Zero jest różne od braku danych. - Dostępna moc importowa/eksportowa i możliwość rozpływu pozostają nieznane niezależnie od liczby miejsc.</x:v>
      </x:c>
    </x:row>
    <x:row r="437" ht="52" customHeight="1">
      <x:c r="A437" s="59" t="str">
        <x:v>docs/13_shared_connection_model.md</x:v>
      </x:c>
      <x:c r="B437" s="59" t="str">
        <x:v>Wynik i reguły</x:v>
      </x:c>
      <x:c r="C437" s="59" t="str">
        <x:v>Sprzeczne lub powtórzone przypisania do jednego miejsca powodują błąd; nie ma cichej deduplikacji. Ten sam projekt może zajmować więcej niż jedno miejsce: wtedy liczniki projektów i miejsc są różne. Niedozwolone są przypisania do innego przyłącza lub scenariusza, ujemne liczby, niefinitywne MW i brak dowodów.</x:v>
      </x:c>
    </x:row>
    <x:row r="438" ht="52" customHeight="1">
      <x:c r="A438" s="59" t="str">
        <x:v>docs/13_shared_connection_model.md</x:v>
      </x:c>
      <x:c r="B438" s="59" t="str">
        <x:v>Czas i prywatność</x:v>
      </x:c>
      <x:c r="C438" s="59" t="str">
        <x:v>Datą zestawienia jest moment wiedzy analityka. Nie dowodzi aktualności każdego dokumentu. Wyboru wersji i oceny kompletności dokonuje wcześniejsza warstwa; moduł nie scala historii ani nie rozstrzyga sprzecznych okresów. Pochodzenie każdej informacji pozostaje dostępne w wyniku.</x:v>
      </x:c>
    </x:row>
    <x:row r="439" ht="52" customHeight="1">
      <x:c r="A439" s="59" t="str">
        <x:v>docs/13_shared_connection_model.md</x:v>
      </x:c>
      <x:c r="B439" s="59" t="str">
        <x:v>Czas i prywatność</x:v>
      </x:c>
      <x:c r="C439" s="59" t="str">
        <x:v>Każde prywatne wejście, także odrzucone z pewnego licznika, oznacza cały wynik jako PRIVATE. require_public_result odmawia eksportu takiego wyniku. Jest to kontrola logiczna biblioteki, nie uwierzytelnianie ani pełny system uprawnień. Produkcyjna integracja, automatyczne dziedziczenie dostępu w całym systemie i trwała historia pozostają otwarte w KSE-033.</x:v>
      </x:c>
    </x:row>
    <x:row r="440" ht="52" customHeight="1">
      <x:c r="A440" s="59" t="str">
        <x:v>docs/13_shared_connection_model.md</x:v>
      </x:c>
      <x:c r="B440" s="59" t="str">
        <x:v>Walidacja i dalsza praca</x:v>
      </x:c>
      <x:c r="C440" s="59" t="str">
        <x:v>Testy używają wyłącznie jawnie syntetycznych danych. Sprawdzają brak kompletności, nieznane miejsca, duplikaty, zakres przyłącza/scenariusza, wartości graniczne, rozdzielenie MW i liczby miejsc oraz prywatność wyniku. Nie wprowadzono syntetycznych obiektów do grafu Radkowic.</x:v>
      </x:c>
    </x:row>
    <x:row r="441" ht="30" customHeight="1">
      <x:c r="A441" s="59" t="str">
        <x:v>docs/13_shared_connection_model.md</x:v>
      </x:c>
      <x:c r="B441" s="59" t="str">
        <x:v>Walidacja i dalsza praca</x:v>
      </x:c>
      <x:c r="C441" s="59" t="str">
        <x:v>python -m unittest discover -s tests -p test_shared_connection.py -v</x:v>
      </x:c>
    </x:row>
    <x:row r="442" ht="52" customHeight="1">
      <x:c r="A442" s="59" t="str">
        <x:v>docs/13_shared_connection_model.md</x:v>
      </x:c>
      <x:c r="B442" s="59" t="str">
        <x:v>Odtwarzanie z zapisanego wejścia</x:v>
      </x:c>
      <x:c r="C442" s="59" t="str">
        <x:v>scripts/analyze_shared_connection.py odczytuje jeden wskazany JSON odpowiadający polom SharedConnectionSnapshot. Dowody mają pola klasy Evidence, a przypisania klasy Assignment. Nieznane dodatkowe pola są odrzucane. Limity MW można przekazać jako liczby dziesiętne lub tekst dziesiętny; nie używa się binarnego float do ich odczytu.</x:v>
      </x:c>
    </x:row>
    <x:row r="443" ht="30" customHeight="1">
      <x:c r="A443" s="59" t="str">
        <x:v>docs/13_shared_connection_model.md</x:v>
      </x:c>
      <x:c r="B443" s="59" t="str">
        <x:v>Odtwarzanie z zapisanego wejścia</x:v>
      </x:c>
      <x:c r="C443" s="59" t="str">
        <x:v>python scripts/analyze_shared_connection.py --input SCIEZKA_WEJSCIA.json --output SCIEZKA_NOWEGO_WYNIKU.json</x:v>
      </x:c>
    </x:row>
    <x:row r="444" ht="80" customHeight="1">
      <x:c r="A444" s="59" t="str">
        <x:v>docs/13_shared_connection_model.md</x:v>
      </x:c>
      <x:c r="B444" s="59" t="str">
        <x:v>Odtwarzanie z zapisanego wejścia</x:v>
      </x:c>
      <x:c r="C444" s="59" t="str">
        <x:v>Polecenie nie pobiera danych ani nie przeszukuje folderów. Wskazuje hashe wejścia, modułu i skryptu. Ponowne uruchomienie z tymi samymi bajtami daje identyczny wynik. Istniejący plik wyjściowy nie jest nadpisywany. Wynik prywatny można zapisać wyłącznie w data/private/; również samo pochodzenie wejścia z tego katalogu wymusza prywatność. JSON oraz dokumenty źródłowe należy przechowywać jako wersjonowany lokalny snapshot z niezależną kopią. Skrypt nie sprawdza automatycznie treści wszystkich dokumentów wskazanych przez hashe.</x:v>
      </x:c>
    </x:row>
    <x:row r="445" ht="52" customHeight="1">
      <x:c r="A445" s="59" t="str">
        <x:v>docs/13_shared_connection_model.md</x:v>
      </x:c>
      <x:c r="B445" s="59" t="str">
        <x:v>Odtwarzanie z zapisanego wejścia</x:v>
      </x:c>
      <x:c r="C445" s="59" t="str">
        <x:v>Można rozwijać tę ewidencję bez ekspertyzy wpływu na KSE. Brak ekspertyzy ogranicza wnioski elektryczne, nie blokuje modelowania dokumentów, statusów i powiązań. Kolejne dane techniczne mogą doprecyzować konstrukcję przyłącza; same nie zastąpią topologii ruchowej, obciążeń, parametrów sieci i niezależnej walidacji.</x:v>
      </x:c>
    </x:row>
    <x:row r="446" ht="52" customHeight="1">
      <x:c r="A446" s="59" t="str">
        <x:v>docs/private_sources.md</x:v>
      </x:c>
      <x:c r="B446" s="59" t="str">
        <x:v>Materiały użytkownika i prywatne wyniki</x:v>
      </x:c>
      <x:c r="C446" s="59" t="str">
        <x:v>Od 11.09.2026 dokumenty przekazane do analizy mogą być przechowywane w data/private/. Ten katalog jest wyłączony z Git. Ogólny raport Excel czyta jawną listę dokumentów i nie obejmuje prywatnych plików ani ich treści. Dane nie stają się publicznym źródłem operatora przez samo przesłanie pliku.</x:v>
      </x:c>
    </x:row>
    <x:row r="447" ht="52" customHeight="1">
      <x:c r="A447" s="59" t="str">
        <x:v>docs/private_sources.md</x:v>
      </x:c>
      <x:c r="B447" s="59" t="str">
        <x:v>Materiały użytkownika i prywatne wyniki</x:v>
      </x:c>
      <x:c r="C447" s="59" t="str">
        <x:v>Prywatny przegląd zachowuje niezmieniony dokument, SHA-256, wersję notatki i obserwacji, strony dowodowe, datę odczytu oraz osobną paczkę z manifestem. Zmiana przeglądu wymaga nowej wersji; nie należy nadpisywać poprzedniej. Prywatne archiwum wymaga niezależnej kopii, podobnie jak archiwum publicznych źródeł. Nie potwierdzono jej wykonania.</x:v>
      </x:c>
    </x:row>
    <x:row r="448" ht="66" customHeight="1">
      <x:c r="A448" s="59" t="str">
        <x:v>docs/private_sources.md</x:v>
      </x:c>
      <x:c r="B448" s="59" t="str">
        <x:v>Materiały użytkownika i prywatne wyniki</x:v>
      </x:c>
      <x:c r="C448" s="59" t="str">
        <x:v>Wykonano pierwszy lokalny przegląd wybranych części dokumentu użytkownika z kontrolą rysunków. Jest to przegląd techniczny, nie weryfikacja kryptograficzna podpisu, pełna analiza prawna ani potwierdzenie najnowszej wersji. Szczegółowe wyniki pozostają w katalogu prywatnym. Informacje dopowiedziane przez użytkownika mają odrębną proweniencję i nie są przedstawiane jako treść PDF.</x:v>
      </x:c>
    </x:row>
    <x:row r="449" ht="52" customHeight="1">
      <x:c r="A449" s="59" t="str">
        <x:v>docs/private_sources.md</x:v>
      </x:c>
      <x:c r="B449" s="59" t="str">
        <x:v>Materiały użytkownika i prywatne wyniki</x:v>
      </x:c>
      <x:c r="C449" s="59" t="str">
        <x:v>Integracja prywatnych obserwacji z aplikacją pozostaje osobnym zadaniem. Wynik oparty choć częściowo na źródle prywatnym powinien dziedziczyć jego ograniczenia dostępu. Nie można wysłać takiego wyniku do ogólnego eksportu wyłącznie dlatego, że usunięto sam PDF. Na razie nie wdrożono mechanizmu kontroli dostępu w aplikacji.</x:v>
      </x:c>
    </x:row>
  </x:sheetData>
  <x:pageMargins left="0.7" right="0.7" top="0.75" bottom="0.75" header="0.3" footer="0.3"/>
  <x:tableParts count="1">
    <x:tablePart xmlns:r="http://schemas.openxmlformats.org/officeDocument/2006/relationships" r:id="R2618a280d66447ec"/>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46275.657276921294</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probe_ids_unique</x:v>
      </x:c>
      <x:c r="C316" s="59" t="str">
        <x:v>PASS</x:v>
      </x:c>
    </x:row>
    <x:row r="317" ht="30" customHeight="1">
      <x:c r="A317" s="59" t="str">
        <x:v>Kontrola lokalna</x:v>
      </x:c>
      <x:c r="B317" s="59" t="str">
        <x:v>probe_references:PSE_API</x:v>
      </x:c>
      <x:c r="C317" s="59" t="str">
        <x:v>PASS</x:v>
      </x:c>
    </x:row>
    <x:row r="318" ht="30" customHeight="1">
      <x:c r="A318" s="59" t="str">
        <x:v>Kontrola lokalna</x:v>
      </x:c>
      <x:c r="B318" s="59" t="str">
        <x:v>probe_references:PSE_PIPELINE</x:v>
      </x:c>
      <x:c r="C318" s="59" t="str">
        <x:v>PASS</x:v>
      </x:c>
    </x:row>
    <x:row r="319" ht="30" customHeight="1">
      <x:c r="A319" s="59" t="str">
        <x:v>Kontrola lokalna</x:v>
      </x:c>
      <x:c r="B319" s="59" t="str">
        <x:v>probe_references:PSE_CAPACITY</x:v>
      </x:c>
      <x:c r="C319" s="59" t="str">
        <x:v>PASS</x:v>
      </x:c>
    </x:row>
    <x:row r="320" ht="30" customHeight="1">
      <x:c r="A320" s="59" t="str">
        <x:v>Kontrola lokalna</x:v>
      </x:c>
      <x:c r="B320" s="59" t="str">
        <x:v>probe_references:PSE_PLAN</x:v>
      </x:c>
      <x:c r="C320" s="59" t="str">
        <x:v>PASS</x:v>
      </x:c>
    </x:row>
    <x:row r="321" ht="30" customHeight="1">
      <x:c r="A321" s="59" t="str">
        <x:v>Kontrola lokalna</x:v>
      </x:c>
      <x:c r="B321" s="59" t="str">
        <x:v>probe_references:PSE_STRUCT_B2B</x:v>
      </x:c>
      <x:c r="C321" s="59" t="str">
        <x:v>PASS</x:v>
      </x:c>
    </x:row>
    <x:row r="322" ht="30" customHeight="1">
      <x:c r="A322" s="59" t="str">
        <x:v>Kontrola lokalna</x:v>
      </x:c>
      <x:c r="B322" s="59" t="str">
        <x:v>probe_references:ENERGA_LANDING</x:v>
      </x:c>
      <x:c r="C322" s="59" t="str">
        <x:v>PASS</x:v>
      </x:c>
    </x:row>
    <x:row r="323" ht="30" customHeight="1">
      <x:c r="A323" s="59" t="str">
        <x:v>Kontrola lokalna</x:v>
      </x:c>
      <x:c r="B323" s="59" t="str">
        <x:v>probe_references:ENERGA_EXPORT</x:v>
      </x:c>
      <x:c r="C323" s="59" t="str">
        <x:v>PASS</x:v>
      </x:c>
    </x:row>
    <x:row r="324" ht="30" customHeight="1">
      <x:c r="A324" s="59" t="str">
        <x:v>Kontrola lokalna</x:v>
      </x:c>
      <x:c r="B324" s="59" t="str">
        <x:v>probe_references:ENERGA_IMPORT</x:v>
      </x:c>
      <x:c r="C324" s="59" t="str">
        <x:v>PASS</x:v>
      </x:c>
    </x:row>
    <x:row r="325" ht="30" customHeight="1">
      <x:c r="A325" s="59" t="str">
        <x:v>Kontrola lokalna</x:v>
      </x:c>
      <x:c r="B325" s="59" t="str">
        <x:v>probe_references:ENERGA_PIPELINE</x:v>
      </x:c>
      <x:c r="C325" s="59" t="str">
        <x:v>PASS</x:v>
      </x:c>
    </x:row>
    <x:row r="326" ht="30" customHeight="1">
      <x:c r="A326" s="59" t="str">
        <x:v>Kontrola lokalna</x:v>
      </x:c>
      <x:c r="B326" s="59" t="str">
        <x:v>probe_references:ENERGA_PLAN</x:v>
      </x:c>
      <x:c r="C326" s="59" t="str">
        <x:v>PASS</x:v>
      </x:c>
    </x:row>
    <x:row r="327" ht="30" customHeight="1">
      <x:c r="A327" s="59" t="str">
        <x:v>Kontrola lokalna</x:v>
      </x:c>
      <x:c r="B327" s="59" t="str">
        <x:v>probe_references:ENEA_PIPELINE</x:v>
      </x:c>
      <x:c r="C327" s="59" t="str">
        <x:v>PASS</x:v>
      </x:c>
    </x:row>
    <x:row r="328" ht="30" customHeight="1">
      <x:c r="A328" s="59" t="str">
        <x:v>Kontrola lokalna</x:v>
      </x:c>
      <x:c r="B328" s="59" t="str">
        <x:v>probe_references:ENEA_MAP</x:v>
      </x:c>
      <x:c r="C328" s="59" t="str">
        <x:v>PASS</x:v>
      </x:c>
    </x:row>
    <x:row r="329" ht="30" customHeight="1">
      <x:c r="A329" s="59" t="str">
        <x:v>Kontrola lokalna</x:v>
      </x:c>
      <x:c r="B329" s="59" t="str">
        <x:v>probe_references:ENEA_PLAN</x:v>
      </x:c>
      <x:c r="C329" s="59" t="str">
        <x:v>PASS</x:v>
      </x:c>
    </x:row>
    <x:row r="330" ht="30" customHeight="1">
      <x:c r="A330" s="59" t="str">
        <x:v>Kontrola lokalna</x:v>
      </x:c>
      <x:c r="B330" s="59" t="str">
        <x:v>probe_references:TAURON_PIPELINE</x:v>
      </x:c>
      <x:c r="C330" s="59" t="str">
        <x:v>PASS</x:v>
      </x:c>
    </x:row>
    <x:row r="331" ht="30" customHeight="1">
      <x:c r="A331" s="59" t="str">
        <x:v>Kontrola lokalna</x:v>
      </x:c>
      <x:c r="B331" s="59" t="str">
        <x:v>probe_references:TAURON_MAP</x:v>
      </x:c>
      <x:c r="C331" s="59" t="str">
        <x:v>PASS</x:v>
      </x:c>
    </x:row>
    <x:row r="332" ht="30" customHeight="1">
      <x:c r="A332" s="59" t="str">
        <x:v>Kontrola lokalna</x:v>
      </x:c>
      <x:c r="B332" s="59" t="str">
        <x:v>probe_references:TAURON_PLAN</x:v>
      </x:c>
      <x:c r="C332" s="59" t="str">
        <x:v>PASS</x:v>
      </x:c>
    </x:row>
    <x:row r="333" ht="30" customHeight="1">
      <x:c r="A333" s="59" t="str">
        <x:v>Kontrola lokalna</x:v>
      </x:c>
      <x:c r="B333" s="59" t="str">
        <x:v>probe_references:STOEN_LANDING</x:v>
      </x:c>
      <x:c r="C333" s="59" t="str">
        <x:v>PASS</x:v>
      </x:c>
    </x:row>
    <x:row r="334" ht="30" customHeight="1">
      <x:c r="A334" s="59" t="str">
        <x:v>Kontrola lokalna</x:v>
      </x:c>
      <x:c r="B334" s="59" t="str">
        <x:v>probe_references:STOEN_EXPORT</x:v>
      </x:c>
      <x:c r="C334" s="59" t="str">
        <x:v>PASS</x:v>
      </x:c>
    </x:row>
    <x:row r="335" ht="30" customHeight="1">
      <x:c r="A335" s="59" t="str">
        <x:v>Kontrola lokalna</x:v>
      </x:c>
      <x:c r="B335" s="59" t="str">
        <x:v>probe_references:STOEN_IMPORT</x:v>
      </x:c>
      <x:c r="C335" s="59" t="str">
        <x:v>PASS</x:v>
      </x:c>
    </x:row>
    <x:row r="336" ht="30" customHeight="1">
      <x:c r="A336" s="59" t="str">
        <x:v>Kontrola lokalna</x:v>
      </x:c>
      <x:c r="B336" s="59" t="str">
        <x:v>probe_references:STOEN_PIPELINE</x:v>
      </x:c>
      <x:c r="C336" s="59" t="str">
        <x:v>PASS</x:v>
      </x:c>
    </x:row>
    <x:row r="337" ht="30" customHeight="1">
      <x:c r="A337" s="59" t="str">
        <x:v>Kontrola lokalna</x:v>
      </x:c>
      <x:c r="B337" s="59" t="str">
        <x:v>probe_references:STOEN_STORAGE</x:v>
      </x:c>
      <x:c r="C337" s="59" t="str">
        <x:v>PASS</x:v>
      </x:c>
    </x:row>
    <x:row r="338" ht="30" customHeight="1">
      <x:c r="A338" s="59" t="str">
        <x:v>Kontrola lokalna</x:v>
      </x:c>
      <x:c r="B338" s="59" t="str">
        <x:v>probe_references:STOEN_PLAN</x:v>
      </x:c>
      <x:c r="C338" s="59" t="str">
        <x:v>PASS</x:v>
      </x:c>
    </x:row>
    <x:row r="339" ht="30" customHeight="1">
      <x:c r="A339" s="59" t="str">
        <x:v>Kontrola lokalna</x:v>
      </x:c>
      <x:c r="B339" s="59" t="str">
        <x:v>probe_references:PGE_LANDING</x:v>
      </x:c>
      <x:c r="C339" s="59" t="str">
        <x:v>PASS</x:v>
      </x:c>
    </x:row>
    <x:row r="340" ht="30" customHeight="1">
      <x:c r="A340" s="59" t="str">
        <x:v>Kontrola lokalna</x:v>
      </x:c>
      <x:c r="B340" s="59" t="str">
        <x:v>probe_references:PGE_EXPORT_DISCOVERY</x:v>
      </x:c>
      <x:c r="C340" s="59" t="str">
        <x:v>PASS</x:v>
      </x:c>
    </x:row>
    <x:row r="341" ht="30" customHeight="1">
      <x:c r="A341" s="59" t="str">
        <x:v>Kontrola lokalna</x:v>
      </x:c>
      <x:c r="B341" s="59" t="str">
        <x:v>probe_references:PGE_PLAN_DISCOVERY</x:v>
      </x:c>
      <x:c r="C341" s="59" t="str">
        <x:v>PASS</x:v>
      </x:c>
    </x:row>
    <x:row r="342" ht="30" customHeight="1">
      <x:c r="A342" s="59" t="str">
        <x:v>Kontrola lokalna</x:v>
      </x:c>
      <x:c r="B342" s="59" t="str">
        <x:v>probe_references:KGHM_OSD</x:v>
      </x:c>
      <x:c r="C342" s="59" t="str">
        <x:v>PASS</x:v>
      </x:c>
    </x:row>
    <x:row r="343" ht="30" customHeight="1">
      <x:c r="A343" s="59" t="str">
        <x:v>Kontrola lokalna</x:v>
      </x:c>
      <x:c r="B343" s="59" t="str">
        <x:v>probe_references:URE_REGISTERS</x:v>
      </x:c>
      <x:c r="C343" s="59" t="str">
        <x:v>PASS</x:v>
      </x:c>
    </x:row>
    <x:row r="344" ht="30" customHeight="1">
      <x:c r="A344" s="59" t="str">
        <x:v>Kontrola lokalna</x:v>
      </x:c>
      <x:c r="B344" s="59" t="str">
        <x:v>probe_references:ENERGY_LAW_516</x:v>
      </x:c>
      <x:c r="C344" s="59" t="str">
        <x:v>PASS</x:v>
      </x:c>
    </x:row>
    <x:row r="345" ht="30" customHeight="1">
      <x:c r="A345" s="59" t="str">
        <x:v>Kontrola lokalna</x:v>
      </x:c>
      <x:c r="B345" s="59" t="str">
        <x:v>probe_references:BIP_ENV_DISCOVERY</x:v>
      </x:c>
      <x:c r="C345" s="59" t="str">
        <x:v>PASS</x:v>
      </x:c>
    </x:row>
    <x:row r="346" ht="30" customHeight="1">
      <x:c r="A346" s="59" t="str">
        <x:v>Kontrola lokalna</x:v>
      </x:c>
      <x:c r="B346" s="59" t="str">
        <x:v>probe_references:KRS_API_DOCS</x:v>
      </x:c>
      <x:c r="C346" s="59" t="str">
        <x:v>PASS</x:v>
      </x:c>
    </x:row>
    <x:row r="347" ht="30" customHeight="1">
      <x:c r="A347" s="59" t="str">
        <x:v>Kontrola lokalna</x:v>
      </x:c>
      <x:c r="B347" s="59" t="str">
        <x:v>probe_references:GUGIK_EGIB</x:v>
      </x:c>
      <x:c r="C347" s="59" t="str">
        <x:v>PASS</x:v>
      </x:c>
    </x:row>
    <x:row r="348" ht="30" customHeight="1">
      <x:c r="A348" s="59" t="str">
        <x:v>Kontrola lokalna</x:v>
      </x:c>
      <x:c r="B348" s="59" t="str">
        <x:v>probe_references:GUGIK_BDOT</x:v>
      </x:c>
      <x:c r="C348" s="59" t="str">
        <x:v>PASS</x:v>
      </x:c>
    </x:row>
    <x:row r="349" ht="30" customHeight="1">
      <x:c r="A349" s="59" t="str">
        <x:v>Kontrola lokalna</x:v>
      </x:c>
      <x:c r="B349" s="59" t="str">
        <x:v>probe_references:GUGIK_BDOT_PARQUET</x:v>
      </x:c>
      <x:c r="C349" s="59" t="str">
        <x:v>PASS</x:v>
      </x:c>
    </x:row>
    <x:row r="350" ht="30" customHeight="1">
      <x:c r="A350" s="59" t="str">
        <x:v>Kontrola lokalna</x:v>
      </x:c>
      <x:c r="B350" s="59" t="str">
        <x:v>probe_references:GUGIK_ORTHO</x:v>
      </x:c>
      <x:c r="C350" s="59" t="str">
        <x:v>PASS</x:v>
      </x:c>
    </x:row>
    <x:row r="351" ht="30" customHeight="1">
      <x:c r="A351" s="59" t="str">
        <x:v>Kontrola lokalna</x:v>
      </x:c>
      <x:c r="B351" s="59" t="str">
        <x:v>probe_references:GUGIK_NMT</x:v>
      </x:c>
      <x:c r="C351" s="59" t="str">
        <x:v>PASS</x:v>
      </x:c>
    </x:row>
    <x:row r="352" ht="30" customHeight="1">
      <x:c r="A352" s="59" t="str">
        <x:v>Kontrola lokalna</x:v>
      </x:c>
      <x:c r="B352" s="59" t="str">
        <x:v>probe_references:GUGIK_MPZP</x:v>
      </x:c>
      <x:c r="C352" s="59" t="str">
        <x:v>PASS</x:v>
      </x:c>
    </x:row>
    <x:row r="353" ht="30" customHeight="1">
      <x:c r="A353" s="59" t="str">
        <x:v>Kontrola lokalna</x:v>
      </x:c>
      <x:c r="B353" s="59" t="str">
        <x:v>probe_references:URBAN_REGISTER</x:v>
      </x:c>
      <x:c r="C353" s="59" t="str">
        <x:v>PASS</x:v>
      </x:c>
    </x:row>
    <x:row r="354" ht="30" customHeight="1">
      <x:c r="A354" s="59" t="str">
        <x:v>Kontrola lokalna</x:v>
      </x:c>
      <x:c r="B354" s="59" t="str">
        <x:v>probe_references:GDOS_GIS</x:v>
      </x:c>
      <x:c r="C354" s="59" t="str">
        <x:v>PASS</x:v>
      </x:c>
    </x:row>
    <x:row r="355" ht="30" customHeight="1">
      <x:c r="A355" s="59" t="str">
        <x:v>Kontrola lokalna</x:v>
      </x:c>
      <x:c r="B355" s="59" t="str">
        <x:v>probe_references:WODY_SIGW</x:v>
      </x:c>
      <x:c r="C355" s="59" t="str">
        <x:v>PASS</x:v>
      </x:c>
    </x:row>
    <x:row r="356" ht="30" customHeight="1">
      <x:c r="A356" s="59" t="str">
        <x:v>Kontrola lokalna</x:v>
      </x:c>
      <x:c r="B356" s="59" t="str">
        <x:v>probe_references:BDL_GIS</x:v>
      </x:c>
      <x:c r="C356" s="59" t="str">
        <x:v>PASS</x:v>
      </x:c>
    </x:row>
    <x:row r="357" ht="30" customHeight="1">
      <x:c r="A357" s="59" t="str">
        <x:v>Kontrola lokalna</x:v>
      </x:c>
      <x:c r="B357" s="59" t="str">
        <x:v>probe_references:ENTSOE_TP</x:v>
      </x:c>
      <x:c r="C357" s="59" t="str">
        <x:v>PASS</x:v>
      </x:c>
    </x:row>
    <x:row r="358" ht="30" customHeight="1">
      <x:c r="A358" s="59" t="str">
        <x:v>Kontrola lokalna</x:v>
      </x:c>
      <x:c r="B358" s="59" t="str">
        <x:v>probe_references:ENTSOE_MAP</x:v>
      </x:c>
      <x:c r="C358" s="59" t="str">
        <x:v>PASS</x:v>
      </x:c>
    </x:row>
    <x:row r="359" ht="30" customHeight="1">
      <x:c r="A359" s="59" t="str">
        <x:v>Kontrola lokalna</x:v>
      </x:c>
      <x:c r="B359" s="59" t="str">
        <x:v>probe_references:OSM_LICENSE</x:v>
      </x:c>
      <x:c r="C359" s="59" t="str">
        <x:v>PASS</x:v>
      </x:c>
    </x:row>
    <x:row r="360" ht="30" customHeight="1">
      <x:c r="A360" s="59" t="str">
        <x:v>Kontrola lokalna</x:v>
      </x:c>
      <x:c r="B360" s="59" t="str">
        <x:v>probe_references:GEOFABRIK_PL</x:v>
      </x:c>
      <x:c r="C360" s="59" t="str">
        <x:v>PASS</x:v>
      </x:c>
    </x:row>
    <x:row r="361" ht="30" customHeight="1">
      <x:c r="A361" s="59" t="str">
        <x:v>Kontrola lokalna</x:v>
      </x:c>
      <x:c r="B361" s="59" t="str">
        <x:v>probe_references:OPENINFRAMAP</x:v>
      </x:c>
      <x:c r="C361" s="59" t="str">
        <x:v>PASS</x:v>
      </x:c>
    </x:row>
    <x:row r="362" ht="30" customHeight="1">
      <x:c r="A362" s="59" t="str">
        <x:v>Kontrola lokalna</x:v>
      </x:c>
      <x:c r="B362" s="59" t="str">
        <x:v>probe_references:PYPSA_EUR</x:v>
      </x:c>
      <x:c r="C362" s="59" t="str">
        <x:v>PASS</x:v>
      </x:c>
    </x:row>
    <x:row r="363" ht="30" customHeight="1">
      <x:c r="A363" s="59" t="str">
        <x:v>Kontrola lokalna</x:v>
      </x:c>
      <x:c r="B363" s="59" t="str">
        <x:v>probe_references:MATPOWER_POLAND</x:v>
      </x:c>
      <x:c r="C363" s="59" t="str">
        <x:v>PASS</x:v>
      </x:c>
    </x:row>
    <x:row r="364" ht="30" customHeight="1">
      <x:c r="A364" s="59" t="str">
        <x:v>Kontrola lokalna</x:v>
      </x:c>
      <x:c r="B364" s="59" t="str">
        <x:v>probe_references:PANDAPOWER</x:v>
      </x:c>
      <x:c r="C364" s="59" t="str">
        <x:v>PASS</x:v>
      </x:c>
    </x:row>
    <x:row r="365" ht="30" customHeight="1">
      <x:c r="A365" s="59" t="str">
        <x:v>Kontrola lokalna</x:v>
      </x:c>
      <x:c r="B365" s="59" t="str">
        <x:v>probe_references:VERAGRID</x:v>
      </x:c>
      <x:c r="C365" s="59" t="str">
        <x:v>PASS</x:v>
      </x:c>
    </x:row>
    <x:row r="366" ht="30" customHeight="1">
      <x:c r="A366" s="59" t="str">
        <x:v>Kontrola lokalna</x:v>
      </x:c>
      <x:c r="B366" s="59" t="str">
        <x:v>probe_references:MATPOWER_LIBRARY</x:v>
      </x:c>
      <x:c r="C366" s="59" t="str">
        <x:v>PASS</x:v>
      </x:c>
    </x:row>
    <x:row r="367" ht="30" customHeight="1">
      <x:c r="A367" s="59" t="str">
        <x:v>Kontrola lokalna</x:v>
      </x:c>
      <x:c r="B367" s="59" t="str">
        <x:v>probe_references:POWERMODELS</x:v>
      </x:c>
      <x:c r="C367" s="59" t="str">
        <x:v>PASS</x:v>
      </x:c>
    </x:row>
    <x:row r="368" ht="30" customHeight="1">
      <x:c r="A368" s="59" t="str">
        <x:v>Kontrola lokalna</x:v>
      </x:c>
      <x:c r="B368" s="59" t="str">
        <x:v>probe_references:OPSD_TIMESERIES</x:v>
      </x:c>
      <x:c r="C368" s="59" t="str">
        <x:v>PASS</x:v>
      </x:c>
    </x:row>
    <x:row r="369" ht="30" customHeight="1">
      <x:c r="A369" s="59" t="str">
        <x:v>Kontrola lokalna</x:v>
      </x:c>
      <x:c r="B369" s="59" t="str">
        <x:v>probe_references:ENERGY_CHARTS</x:v>
      </x:c>
      <x:c r="C369" s="59" t="str">
        <x:v>PASS</x:v>
      </x:c>
    </x:row>
    <x:row r="370" ht="30" customHeight="1">
      <x:c r="A370" s="59" t="str">
        <x:v>Kontrola lokalna</x:v>
      </x:c>
      <x:c r="B370" s="59" t="str">
        <x:v>probe_references:EMBER_API</x:v>
      </x:c>
      <x:c r="C370" s="59" t="str">
        <x:v>PASS</x:v>
      </x:c>
    </x:row>
    <x:row r="371" ht="30" customHeight="1">
      <x:c r="A371" s="59" t="str">
        <x:v>Kontrola lokalna</x:v>
      </x:c>
      <x:c r="B371" s="59" t="str">
        <x:v>probe_references:JRC_IDEES</x:v>
      </x:c>
      <x:c r="C371" s="59" t="str">
        <x:v>PASS</x:v>
      </x:c>
    </x:row>
    <x:row r="372" ht="30" customHeight="1">
      <x:c r="A372" s="59" t="str">
        <x:v>Kontrola lokalna</x:v>
      </x:c>
      <x:c r="B372" s="59" t="str">
        <x:v>probe_references:COPERNICUS</x:v>
      </x:c>
      <x:c r="C372" s="59" t="str">
        <x:v>PASS</x:v>
      </x:c>
    </x:row>
    <x:row r="373" ht="30" customHeight="1">
      <x:c r="A373" s="59" t="str">
        <x:v>Kontrola lokalna</x:v>
      </x:c>
      <x:c r="B373" s="59" t="str">
        <x:v>snapshot_within_raw:PSE_API_DOCS</x:v>
      </x:c>
      <x:c r="C373" s="59" t="str">
        <x:v>PASS</x:v>
      </x:c>
    </x:row>
    <x:row r="374" ht="30" customHeight="1">
      <x:c r="A374" s="59" t="str">
        <x:v>Kontrola lokalna</x:v>
      </x:c>
      <x:c r="B374" s="59" t="str">
        <x:v>snapshot_exists:PSE_API_DOCS</x:v>
      </x:c>
      <x:c r="C374" s="59" t="str">
        <x:v>PASS</x:v>
      </x:c>
    </x:row>
    <x:row r="375" ht="30" customHeight="1">
      <x:c r="A375" s="59" t="str">
        <x:v>Kontrola lokalna</x:v>
      </x:c>
      <x:c r="B375" s="59" t="str">
        <x:v>snapshot_bytes:PSE_API_DOCS</x:v>
      </x:c>
      <x:c r="C375" s="59" t="str">
        <x:v>PASS</x:v>
      </x:c>
    </x:row>
    <x:row r="376" ht="30" customHeight="1">
      <x:c r="A376" s="59" t="str">
        <x:v>Kontrola lokalna</x:v>
      </x:c>
      <x:c r="B376" s="59" t="str">
        <x:v>snapshot_sha256:PSE_API_DOCS</x:v>
      </x:c>
      <x:c r="C376" s="59" t="str">
        <x:v>PASS</x:v>
      </x:c>
    </x:row>
    <x:row r="377" ht="30" customHeight="1">
      <x:c r="A377" s="59" t="str">
        <x:v>Kontrola lokalna</x:v>
      </x:c>
      <x:c r="B377" s="59" t="str">
        <x:v>snapshot_within_raw:PSE_CAPACITY</x:v>
      </x:c>
      <x:c r="C377" s="59" t="str">
        <x:v>PASS</x:v>
      </x:c>
    </x:row>
    <x:row r="378" ht="30" customHeight="1">
      <x:c r="A378" s="59" t="str">
        <x:v>Kontrola lokalna</x:v>
      </x:c>
      <x:c r="B378" s="59" t="str">
        <x:v>snapshot_exists:PSE_CAPACITY</x:v>
      </x:c>
      <x:c r="C378" s="59" t="str">
        <x:v>PASS</x:v>
      </x:c>
    </x:row>
    <x:row r="379" ht="30" customHeight="1">
      <x:c r="A379" s="59" t="str">
        <x:v>Kontrola lokalna</x:v>
      </x:c>
      <x:c r="B379" s="59" t="str">
        <x:v>snapshot_bytes:PSE_CAPACITY</x:v>
      </x:c>
      <x:c r="C379" s="59" t="str">
        <x:v>PASS</x:v>
      </x:c>
    </x:row>
    <x:row r="380" ht="30" customHeight="1">
      <x:c r="A380" s="59" t="str">
        <x:v>Kontrola lokalna</x:v>
      </x:c>
      <x:c r="B380" s="59" t="str">
        <x:v>snapshot_sha256:PSE_CAPACITY</x:v>
      </x:c>
      <x:c r="C380" s="59" t="str">
        <x:v>PASS</x:v>
      </x:c>
    </x:row>
    <x:row r="381" ht="30" customHeight="1">
      <x:c r="A381" s="59" t="str">
        <x:v>Kontrola lokalna</x:v>
      </x:c>
      <x:c r="B381" s="59" t="str">
        <x:v>snapshot_within_raw:ENERGA_PIPELINE</x:v>
      </x:c>
      <x:c r="C381" s="59" t="str">
        <x:v>PASS</x:v>
      </x:c>
    </x:row>
    <x:row r="382" ht="30" customHeight="1">
      <x:c r="A382" s="59" t="str">
        <x:v>Kontrola lokalna</x:v>
      </x:c>
      <x:c r="B382" s="59" t="str">
        <x:v>snapshot_exists:ENERGA_PIPELINE</x:v>
      </x:c>
      <x:c r="C382" s="59" t="str">
        <x:v>PASS</x:v>
      </x:c>
    </x:row>
    <x:row r="383" ht="30" customHeight="1">
      <x:c r="A383" s="59" t="str">
        <x:v>Kontrola lokalna</x:v>
      </x:c>
      <x:c r="B383" s="59" t="str">
        <x:v>snapshot_bytes:ENERGA_PIPELINE</x:v>
      </x:c>
      <x:c r="C383" s="59" t="str">
        <x:v>PASS</x:v>
      </x:c>
    </x:row>
    <x:row r="384" ht="30" customHeight="1">
      <x:c r="A384" s="59" t="str">
        <x:v>Kontrola lokalna</x:v>
      </x:c>
      <x:c r="B384" s="59" t="str">
        <x:v>snapshot_sha256:ENERGA_PIPELINE</x:v>
      </x:c>
      <x:c r="C384" s="59" t="str">
        <x:v>PASS</x:v>
      </x:c>
    </x:row>
    <x:row r="385" ht="30" customHeight="1">
      <x:c r="A385" s="59" t="str">
        <x:v>Kontrola lokalna</x:v>
      </x:c>
      <x:c r="B385" s="59" t="str">
        <x:v>snapshot_within_raw:ENERGA_IMPORT</x:v>
      </x:c>
      <x:c r="C385" s="59" t="str">
        <x:v>PASS</x:v>
      </x:c>
    </x:row>
    <x:row r="386" ht="30" customHeight="1">
      <x:c r="A386" s="59" t="str">
        <x:v>Kontrola lokalna</x:v>
      </x:c>
      <x:c r="B386" s="59" t="str">
        <x:v>snapshot_exists:ENERGA_IMPORT</x:v>
      </x:c>
      <x:c r="C386" s="59" t="str">
        <x:v>PASS</x:v>
      </x:c>
    </x:row>
    <x:row r="387" ht="30" customHeight="1">
      <x:c r="A387" s="59" t="str">
        <x:v>Kontrola lokalna</x:v>
      </x:c>
      <x:c r="B387" s="59" t="str">
        <x:v>snapshot_bytes:ENERGA_IMPORT</x:v>
      </x:c>
      <x:c r="C387" s="59" t="str">
        <x:v>PASS</x:v>
      </x:c>
    </x:row>
    <x:row r="388" ht="30" customHeight="1">
      <x:c r="A388" s="59" t="str">
        <x:v>Kontrola lokalna</x:v>
      </x:c>
      <x:c r="B388" s="59" t="str">
        <x:v>snapshot_sha256:ENERGA_IMPORT</x:v>
      </x:c>
      <x:c r="C388" s="59" t="str">
        <x:v>PASS</x:v>
      </x:c>
    </x:row>
    <x:row r="389" ht="30" customHeight="1">
      <x:c r="A389" s="59" t="str">
        <x:v>Kontrola lokalna</x:v>
      </x:c>
      <x:c r="B389" s="59" t="str">
        <x:v>snapshot_within_raw:ENERGA_EXPORT</x:v>
      </x:c>
      <x:c r="C389" s="59" t="str">
        <x:v>PASS</x:v>
      </x:c>
    </x:row>
    <x:row r="390" ht="30" customHeight="1">
      <x:c r="A390" s="59" t="str">
        <x:v>Kontrola lokalna</x:v>
      </x:c>
      <x:c r="B390" s="59" t="str">
        <x:v>snapshot_exists:ENERGA_EXPORT</x:v>
      </x:c>
      <x:c r="C390" s="59" t="str">
        <x:v>PASS</x:v>
      </x:c>
    </x:row>
    <x:row r="391" ht="30" customHeight="1">
      <x:c r="A391" s="59" t="str">
        <x:v>Kontrola lokalna</x:v>
      </x:c>
      <x:c r="B391" s="59" t="str">
        <x:v>snapshot_bytes:ENERGA_EXPORT</x:v>
      </x:c>
      <x:c r="C391" s="59" t="str">
        <x:v>PASS</x:v>
      </x:c>
    </x:row>
    <x:row r="392" ht="30" customHeight="1">
      <x:c r="A392" s="59" t="str">
        <x:v>Kontrola lokalna</x:v>
      </x:c>
      <x:c r="B392" s="59" t="str">
        <x:v>snapshot_sha256:ENERGA_EXPORT</x:v>
      </x:c>
      <x:c r="C392" s="59" t="str">
        <x:v>PASS</x:v>
      </x:c>
    </x:row>
    <x:row r="393" ht="30" customHeight="1">
      <x:c r="A393" s="59" t="str">
        <x:v>Kontrola lokalna</x:v>
      </x:c>
      <x:c r="B393" s="59" t="str">
        <x:v>snapshot_within_raw:PGE_LANDING</x:v>
      </x:c>
      <x:c r="C393" s="59" t="str">
        <x:v>PASS</x:v>
      </x:c>
    </x:row>
    <x:row r="394" ht="30" customHeight="1">
      <x:c r="A394" s="59" t="str">
        <x:v>Kontrola lokalna</x:v>
      </x:c>
      <x:c r="B394" s="59" t="str">
        <x:v>snapshot_exists:PGE_LANDING</x:v>
      </x:c>
      <x:c r="C394" s="59" t="str">
        <x:v>PASS</x:v>
      </x:c>
    </x:row>
    <x:row r="395" ht="30" customHeight="1">
      <x:c r="A395" s="59" t="str">
        <x:v>Kontrola lokalna</x:v>
      </x:c>
      <x:c r="B395" s="59" t="str">
        <x:v>snapshot_bytes:PGE_LANDING</x:v>
      </x:c>
      <x:c r="C395" s="59" t="str">
        <x:v>PASS</x:v>
      </x:c>
    </x:row>
    <x:row r="396" ht="30" customHeight="1">
      <x:c r="A396" s="59" t="str">
        <x:v>Kontrola lokalna</x:v>
      </x:c>
      <x:c r="B396" s="59" t="str">
        <x:v>snapshot_sha256:PGE_LANDING</x:v>
      </x:c>
      <x:c r="C396" s="59" t="str">
        <x:v>PASS</x:v>
      </x:c>
    </x:row>
    <x:row r="397" ht="30" customHeight="1">
      <x:c r="A397" s="59" t="str">
        <x:v>Kontrola lokalna</x:v>
      </x:c>
      <x:c r="B397" s="59" t="str">
        <x:v>snapshot_within_raw:TAURON_PIPELINE</x:v>
      </x:c>
      <x:c r="C397" s="59" t="str">
        <x:v>PASS</x:v>
      </x:c>
    </x:row>
    <x:row r="398" ht="30" customHeight="1">
      <x:c r="A398" s="59" t="str">
        <x:v>Kontrola lokalna</x:v>
      </x:c>
      <x:c r="B398" s="59" t="str">
        <x:v>snapshot_exists:TAURON_PIPELINE</x:v>
      </x:c>
      <x:c r="C398" s="59" t="str">
        <x:v>PASS</x:v>
      </x:c>
    </x:row>
    <x:row r="399" ht="30" customHeight="1">
      <x:c r="A399" s="59" t="str">
        <x:v>Kontrola lokalna</x:v>
      </x:c>
      <x:c r="B399" s="59" t="str">
        <x:v>snapshot_bytes:TAURON_PIPELINE</x:v>
      </x:c>
      <x:c r="C399" s="59" t="str">
        <x:v>PASS</x:v>
      </x:c>
    </x:row>
    <x:row r="400" ht="30" customHeight="1">
      <x:c r="A400" s="59" t="str">
        <x:v>Kontrola lokalna</x:v>
      </x:c>
      <x:c r="B400" s="59" t="str">
        <x:v>snapshot_sha256:TAURON_PIPELINE</x:v>
      </x:c>
      <x:c r="C400" s="59" t="str">
        <x:v>PASS</x:v>
      </x:c>
    </x:row>
    <x:row r="401" ht="30" customHeight="1">
      <x:c r="A401" s="59" t="str">
        <x:v>Kontrola lokalna</x:v>
      </x:c>
      <x:c r="B401" s="59" t="str">
        <x:v>snapshot_within_raw:ENERGA_LANDING</x:v>
      </x:c>
      <x:c r="C401" s="59" t="str">
        <x:v>PASS</x:v>
      </x:c>
    </x:row>
    <x:row r="402" ht="30" customHeight="1">
      <x:c r="A402" s="59" t="str">
        <x:v>Kontrola lokalna</x:v>
      </x:c>
      <x:c r="B402" s="59" t="str">
        <x:v>snapshot_exists:ENERGA_LANDING</x:v>
      </x:c>
      <x:c r="C402" s="59" t="str">
        <x:v>PASS</x:v>
      </x:c>
    </x:row>
    <x:row r="403" ht="30" customHeight="1">
      <x:c r="A403" s="59" t="str">
        <x:v>Kontrola lokalna</x:v>
      </x:c>
      <x:c r="B403" s="59" t="str">
        <x:v>snapshot_bytes:ENERGA_LANDING</x:v>
      </x:c>
      <x:c r="C403" s="59" t="str">
        <x:v>PASS</x:v>
      </x:c>
    </x:row>
    <x:row r="404" ht="30" customHeight="1">
      <x:c r="A404" s="59" t="str">
        <x:v>Kontrola lokalna</x:v>
      </x:c>
      <x:c r="B404" s="59" t="str">
        <x:v>snapshot_sha256:ENERGA_LANDING</x:v>
      </x:c>
      <x:c r="C404" s="59" t="str">
        <x:v>PASS</x:v>
      </x:c>
    </x:row>
    <x:row r="405" ht="30" customHeight="1">
      <x:c r="A405" s="59" t="str">
        <x:v>Kontrola lokalna</x:v>
      </x:c>
      <x:c r="B405" s="59" t="str">
        <x:v>snapshot_within_raw:GUGIK_EGIB_CAPABILITIES</x:v>
      </x:c>
      <x:c r="C405" s="59" t="str">
        <x:v>PASS</x:v>
      </x:c>
    </x:row>
    <x:row r="406" ht="30" customHeight="1">
      <x:c r="A406" s="59" t="str">
        <x:v>Kontrola lokalna</x:v>
      </x:c>
      <x:c r="B406" s="59" t="str">
        <x:v>snapshot_exists:GUGIK_EGIB_CAPABILITIES</x:v>
      </x:c>
      <x:c r="C406" s="59" t="str">
        <x:v>PASS</x:v>
      </x:c>
    </x:row>
    <x:row r="407" ht="30" customHeight="1">
      <x:c r="A407" s="59" t="str">
        <x:v>Kontrola lokalna</x:v>
      </x:c>
      <x:c r="B407" s="59" t="str">
        <x:v>snapshot_bytes:GUGIK_EGIB_CAPABILITIES</x:v>
      </x:c>
      <x:c r="C407" s="59" t="str">
        <x:v>PASS</x:v>
      </x:c>
    </x:row>
    <x:row r="408" ht="30" customHeight="1">
      <x:c r="A408" s="59" t="str">
        <x:v>Kontrola lokalna</x:v>
      </x:c>
      <x:c r="B408" s="59" t="str">
        <x:v>snapshot_sha256:GUGIK_EGIB_CAPABILITIES</x:v>
      </x:c>
      <x:c r="C408" s="59" t="str">
        <x:v>PASS</x:v>
      </x:c>
    </x:row>
    <x:row r="409" ht="30" customHeight="1">
      <x:c r="A409" s="59" t="str">
        <x:v>Kontrola lokalna</x:v>
      </x:c>
      <x:c r="B409" s="59" t="str">
        <x:v>snapshot_within_raw:GDOS_CAPABILITIES</x:v>
      </x:c>
      <x:c r="C409" s="59" t="str">
        <x:v>PASS</x:v>
      </x:c>
    </x:row>
    <x:row r="410" ht="30" customHeight="1">
      <x:c r="A410" s="59" t="str">
        <x:v>Kontrola lokalna</x:v>
      </x:c>
      <x:c r="B410" s="59" t="str">
        <x:v>snapshot_exists:GDOS_CAPABILITIES</x:v>
      </x:c>
      <x:c r="C410" s="59" t="str">
        <x:v>PASS</x:v>
      </x:c>
    </x:row>
    <x:row r="411" ht="30" customHeight="1">
      <x:c r="A411" s="59" t="str">
        <x:v>Kontrola lokalna</x:v>
      </x:c>
      <x:c r="B411" s="59" t="str">
        <x:v>snapshot_bytes:GDOS_CAPABILITIES</x:v>
      </x:c>
      <x:c r="C411" s="59" t="str">
        <x:v>PASS</x:v>
      </x:c>
    </x:row>
    <x:row r="412" ht="30" customHeight="1">
      <x:c r="A412" s="59" t="str">
        <x:v>Kontrola lokalna</x:v>
      </x:c>
      <x:c r="B412" s="59" t="str">
        <x:v>snapshot_sha256:GDOS_CAPABILITIES</x:v>
      </x:c>
      <x:c r="C412" s="59" t="str">
        <x:v>PASS</x:v>
      </x:c>
    </x:row>
    <x:row r="413" ht="30" customHeight="1">
      <x:c r="A413" s="59" t="str">
        <x:v>Kontrola lokalna</x:v>
      </x:c>
      <x:c r="B413" s="59" t="str">
        <x:v>snapshot_within_raw:ENERGY_CHARTS_DOCS</x:v>
      </x:c>
      <x:c r="C413" s="59" t="str">
        <x:v>PASS</x:v>
      </x:c>
    </x:row>
    <x:row r="414" ht="30" customHeight="1">
      <x:c r="A414" s="59" t="str">
        <x:v>Kontrola lokalna</x:v>
      </x:c>
      <x:c r="B414" s="59" t="str">
        <x:v>snapshot_exists:ENERGY_CHARTS_DOCS</x:v>
      </x:c>
      <x:c r="C414" s="59" t="str">
        <x:v>PASS</x:v>
      </x:c>
    </x:row>
    <x:row r="415" ht="30" customHeight="1">
      <x:c r="A415" s="59" t="str">
        <x:v>Kontrola lokalna</x:v>
      </x:c>
      <x:c r="B415" s="59" t="str">
        <x:v>snapshot_bytes:ENERGY_CHARTS_DOCS</x:v>
      </x:c>
      <x:c r="C415" s="59" t="str">
        <x:v>PASS</x:v>
      </x:c>
    </x:row>
    <x:row r="416" ht="30" customHeight="1">
      <x:c r="A416" s="59" t="str">
        <x:v>Kontrola lokalna</x:v>
      </x:c>
      <x:c r="B416" s="59" t="str">
        <x:v>snapshot_sha256:ENERGY_CHARTS_DOCS</x:v>
      </x:c>
      <x:c r="C416" s="59" t="str">
        <x:v>PASS</x:v>
      </x:c>
    </x:row>
    <x:row r="417" ht="30" customHeight="1">
      <x:c r="A417" s="59" t="str">
        <x:v>Kontrola lokalna</x:v>
      </x:c>
      <x:c r="B417" s="59" t="str">
        <x:v>snapshot_within_raw:PSE_API_JS</x:v>
      </x:c>
      <x:c r="C417" s="59" t="str">
        <x:v>PASS</x:v>
      </x:c>
    </x:row>
    <x:row r="418" ht="30" customHeight="1">
      <x:c r="A418" s="59" t="str">
        <x:v>Kontrola lokalna</x:v>
      </x:c>
      <x:c r="B418" s="59" t="str">
        <x:v>snapshot_exists:PSE_API_JS</x:v>
      </x:c>
      <x:c r="C418" s="59" t="str">
        <x:v>PASS</x:v>
      </x:c>
    </x:row>
    <x:row r="419" ht="30" customHeight="1">
      <x:c r="A419" s="59" t="str">
        <x:v>Kontrola lokalna</x:v>
      </x:c>
      <x:c r="B419" s="59" t="str">
        <x:v>snapshot_bytes:PSE_API_JS</x:v>
      </x:c>
      <x:c r="C419" s="59" t="str">
        <x:v>PASS</x:v>
      </x:c>
    </x:row>
    <x:row r="420" ht="30" customHeight="1">
      <x:c r="A420" s="59" t="str">
        <x:v>Kontrola lokalna</x:v>
      </x:c>
      <x:c r="B420" s="59" t="str">
        <x:v>snapshot_sha256:PSE_API_JS</x:v>
      </x:c>
      <x:c r="C420" s="59" t="str">
        <x:v>PASS</x:v>
      </x:c>
    </x:row>
    <x:row r="421" ht="30" customHeight="1">
      <x:c r="A421" s="59" t="str">
        <x:v>Kontrola lokalna</x:v>
      </x:c>
      <x:c r="B421" s="59" t="str">
        <x:v>snapshot_within_raw:ENERGY_CHARTS_OPENAPI</x:v>
      </x:c>
      <x:c r="C421" s="59" t="str">
        <x:v>PASS</x:v>
      </x:c>
    </x:row>
    <x:row r="422" ht="30" customHeight="1">
      <x:c r="A422" s="59" t="str">
        <x:v>Kontrola lokalna</x:v>
      </x:c>
      <x:c r="B422" s="59" t="str">
        <x:v>snapshot_exists:ENERGY_CHARTS_OPENAPI</x:v>
      </x:c>
      <x:c r="C422" s="59" t="str">
        <x:v>PASS</x:v>
      </x:c>
    </x:row>
    <x:row r="423" ht="30" customHeight="1">
      <x:c r="A423" s="59" t="str">
        <x:v>Kontrola lokalna</x:v>
      </x:c>
      <x:c r="B423" s="59" t="str">
        <x:v>snapshot_bytes:ENERGY_CHARTS_OPENAPI</x:v>
      </x:c>
      <x:c r="C423" s="59" t="str">
        <x:v>PASS</x:v>
      </x:c>
    </x:row>
    <x:row r="424" ht="30" customHeight="1">
      <x:c r="A424" s="59" t="str">
        <x:v>Kontrola lokalna</x:v>
      </x:c>
      <x:c r="B424" s="59" t="str">
        <x:v>snapshot_sha256:ENERGY_CHARTS_OPENAPI</x:v>
      </x:c>
      <x:c r="C424" s="59" t="str">
        <x:v>PASS</x:v>
      </x:c>
    </x:row>
    <x:row r="425" ht="30" customHeight="1">
      <x:c r="A425" s="59" t="str">
        <x:v>Kontrola lokalna</x:v>
      </x:c>
      <x:c r="B425" s="59" t="str">
        <x:v>snapshot_within_raw:TAURON_PIPELINE_PDF</x:v>
      </x:c>
      <x:c r="C425" s="59" t="str">
        <x:v>PASS</x:v>
      </x:c>
    </x:row>
    <x:row r="426" ht="30" customHeight="1">
      <x:c r="A426" s="59" t="str">
        <x:v>Kontrola lokalna</x:v>
      </x:c>
      <x:c r="B426" s="59" t="str">
        <x:v>snapshot_exists:TAURON_PIPELINE_PDF</x:v>
      </x:c>
      <x:c r="C426" s="59" t="str">
        <x:v>PASS</x:v>
      </x:c>
    </x:row>
    <x:row r="427" ht="30" customHeight="1">
      <x:c r="A427" s="59" t="str">
        <x:v>Kontrola lokalna</x:v>
      </x:c>
      <x:c r="B427" s="59" t="str">
        <x:v>snapshot_bytes:TAURON_PIPELINE_PDF</x:v>
      </x:c>
      <x:c r="C427" s="59" t="str">
        <x:v>PASS</x:v>
      </x:c>
    </x:row>
    <x:row r="428" ht="30" customHeight="1">
      <x:c r="A428" s="59" t="str">
        <x:v>Kontrola lokalna</x:v>
      </x:c>
      <x:c r="B428" s="59" t="str">
        <x:v>snapshot_sha256:TAURON_PIPELINE_PDF</x:v>
      </x:c>
      <x:c r="C428" s="59" t="str">
        <x:v>PASS</x:v>
      </x:c>
    </x:row>
    <x:row r="429" ht="30" customHeight="1">
      <x:c r="A429" s="59" t="str">
        <x:v>Kontrola lokalna</x:v>
      </x:c>
      <x:c r="B429" s="59" t="str">
        <x:v>snapshot_within_raw:STOEN_NETWORK_HTML</x:v>
      </x:c>
      <x:c r="C429" s="59" t="str">
        <x:v>PASS</x:v>
      </x:c>
    </x:row>
    <x:row r="430" ht="30" customHeight="1">
      <x:c r="A430" s="59" t="str">
        <x:v>Kontrola lokalna</x:v>
      </x:c>
      <x:c r="B430" s="59" t="str">
        <x:v>snapshot_exists:STOEN_NETWORK_HTML</x:v>
      </x:c>
      <x:c r="C430" s="59" t="str">
        <x:v>PASS</x:v>
      </x:c>
    </x:row>
    <x:row r="431" ht="30" customHeight="1">
      <x:c r="A431" s="59" t="str">
        <x:v>Kontrola lokalna</x:v>
      </x:c>
      <x:c r="B431" s="59" t="str">
        <x:v>snapshot_bytes:STOEN_NETWORK_HTML</x:v>
      </x:c>
      <x:c r="C431" s="59" t="str">
        <x:v>PASS</x:v>
      </x:c>
    </x:row>
    <x:row r="432" ht="30" customHeight="1">
      <x:c r="A432" s="59" t="str">
        <x:v>Kontrola lokalna</x:v>
      </x:c>
      <x:c r="B432" s="59" t="str">
        <x:v>snapshot_sha256:STOEN_NETWORK_HTML</x:v>
      </x:c>
      <x:c r="C432" s="59" t="str">
        <x:v>PASS</x:v>
      </x:c>
    </x:row>
    <x:row r="433" ht="30" customHeight="1">
      <x:c r="A433" s="59" t="str">
        <x:v>Kontrola lokalna</x:v>
      </x:c>
      <x:c r="B433" s="59" t="str">
        <x:v>snapshot_within_raw:ENEA_PIPELINE_HTML</x:v>
      </x:c>
      <x:c r="C433" s="59" t="str">
        <x:v>PASS</x:v>
      </x:c>
    </x:row>
    <x:row r="434" ht="30" customHeight="1">
      <x:c r="A434" s="59" t="str">
        <x:v>Kontrola lokalna</x:v>
      </x:c>
      <x:c r="B434" s="59" t="str">
        <x:v>snapshot_exists:ENEA_PIPELINE_HTML</x:v>
      </x:c>
      <x:c r="C434" s="59" t="str">
        <x:v>PASS</x:v>
      </x:c>
    </x:row>
    <x:row r="435" ht="30" customHeight="1">
      <x:c r="A435" s="59" t="str">
        <x:v>Kontrola lokalna</x:v>
      </x:c>
      <x:c r="B435" s="59" t="str">
        <x:v>snapshot_bytes:ENEA_PIPELINE_HTML</x:v>
      </x:c>
      <x:c r="C435" s="59" t="str">
        <x:v>PASS</x:v>
      </x:c>
    </x:row>
    <x:row r="436" ht="30" customHeight="1">
      <x:c r="A436" s="59" t="str">
        <x:v>Kontrola lokalna</x:v>
      </x:c>
      <x:c r="B436" s="59" t="str">
        <x:v>snapshot_sha256:ENEA_PIPELINE_HTML</x:v>
      </x:c>
      <x:c r="C436" s="59" t="str">
        <x:v>PASS</x:v>
      </x:c>
    </x:row>
    <x:row r="437" ht="30" customHeight="1">
      <x:c r="A437" s="59" t="str">
        <x:v>Kontrola lokalna</x:v>
      </x:c>
      <x:c r="B437" s="59" t="str">
        <x:v>snapshot_within_raw:PSE_PIPELINE_HTML</x:v>
      </x:c>
      <x:c r="C437" s="59" t="str">
        <x:v>PASS</x:v>
      </x:c>
    </x:row>
    <x:row r="438" ht="30" customHeight="1">
      <x:c r="A438" s="59" t="str">
        <x:v>Kontrola lokalna</x:v>
      </x:c>
      <x:c r="B438" s="59" t="str">
        <x:v>snapshot_exists:PSE_PIPELINE_HTML</x:v>
      </x:c>
      <x:c r="C438" s="59" t="str">
        <x:v>PASS</x:v>
      </x:c>
    </x:row>
    <x:row r="439" ht="30" customHeight="1">
      <x:c r="A439" s="59" t="str">
        <x:v>Kontrola lokalna</x:v>
      </x:c>
      <x:c r="B439" s="59" t="str">
        <x:v>snapshot_bytes:PSE_PIPELINE_HTML</x:v>
      </x:c>
      <x:c r="C439" s="59" t="str">
        <x:v>PASS</x:v>
      </x:c>
    </x:row>
    <x:row r="440" ht="30" customHeight="1">
      <x:c r="A440" s="59" t="str">
        <x:v>Kontrola lokalna</x:v>
      </x:c>
      <x:c r="B440" s="59" t="str">
        <x:v>snapshot_sha256:PSE_PIPELINE_HTML</x:v>
      </x:c>
      <x:c r="C440" s="59" t="str">
        <x:v>PASS</x:v>
      </x:c>
    </x:row>
    <x:row r="441" ht="30" customHeight="1">
      <x:c r="A441" s="59" t="str">
        <x:v>Kontrola lokalna</x:v>
      </x:c>
      <x:c r="B441" s="59" t="str">
        <x:v>snapshot_within_raw:PSE_OPENAPI</x:v>
      </x:c>
      <x:c r="C441" s="59" t="str">
        <x:v>PASS</x:v>
      </x:c>
    </x:row>
    <x:row r="442" ht="30" customHeight="1">
      <x:c r="A442" s="59" t="str">
        <x:v>Kontrola lokalna</x:v>
      </x:c>
      <x:c r="B442" s="59" t="str">
        <x:v>snapshot_exists:PSE_OPENAPI</x:v>
      </x:c>
      <x:c r="C442" s="59" t="str">
        <x:v>PASS</x:v>
      </x:c>
    </x:row>
    <x:row r="443" ht="30" customHeight="1">
      <x:c r="A443" s="59" t="str">
        <x:v>Kontrola lokalna</x:v>
      </x:c>
      <x:c r="B443" s="59" t="str">
        <x:v>snapshot_bytes:PSE_OPENAPI</x:v>
      </x:c>
      <x:c r="C443" s="59" t="str">
        <x:v>PASS</x:v>
      </x:c>
    </x:row>
    <x:row r="444" ht="30" customHeight="1">
      <x:c r="A444" s="59" t="str">
        <x:v>Kontrola lokalna</x:v>
      </x:c>
      <x:c r="B444" s="59" t="str">
        <x:v>snapshot_sha256:PSE_OPENAPI</x:v>
      </x:c>
      <x:c r="C444" s="59" t="str">
        <x:v>PASS</x:v>
      </x:c>
    </x:row>
    <x:row r="445" ht="30" customHeight="1">
      <x:c r="A445" s="59" t="str">
        <x:v>Kontrola lokalna</x:v>
      </x:c>
      <x:c r="B445" s="59" t="str">
        <x:v>snapshot_within_raw:PSE_PIPELINE_XLSX</x:v>
      </x:c>
      <x:c r="C445" s="59" t="str">
        <x:v>PASS</x:v>
      </x:c>
    </x:row>
    <x:row r="446" ht="30" customHeight="1">
      <x:c r="A446" s="59" t="str">
        <x:v>Kontrola lokalna</x:v>
      </x:c>
      <x:c r="B446" s="59" t="str">
        <x:v>snapshot_exists:PSE_PIPELINE_XLSX</x:v>
      </x:c>
      <x:c r="C446" s="59" t="str">
        <x:v>PASS</x:v>
      </x:c>
    </x:row>
    <x:row r="447" ht="30" customHeight="1">
      <x:c r="A447" s="59" t="str">
        <x:v>Kontrola lokalna</x:v>
      </x:c>
      <x:c r="B447" s="59" t="str">
        <x:v>snapshot_bytes:PSE_PIPELINE_XLSX</x:v>
      </x:c>
      <x:c r="C447" s="59" t="str">
        <x:v>PASS</x:v>
      </x:c>
    </x:row>
    <x:row r="448" ht="30" customHeight="1">
      <x:c r="A448" s="59" t="str">
        <x:v>Kontrola lokalna</x:v>
      </x:c>
      <x:c r="B448" s="59" t="str">
        <x:v>snapshot_sha256:PSE_PIPELINE_XLSX</x:v>
      </x:c>
      <x:c r="C448" s="59" t="str">
        <x:v>PASS</x:v>
      </x:c>
    </x:row>
    <x:row r="449" ht="30" customHeight="1">
      <x:c r="A449" s="59" t="str">
        <x:v>Kontrola lokalna</x:v>
      </x:c>
      <x:c r="B449" s="59" t="str">
        <x:v>snapshot_within_raw:ENEA_MAP</x:v>
      </x:c>
      <x:c r="C449" s="59" t="str">
        <x:v>PASS</x:v>
      </x:c>
    </x:row>
    <x:row r="450" ht="30" customHeight="1">
      <x:c r="A450" s="59" t="str">
        <x:v>Kontrola lokalna</x:v>
      </x:c>
      <x:c r="B450" s="59" t="str">
        <x:v>snapshot_exists:ENEA_MAP</x:v>
      </x:c>
      <x:c r="C450" s="59" t="str">
        <x:v>PASS</x:v>
      </x:c>
    </x:row>
    <x:row r="451" ht="30" customHeight="1">
      <x:c r="A451" s="59" t="str">
        <x:v>Kontrola lokalna</x:v>
      </x:c>
      <x:c r="B451" s="59" t="str">
        <x:v>snapshot_bytes:ENEA_MAP</x:v>
      </x:c>
      <x:c r="C451" s="59" t="str">
        <x:v>PASS</x:v>
      </x:c>
    </x:row>
    <x:row r="452" ht="30" customHeight="1">
      <x:c r="A452" s="59" t="str">
        <x:v>Kontrola lokalna</x:v>
      </x:c>
      <x:c r="B452" s="59" t="str">
        <x:v>snapshot_sha256:ENEA_MAP</x:v>
      </x:c>
      <x:c r="C452" s="59" t="str">
        <x:v>PASS</x:v>
      </x:c>
    </x:row>
    <x:row r="453" ht="30" customHeight="1">
      <x:c r="A453" s="59" t="str">
        <x:v>Kontrola lokalna</x:v>
      </x:c>
      <x:c r="B453" s="59" t="str">
        <x:v>snapshot_within_raw:ENEA_PLAN</x:v>
      </x:c>
      <x:c r="C453" s="59" t="str">
        <x:v>PASS</x:v>
      </x:c>
    </x:row>
    <x:row r="454" ht="30" customHeight="1">
      <x:c r="A454" s="59" t="str">
        <x:v>Kontrola lokalna</x:v>
      </x:c>
      <x:c r="B454" s="59" t="str">
        <x:v>snapshot_exists:ENEA_PLAN</x:v>
      </x:c>
      <x:c r="C454" s="59" t="str">
        <x:v>PASS</x:v>
      </x:c>
    </x:row>
    <x:row r="455" ht="30" customHeight="1">
      <x:c r="A455" s="59" t="str">
        <x:v>Kontrola lokalna</x:v>
      </x:c>
      <x:c r="B455" s="59" t="str">
        <x:v>snapshot_bytes:ENEA_PLAN</x:v>
      </x:c>
      <x:c r="C455" s="59" t="str">
        <x:v>PASS</x:v>
      </x:c>
    </x:row>
    <x:row r="456" ht="30" customHeight="1">
      <x:c r="A456" s="59" t="str">
        <x:v>Kontrola lokalna</x:v>
      </x:c>
      <x:c r="B456" s="59" t="str">
        <x:v>snapshot_sha256:ENEA_PLAN</x:v>
      </x:c>
      <x:c r="C456" s="59" t="str">
        <x:v>PASS</x:v>
      </x:c>
    </x:row>
    <x:row r="457" ht="30" customHeight="1">
      <x:c r="A457" s="59" t="str">
        <x:v>Kontrola lokalna</x:v>
      </x:c>
      <x:c r="B457" s="59" t="str">
        <x:v>snapshot_within_raw:STOEN_EXPORT</x:v>
      </x:c>
      <x:c r="C457" s="59" t="str">
        <x:v>PASS</x:v>
      </x:c>
    </x:row>
    <x:row r="458" ht="30" customHeight="1">
      <x:c r="A458" s="59" t="str">
        <x:v>Kontrola lokalna</x:v>
      </x:c>
      <x:c r="B458" s="59" t="str">
        <x:v>snapshot_exists:STOEN_EXPORT</x:v>
      </x:c>
      <x:c r="C458" s="59" t="str">
        <x:v>PASS</x:v>
      </x:c>
    </x:row>
    <x:row r="459" ht="30" customHeight="1">
      <x:c r="A459" s="59" t="str">
        <x:v>Kontrola lokalna</x:v>
      </x:c>
      <x:c r="B459" s="59" t="str">
        <x:v>snapshot_bytes:STOEN_EXPORT</x:v>
      </x:c>
      <x:c r="C459" s="59" t="str">
        <x:v>PASS</x:v>
      </x:c>
    </x:row>
    <x:row r="460" ht="30" customHeight="1">
      <x:c r="A460" s="59" t="str">
        <x:v>Kontrola lokalna</x:v>
      </x:c>
      <x:c r="B460" s="59" t="str">
        <x:v>snapshot_sha256:STOEN_EXPORT</x:v>
      </x:c>
      <x:c r="C460" s="59" t="str">
        <x:v>PASS</x:v>
      </x:c>
    </x:row>
    <x:row r="461" ht="30" customHeight="1">
      <x:c r="A461" s="59" t="str">
        <x:v>Kontrola lokalna</x:v>
      </x:c>
      <x:c r="B461" s="59" t="str">
        <x:v>snapshot_within_raw:STOEN_IMPORT</x:v>
      </x:c>
      <x:c r="C461" s="59" t="str">
        <x:v>PASS</x:v>
      </x:c>
    </x:row>
    <x:row r="462" ht="30" customHeight="1">
      <x:c r="A462" s="59" t="str">
        <x:v>Kontrola lokalna</x:v>
      </x:c>
      <x:c r="B462" s="59" t="str">
        <x:v>snapshot_exists:STOEN_IMPORT</x:v>
      </x:c>
      <x:c r="C462" s="59" t="str">
        <x:v>PASS</x:v>
      </x:c>
    </x:row>
    <x:row r="463" ht="30" customHeight="1">
      <x:c r="A463" s="59" t="str">
        <x:v>Kontrola lokalna</x:v>
      </x:c>
      <x:c r="B463" s="59" t="str">
        <x:v>snapshot_bytes:STOEN_IMPORT</x:v>
      </x:c>
      <x:c r="C463" s="59" t="str">
        <x:v>PASS</x:v>
      </x:c>
    </x:row>
    <x:row r="464" ht="30" customHeight="1">
      <x:c r="A464" s="59" t="str">
        <x:v>Kontrola lokalna</x:v>
      </x:c>
      <x:c r="B464" s="59" t="str">
        <x:v>snapshot_sha256:STOEN_IMPORT</x:v>
      </x:c>
      <x:c r="C464" s="59" t="str">
        <x:v>PASS</x:v>
      </x:c>
    </x:row>
    <x:row r="465" ht="30" customHeight="1">
      <x:c r="A465" s="59" t="str">
        <x:v>Kontrola lokalna</x:v>
      </x:c>
      <x:c r="B465" s="59" t="str">
        <x:v>snapshot_within_raw:LAW_2026_516</x:v>
      </x:c>
      <x:c r="C465" s="59" t="str">
        <x:v>PASS</x:v>
      </x:c>
    </x:row>
    <x:row r="466" ht="30" customHeight="1">
      <x:c r="A466" s="59" t="str">
        <x:v>Kontrola lokalna</x:v>
      </x:c>
      <x:c r="B466" s="59" t="str">
        <x:v>snapshot_exists:LAW_2026_516</x:v>
      </x:c>
      <x:c r="C466" s="59" t="str">
        <x:v>PASS</x:v>
      </x:c>
    </x:row>
    <x:row r="467" ht="30" customHeight="1">
      <x:c r="A467" s="59" t="str">
        <x:v>Kontrola lokalna</x:v>
      </x:c>
      <x:c r="B467" s="59" t="str">
        <x:v>snapshot_bytes:LAW_2026_516</x:v>
      </x:c>
      <x:c r="C467" s="59" t="str">
        <x:v>PASS</x:v>
      </x:c>
    </x:row>
    <x:row r="468" ht="30" customHeight="1">
      <x:c r="A468" s="59" t="str">
        <x:v>Kontrola lokalna</x:v>
      </x:c>
      <x:c r="B468" s="59" t="str">
        <x:v>snapshot_sha256:LAW_2026_516</x:v>
      </x:c>
      <x:c r="C468" s="59" t="str">
        <x:v>PASS</x:v>
      </x:c>
    </x:row>
    <x:row r="469" ht="30" customHeight="1">
      <x:c r="A469" s="59" t="str">
        <x:v>Kontrola lokalna</x:v>
      </x:c>
      <x:c r="B469" s="59" t="str">
        <x:v>snapshot_within_raw:PSE_NODES_SAMPLE</x:v>
      </x:c>
      <x:c r="C469" s="59" t="str">
        <x:v>PASS</x:v>
      </x:c>
    </x:row>
    <x:row r="470" ht="30" customHeight="1">
      <x:c r="A470" s="59" t="str">
        <x:v>Kontrola lokalna</x:v>
      </x:c>
      <x:c r="B470" s="59" t="str">
        <x:v>snapshot_exists:PSE_NODES_SAMPLE</x:v>
      </x:c>
      <x:c r="C470" s="59" t="str">
        <x:v>PASS</x:v>
      </x:c>
    </x:row>
    <x:row r="471" ht="30" customHeight="1">
      <x:c r="A471" s="59" t="str">
        <x:v>Kontrola lokalna</x:v>
      </x:c>
      <x:c r="B471" s="59" t="str">
        <x:v>snapshot_bytes:PSE_NODES_SAMPLE</x:v>
      </x:c>
      <x:c r="C471" s="59" t="str">
        <x:v>PASS</x:v>
      </x:c>
    </x:row>
    <x:row r="472" ht="30" customHeight="1">
      <x:c r="A472" s="59" t="str">
        <x:v>Kontrola lokalna</x:v>
      </x:c>
      <x:c r="B472" s="59" t="str">
        <x:v>snapshot_sha256:PSE_NODES_SAMPLE</x:v>
      </x:c>
      <x:c r="C472" s="59" t="str">
        <x:v>PASS</x:v>
      </x:c>
    </x:row>
    <x:row r="473" ht="30" customHeight="1">
      <x:c r="A473" s="59" t="str">
        <x:v>Kontrola lokalna</x:v>
      </x:c>
      <x:c r="B473" s="59" t="str">
        <x:v>snapshot_within_raw:PSE_REDISPATCH_SAMPLE</x:v>
      </x:c>
      <x:c r="C473" s="59" t="str">
        <x:v>PASS</x:v>
      </x:c>
    </x:row>
    <x:row r="474" ht="30" customHeight="1">
      <x:c r="A474" s="59" t="str">
        <x:v>Kontrola lokalna</x:v>
      </x:c>
      <x:c r="B474" s="59" t="str">
        <x:v>snapshot_exists:PSE_REDISPATCH_SAMPLE</x:v>
      </x:c>
      <x:c r="C474" s="59" t="str">
        <x:v>PASS</x:v>
      </x:c>
    </x:row>
    <x:row r="475" ht="30" customHeight="1">
      <x:c r="A475" s="59" t="str">
        <x:v>Kontrola lokalna</x:v>
      </x:c>
      <x:c r="B475" s="59" t="str">
        <x:v>snapshot_bytes:PSE_REDISPATCH_SAMPLE</x:v>
      </x:c>
      <x:c r="C475" s="59" t="str">
        <x:v>PASS</x:v>
      </x:c>
    </x:row>
    <x:row r="476" ht="30" customHeight="1">
      <x:c r="A476" s="59" t="str">
        <x:v>Kontrola lokalna</x:v>
      </x:c>
      <x:c r="B476" s="59" t="str">
        <x:v>snapshot_sha256:PSE_REDISPATCH_SAMPLE</x:v>
      </x:c>
      <x:c r="C476" s="59" t="str">
        <x:v>PASS</x:v>
      </x:c>
    </x:row>
    <x:row r="477" ht="30" customHeight="1">
      <x:c r="A477" s="59" t="str">
        <x:v>Kontrola lokalna</x:v>
      </x:c>
      <x:c r="B477" s="59" t="str">
        <x:v>snapshot_within_raw:PSE_FLOWS_SAMPLE</x:v>
      </x:c>
      <x:c r="C477" s="59" t="str">
        <x:v>PASS</x:v>
      </x:c>
    </x:row>
    <x:row r="478" ht="30" customHeight="1">
      <x:c r="A478" s="59" t="str">
        <x:v>Kontrola lokalna</x:v>
      </x:c>
      <x:c r="B478" s="59" t="str">
        <x:v>snapshot_exists:PSE_FLOWS_SAMPLE</x:v>
      </x:c>
      <x:c r="C478" s="59" t="str">
        <x:v>PASS</x:v>
      </x:c>
    </x:row>
    <x:row r="479" ht="30" customHeight="1">
      <x:c r="A479" s="59" t="str">
        <x:v>Kontrola lokalna</x:v>
      </x:c>
      <x:c r="B479" s="59" t="str">
        <x:v>snapshot_bytes:PSE_FLOWS_SAMPLE</x:v>
      </x:c>
      <x:c r="C479" s="59" t="str">
        <x:v>PASS</x:v>
      </x:c>
    </x:row>
    <x:row r="480" ht="30" customHeight="1">
      <x:c r="A480" s="59" t="str">
        <x:v>Kontrola lokalna</x:v>
      </x:c>
      <x:c r="B480" s="59" t="str">
        <x:v>snapshot_sha256:PSE_FLOWS_SAMPLE</x:v>
      </x:c>
      <x:c r="C480" s="59" t="str">
        <x:v>PASS</x:v>
      </x:c>
    </x:row>
    <x:row r="481" ht="30" customHeight="1">
      <x:c r="A481" s="59" t="str">
        <x:v>Kontrola lokalna</x:v>
      </x:c>
      <x:c r="B481" s="59" t="str">
        <x:v>snapshot_within_raw:ENERGY_CHARTS_SAMPLE</x:v>
      </x:c>
      <x:c r="C481" s="59" t="str">
        <x:v>PASS</x:v>
      </x:c>
    </x:row>
    <x:row r="482" ht="30" customHeight="1">
      <x:c r="A482" s="59" t="str">
        <x:v>Kontrola lokalna</x:v>
      </x:c>
      <x:c r="B482" s="59" t="str">
        <x:v>snapshot_exists:ENERGY_CHARTS_SAMPLE</x:v>
      </x:c>
      <x:c r="C482" s="59" t="str">
        <x:v>PASS</x:v>
      </x:c>
    </x:row>
    <x:row r="483" ht="30" customHeight="1">
      <x:c r="A483" s="59" t="str">
        <x:v>Kontrola lokalna</x:v>
      </x:c>
      <x:c r="B483" s="59" t="str">
        <x:v>snapshot_bytes:ENERGY_CHARTS_SAMPLE</x:v>
      </x:c>
      <x:c r="C483" s="59" t="str">
        <x:v>PASS</x:v>
      </x:c>
    </x:row>
    <x:row r="484" ht="30" customHeight="1">
      <x:c r="A484" s="59" t="str">
        <x:v>Kontrola lokalna</x:v>
      </x:c>
      <x:c r="B484" s="59" t="str">
        <x:v>snapshot_sha256:ENERGY_CHARTS_SAMPLE</x:v>
      </x:c>
      <x:c r="C484" s="59" t="str">
        <x:v>PASS</x:v>
      </x:c>
    </x:row>
    <x:row r="485" ht="30" customHeight="1">
      <x:c r="A485" s="59" t="str">
        <x:v>Kontrola lokalna</x:v>
      </x:c>
      <x:c r="B485" s="59" t="str">
        <x:v>all_raw_files_have_manifests</x:v>
      </x:c>
      <x:c r="C485" s="59" t="str">
        <x:v>PASS</x:v>
      </x:c>
    </x:row>
    <x:row r="486" ht="30" customHeight="1">
      <x:c r="A486" s="59" t="str">
        <x:v>Kontrola lokalna</x:v>
      </x:c>
      <x:c r="B486" s="59" t="str">
        <x:v>format_readable:enea_maps.html</x:v>
      </x:c>
      <x:c r="C486" s="59" t="str">
        <x:v>PASS</x:v>
      </x:c>
    </x:row>
    <x:row r="487" ht="30" customHeight="1">
      <x:c r="A487" s="59" t="str">
        <x:v>Kontrola lokalna</x:v>
      </x:c>
      <x:c r="B487" s="59" t="str">
        <x:v>format_readable:enea_pipeline_landing.html</x:v>
      </x:c>
      <x:c r="C487" s="59" t="str">
        <x:v>PASS</x:v>
      </x:c>
    </x:row>
    <x:row r="488" ht="30" customHeight="1">
      <x:c r="A488" s="59" t="str">
        <x:v>Kontrola lokalna</x:v>
      </x:c>
      <x:c r="B488" s="59" t="str">
        <x:v>format_readable:enea_plan_landing.html</x:v>
      </x:c>
      <x:c r="C488" s="59" t="str">
        <x:v>PASS</x:v>
      </x:c>
    </x:row>
    <x:row r="489" ht="30" customHeight="1">
      <x:c r="A489" s="59" t="str">
        <x:v>Kontrola lokalna</x:v>
      </x:c>
      <x:c r="B489" s="59" t="str">
        <x:v>pdf_text_layer:energa_export_2026-08-31.pdf</x:v>
      </x:c>
      <x:c r="C489" s="59" t="str">
        <x:v>PASS</x:v>
      </x:c>
    </x:row>
    <x:row r="490" ht="30" customHeight="1">
      <x:c r="A490" s="59" t="str">
        <x:v>Kontrola lokalna</x:v>
      </x:c>
      <x:c r="B490" s="59" t="str">
        <x:v>format_readable:energa_export_2026-08-31.pdf</x:v>
      </x:c>
      <x:c r="C490" s="59" t="str">
        <x:v>PASS</x:v>
      </x:c>
    </x:row>
    <x:row r="491" ht="30" customHeight="1">
      <x:c r="A491" s="59" t="str">
        <x:v>Kontrola lokalna</x:v>
      </x:c>
      <x:c r="B491" s="59" t="str">
        <x:v>pdf_text_layer:energa_import_2026-08-31.pdf</x:v>
      </x:c>
      <x:c r="C491" s="59" t="str">
        <x:v>PASS</x:v>
      </x:c>
    </x:row>
    <x:row r="492" ht="30" customHeight="1">
      <x:c r="A492" s="59" t="str">
        <x:v>Kontrola lokalna</x:v>
      </x:c>
      <x:c r="B492" s="59" t="str">
        <x:v>format_readable:energa_import_2026-08-31.pdf</x:v>
      </x:c>
      <x:c r="C492" s="59" t="str">
        <x:v>PASS</x:v>
      </x:c>
    </x:row>
    <x:row r="493" ht="30" customHeight="1">
      <x:c r="A493" s="59" t="str">
        <x:v>Kontrola lokalna</x:v>
      </x:c>
      <x:c r="B493" s="59" t="str">
        <x:v>format_readable:energa_landing.html</x:v>
      </x:c>
      <x:c r="C493" s="59" t="str">
        <x:v>PASS</x:v>
      </x:c>
    </x:row>
    <x:row r="494" ht="30" customHeight="1">
      <x:c r="A494" s="59" t="str">
        <x:v>Kontrola lokalna</x:v>
      </x:c>
      <x:c r="B494" s="59" t="str">
        <x:v>pdf_text_layer:energa_pipeline_2026-08-31.pdf</x:v>
      </x:c>
      <x:c r="C494" s="59" t="str">
        <x:v>PASS</x:v>
      </x:c>
    </x:row>
    <x:row r="495" ht="30" customHeight="1">
      <x:c r="A495" s="59" t="str">
        <x:v>Kontrola lokalna</x:v>
      </x:c>
      <x:c r="B495" s="59" t="str">
        <x:v>format_readable:energa_pipeline_2026-08-31.pdf</x:v>
      </x:c>
      <x:c r="C495" s="59" t="str">
        <x:v>PASS</x:v>
      </x:c>
    </x:row>
    <x:row r="496" ht="30" customHeight="1">
      <x:c r="A496" s="59" t="str">
        <x:v>Kontrola lokalna</x:v>
      </x:c>
      <x:c r="B496" s="59" t="str">
        <x:v>format_readable:energy_charts_index.html</x:v>
      </x:c>
      <x:c r="C496" s="59" t="str">
        <x:v>PASS</x:v>
      </x:c>
    </x:row>
    <x:row r="497" ht="30" customHeight="1">
      <x:c r="A497" s="59" t="str">
        <x:v>Kontrola lokalna</x:v>
      </x:c>
      <x:c r="B497" s="59" t="str">
        <x:v>format_readable:energy_charts_openapi.json</x:v>
      </x:c>
      <x:c r="C497" s="59" t="str">
        <x:v>PASS</x:v>
      </x:c>
    </x:row>
    <x:row r="498" ht="30" customHeight="1">
      <x:c r="A498" s="59" t="str">
        <x:v>Kontrola lokalna</x:v>
      </x:c>
      <x:c r="B498" s="59" t="str">
        <x:v>format_readable:energy_charts_pl_sample.json</x:v>
      </x:c>
      <x:c r="C498" s="59" t="str">
        <x:v>PASS</x:v>
      </x:c>
    </x:row>
    <x:row r="499" ht="30" customHeight="1">
      <x:c r="A499" s="59" t="str">
        <x:v>Kontrola lokalna</x:v>
      </x:c>
      <x:c r="B499" s="59" t="str">
        <x:v>wfs_capabilities:gdos_capabilities.xml</x:v>
      </x:c>
      <x:c r="C499" s="59" t="str">
        <x:v>PASS: "2.0.0"</x:v>
      </x:c>
    </x:row>
    <x:row r="500" ht="30" customHeight="1">
      <x:c r="A500" s="59" t="str">
        <x:v>Kontrola lokalna</x:v>
      </x:c>
      <x:c r="B500" s="59" t="str">
        <x:v>format_readable:gdos_capabilities.xml</x:v>
      </x:c>
      <x:c r="C500" s="59" t="str">
        <x:v>PASS</x:v>
      </x:c>
    </x:row>
    <x:row r="501" ht="30" customHeight="1">
      <x:c r="A501" s="59" t="str">
        <x:v>Kontrola lokalna</x:v>
      </x:c>
      <x:c r="B501" s="59" t="str">
        <x:v>wfs_capabilities:gugik_egib_capabilities.xml</x:v>
      </x:c>
      <x:c r="C501" s="59" t="str">
        <x:v>PASS: "2.0.0"</x:v>
      </x:c>
    </x:row>
    <x:row r="502" ht="30" customHeight="1">
      <x:c r="A502" s="59" t="str">
        <x:v>Kontrola lokalna</x:v>
      </x:c>
      <x:c r="B502" s="59" t="str">
        <x:v>format_readable:gugik_egib_capabilities.xml</x:v>
      </x:c>
      <x:c r="C502" s="59" t="str">
        <x:v>PASS</x:v>
      </x:c>
    </x:row>
    <x:row r="503" ht="30" customHeight="1">
      <x:c r="A503" s="59" t="str">
        <x:v>Kontrola lokalna</x:v>
      </x:c>
      <x:c r="B503" s="59" t="str">
        <x:v>format_readable:pge_capacity_landing.html</x:v>
      </x:c>
      <x:c r="C503" s="59" t="str">
        <x:v>PASS</x:v>
      </x:c>
    </x:row>
    <x:row r="504" ht="30" customHeight="1">
      <x:c r="A504" s="59" t="str">
        <x:v>Kontrola lokalna</x:v>
      </x:c>
      <x:c r="B504" s="59" t="str">
        <x:v>pdf_text_layer:prawo_energetyczne_zmiana_2026_516.pdf</x:v>
      </x:c>
      <x:c r="C504" s="59" t="str">
        <x:v>PASS</x:v>
      </x:c>
    </x:row>
    <x:row r="505" ht="30" customHeight="1">
      <x:c r="A505" s="59" t="str">
        <x:v>Kontrola lokalna</x:v>
      </x:c>
      <x:c r="B505" s="59" t="str">
        <x:v>format_readable:prawo_energetyczne_zmiana_2026_516.pdf</x:v>
      </x:c>
      <x:c r="C505" s="59" t="str">
        <x:v>PASS</x:v>
      </x:c>
    </x:row>
    <x:row r="506" ht="30" customHeight="1">
      <x:c r="A506" s="59" t="str">
        <x:v>Kontrola lokalna</x:v>
      </x:c>
      <x:c r="B506" s="59" t="str">
        <x:v>format_readable:pse_api_frontend.js</x:v>
      </x:c>
      <x:c r="C506" s="59" t="str">
        <x:v>PASS</x:v>
      </x:c>
    </x:row>
    <x:row r="507" ht="30" customHeight="1">
      <x:c r="A507" s="59" t="str">
        <x:v>Kontrola lokalna</x:v>
      </x:c>
      <x:c r="B507" s="59" t="str">
        <x:v>format_readable:pse_api_index.html</x:v>
      </x:c>
      <x:c r="C507" s="59" t="str">
        <x:v>PASS</x:v>
      </x:c>
    </x:row>
    <x:row r="508" ht="30" customHeight="1">
      <x:c r="A508" s="59" t="str">
        <x:v>Kontrola lokalna</x:v>
      </x:c>
      <x:c r="B508" s="59" t="str">
        <x:v>pdf_text_layer:pse_capacity_retrieved_2026-09-10.pdf</x:v>
      </x:c>
      <x:c r="C508" s="59" t="str">
        <x:v>PASS</x:v>
      </x:c>
    </x:row>
    <x:row r="509" ht="30" customHeight="1">
      <x:c r="A509" s="59" t="str">
        <x:v>Kontrola lokalna</x:v>
      </x:c>
      <x:c r="B509" s="59" t="str">
        <x:v>format_readable:pse_capacity_retrieved_2026-09-10.pdf</x:v>
      </x:c>
      <x:c r="C509" s="59" t="str">
        <x:v>PASS</x:v>
      </x:c>
    </x:row>
    <x:row r="510" ht="30" customHeight="1">
      <x:c r="A510" s="59" t="str">
        <x:v>Kontrola lokalna</x:v>
      </x:c>
      <x:c r="B510" s="59" t="str">
        <x:v>format_readable:pse_flows_sample.json</x:v>
      </x:c>
      <x:c r="C510" s="59" t="str">
        <x:v>PASS</x:v>
      </x:c>
    </x:row>
    <x:row r="511" ht="30" customHeight="1">
      <x:c r="A511" s="59" t="str">
        <x:v>Kontrola lokalna</x:v>
      </x:c>
      <x:c r="B511" s="59" t="str">
        <x:v>format_readable:pse_nodes_sample.json</x:v>
      </x:c>
      <x:c r="C511" s="59" t="str">
        <x:v>PASS</x:v>
      </x:c>
    </x:row>
    <x:row r="512" ht="30" customHeight="1">
      <x:c r="A512" s="59" t="str">
        <x:v>Kontrola lokalna</x:v>
      </x:c>
      <x:c r="B512" s="59" t="str">
        <x:v>format_readable:pse_openapi.json</x:v>
      </x:c>
      <x:c r="C512" s="59" t="str">
        <x:v>PASS</x:v>
      </x:c>
    </x:row>
    <x:row r="513" ht="30" customHeight="1">
      <x:c r="A513" s="59" t="str">
        <x:v>Kontrola lokalna</x:v>
      </x:c>
      <x:c r="B513" s="59" t="str">
        <x:v>format_readable:pse_pipeline_landing.html</x:v>
      </x:c>
      <x:c r="C513" s="59" t="str">
        <x:v>PASS</x:v>
      </x:c>
    </x:row>
    <x:row r="514" ht="30" customHeight="1">
      <x:c r="A514" s="59" t="str">
        <x:v>Kontrola lokalna</x:v>
      </x:c>
      <x:c r="B514" s="59" t="str">
        <x:v>pse_xlsx_expected_sheet</x:v>
      </x:c>
      <x:c r="C514" s="59" t="str">
        <x:v>PASS</x:v>
      </x:c>
    </x:row>
    <x:row r="515" ht="30" customHeight="1">
      <x:c r="A515" s="59" t="str">
        <x:v>Kontrola lokalna</x:v>
      </x:c>
      <x:c r="B515" s="59" t="str">
        <x:v>pse_xlsx_snapshot_date</x:v>
      </x:c>
      <x:c r="C515" s="59" t="str">
        <x:v>PASS: "Header date, not retrieval date"</x:v>
      </x:c>
    </x:row>
    <x:row r="516" ht="30" customHeight="1">
      <x:c r="A516" s="59" t="str">
        <x:v>Kontrola lokalna</x:v>
      </x:c>
      <x:c r="B516" s="59" t="str">
        <x:v>pse_xlsx_direction_fields</x:v>
      </x:c>
      <x:c r="C516" s="59" t="str">
        <x:v>PASS</x:v>
      </x:c>
    </x:row>
    <x:row r="517" ht="30" customHeight="1">
      <x:c r="A517" s="59" t="str">
        <x:v>Kontrola lokalna</x:v>
      </x:c>
      <x:c r="B517" s="59" t="str">
        <x:v>format_readable:pse_pipeline_url_2026-07-31.xlsx</x:v>
      </x:c>
      <x:c r="C517" s="59" t="str">
        <x:v>PASS</x:v>
      </x:c>
    </x:row>
    <x:row r="518" ht="30" customHeight="1">
      <x:c r="A518" s="59" t="str">
        <x:v>Kontrola lokalna</x:v>
      </x:c>
      <x:c r="B518" s="59" t="str">
        <x:v>format_readable:pse_redispatch_sample.json</x:v>
      </x:c>
      <x:c r="C518" s="59" t="str">
        <x:v>PASS</x:v>
      </x:c>
    </x:row>
    <x:row r="519" ht="30" customHeight="1">
      <x:c r="A519" s="59" t="str">
        <x:v>Kontrola lokalna</x:v>
      </x:c>
      <x:c r="B519" s="59" t="str">
        <x:v>pdf_text_layer:stoen_export_2026_q3.pdf</x:v>
      </x:c>
      <x:c r="C519" s="59" t="str">
        <x:v>PASS</x:v>
      </x:c>
    </x:row>
    <x:row r="520" ht="30" customHeight="1">
      <x:c r="A520" s="59" t="str">
        <x:v>Kontrola lokalna</x:v>
      </x:c>
      <x:c r="B520" s="59" t="str">
        <x:v>format_readable:stoen_export_2026_q3.pdf</x:v>
      </x:c>
      <x:c r="C520" s="59" t="str">
        <x:v>PASS</x:v>
      </x:c>
    </x:row>
    <x:row r="521" ht="30" customHeight="1">
      <x:c r="A521" s="59" t="str">
        <x:v>Kontrola lokalna</x:v>
      </x:c>
      <x:c r="B521" s="59" t="str">
        <x:v>pdf_text_layer:stoen_import_2026-08-31.pdf</x:v>
      </x:c>
      <x:c r="C521" s="59" t="str">
        <x:v>PASS</x:v>
      </x:c>
    </x:row>
    <x:row r="522" ht="30" customHeight="1">
      <x:c r="A522" s="59" t="str">
        <x:v>Kontrola lokalna</x:v>
      </x:c>
      <x:c r="B522" s="59" t="str">
        <x:v>format_readable:stoen_import_2026-08-31.pdf</x:v>
      </x:c>
      <x:c r="C522" s="59" t="str">
        <x:v>PASS</x:v>
      </x:c>
    </x:row>
    <x:row r="523" ht="30" customHeight="1">
      <x:c r="A523" s="59" t="str">
        <x:v>Kontrola lokalna</x:v>
      </x:c>
      <x:c r="B523" s="59" t="str">
        <x:v>format_readable:stoen_network_landing.html</x:v>
      </x:c>
      <x:c r="C523" s="59" t="str">
        <x:v>PASS</x:v>
      </x:c>
    </x:row>
    <x:row r="524" ht="30" customHeight="1">
      <x:c r="A524" s="59" t="str">
        <x:v>Kontrola lokalna</x:v>
      </x:c>
      <x:c r="B524" s="59" t="str">
        <x:v>format_readable:tauron_pipeline_landing.html</x:v>
      </x:c>
      <x:c r="C524" s="59" t="str">
        <x:v>PASS</x:v>
      </x:c>
    </x:row>
    <x:row r="525" ht="30" customHeight="1">
      <x:c r="A525" s="59" t="str">
        <x:v>Kontrola lokalna</x:v>
      </x:c>
      <x:c r="B525" s="59" t="str">
        <x:v>pdf_text_layer:tauron_pipeline_retrieved_2026-09-10.pdf</x:v>
      </x:c>
      <x:c r="C525" s="59" t="str">
        <x:v>PASS</x:v>
      </x:c>
    </x:row>
    <x:row r="526" ht="30" customHeight="1">
      <x:c r="A526" s="59" t="str">
        <x:v>Kontrola lokalna</x:v>
      </x:c>
      <x:c r="B526" s="59" t="str">
        <x:v>format_readable:tauron_pipeline_retrieved_2026-09-10.pdf</x:v>
      </x:c>
      <x:c r="C526" s="59" t="str">
        <x:v>PASS</x:v>
      </x:c>
    </x:row>
    <x:row r="527" ht="30" customHeight="1">
      <x:c r="A527" s="59" t="str">
        <x:v>Kontrola lokalna</x:v>
      </x:c>
      <x:c r="B527" s="59" t="str">
        <x:v>pge_block_body_identified</x:v>
      </x:c>
      <x:c r="C527" s="59" t="str">
        <x:v>PASS</x:v>
      </x:c>
    </x:row>
    <x:row r="528" ht="30" customHeight="1">
      <x:c r="A528" s="59" t="str">
        <x:v>Kontrola lokalna</x:v>
      </x:c>
      <x:c r="B528" s="59" t="str">
        <x:v>pge_catalog_not_data_success</x:v>
      </x:c>
      <x:c r="C528" s="59" t="str">
        <x:v>PASS</x:v>
      </x:c>
    </x:row>
    <x:row r="529" ht="30" customHeight="1">
      <x:c r="A529" s="59" t="str">
        <x:v>Kontrola lokalna</x:v>
      </x:c>
      <x:c r="B529" s="59" t="str">
        <x:v>energa_header_june_date</x:v>
      </x:c>
      <x:c r="C529" s="59" t="str">
        <x:v>PASS</x:v>
      </x:c>
    </x:row>
    <x:row r="530" ht="30" customHeight="1">
      <x:c r="A530" s="59" t="str">
        <x:v>Kontrola lokalna</x:v>
      </x:c>
      <x:c r="B530" s="59" t="str">
        <x:v>energa_conflict_preserved</x:v>
      </x:c>
      <x:c r="C530" s="59" t="str">
        <x:v>PASS</x:v>
      </x:c>
    </x:row>
    <x:row r="531" ht="30" customHeight="1">
      <x:c r="A531" s="59" t="str">
        <x:v>Kontrola lokalna</x:v>
      </x:c>
      <x:c r="B531" s="59" t="str">
        <x:v>pse_nodes_shape</x:v>
      </x:c>
      <x:c r="C531" s="59" t="str">
        <x:v>PASS</x:v>
      </x:c>
    </x:row>
    <x:row r="532" ht="30" customHeight="1">
      <x:c r="A532" s="59" t="str">
        <x:v>Kontrola lokalna</x:v>
      </x:c>
      <x:c r="B532" s="59" t="str">
        <x:v>pse_nodes_pagination</x:v>
      </x:c>
      <x:c r="C532" s="59" t="str">
        <x:v>PASS</x:v>
      </x:c>
    </x:row>
    <x:row r="533" ht="30" customHeight="1">
      <x:c r="A533" s="59" t="str">
        <x:v>Kontrola lokalna</x:v>
      </x:c>
      <x:c r="B533" s="59" t="str">
        <x:v>pse_redispatch_causes</x:v>
      </x:c>
      <x:c r="C533" s="59" t="str">
        <x:v>PASS</x:v>
      </x:c>
    </x:row>
    <x:row r="534" ht="30" customHeight="1">
      <x:c r="A534" s="59" t="str">
        <x:v>Kontrola lokalna</x:v>
      </x:c>
      <x:c r="B534" s="59" t="str">
        <x:v>pse_redispatch_null_preserved</x:v>
      </x:c>
      <x:c r="C534" s="59" t="str">
        <x:v>PASS</x:v>
      </x:c>
    </x:row>
    <x:row r="535" ht="30" customHeight="1">
      <x:c r="A535" s="59" t="str">
        <x:v>Kontrola lokalna</x:v>
      </x:c>
      <x:c r="B535" s="59" t="str">
        <x:v>pse_flows_sections</x:v>
      </x:c>
      <x:c r="C535" s="59" t="str">
        <x:v>PASS</x:v>
      </x:c>
    </x:row>
    <x:row r="536" ht="30" customHeight="1">
      <x:c r="A536" s="59" t="str">
        <x:v>Kontrola lokalna</x:v>
      </x:c>
      <x:c r="B536" s="59" t="str">
        <x:v>energy_charts_v2_timeseries_shape</x:v>
      </x:c>
      <x:c r="C536" s="59" t="str">
        <x:v>PASS</x:v>
      </x:c>
    </x:row>
    <x:row r="537" ht="30" customHeight="1">
      <x:c r="A537" s="59" t="str">
        <x:v>Kontrola lokalna</x:v>
      </x:c>
      <x:c r="B537" s="59" t="str">
        <x:v>energy_charts_v2_series_keys</x:v>
      </x:c>
      <x:c r="C537" s="59" t="str">
        <x:v>PASS</x:v>
      </x:c>
    </x:row>
    <x:row r="538" ht="30" customHeight="1">
      <x:c r="A538" s="59" t="str">
        <x:v>Kontrola lokalna</x:v>
      </x:c>
      <x:c r="B538" s="59" t="str">
        <x:v>energy_charts_v2_country_unit</x:v>
      </x:c>
      <x:c r="C538" s="59" t="str">
        <x:v>PASS</x:v>
      </x:c>
    </x:row>
    <x:row r="539" ht="30" customHeight="1">
      <x:c r="A539" s="59" t="str">
        <x:v>Kontrola lokalna</x:v>
      </x:c>
      <x:c r="B539" s="59" t="str">
        <x:v>energy_charts_v2_license_metadata</x:v>
      </x:c>
      <x:c r="C539" s="59" t="str">
        <x:v>PASS</x:v>
      </x:c>
    </x:row>
    <x:row r="540" ht="30" customHeight="1">
      <x:c r="A540" s="59" t="str">
        <x:v>Kontrola lokalna</x:v>
      </x:c>
      <x:c r="B540" s="59" t="str">
        <x:v>openapi_contract:pse_openapi.json</x:v>
      </x:c>
      <x:c r="C540" s="59" t="str">
        <x:v>PASS</x:v>
      </x:c>
    </x:row>
    <x:row r="541" ht="30" customHeight="1">
      <x:c r="A541" s="59" t="str">
        <x:v>Kontrola lokalna</x:v>
      </x:c>
      <x:c r="B541" s="59" t="str">
        <x:v>openapi_contract:energy_charts_openapi.json</x:v>
      </x:c>
      <x:c r="C541" s="59" t="str">
        <x:v>PASS</x:v>
      </x:c>
    </x:row>
    <x:row r="542" ht="30" customHeight="1">
      <x:c r="A542" s="59" t="str">
        <x:v>Kontrola lokalna</x:v>
      </x:c>
      <x:c r="B542" s="59" t="str">
        <x:v>local_link:README.md:docs/01_data_research.md</x:v>
      </x:c>
      <x:c r="C542" s="59" t="str">
        <x:v>PASS</x:v>
      </x:c>
    </x:row>
    <x:row r="543" ht="30" customHeight="1">
      <x:c r="A543" s="59" t="str">
        <x:v>Kontrola lokalna</x:v>
      </x:c>
      <x:c r="B543" s="59" t="str">
        <x:v>local_link:README.md:docs/data_sources.md</x:v>
      </x:c>
      <x:c r="C543" s="59" t="str">
        <x:v>PASS</x:v>
      </x:c>
    </x:row>
    <x:row r="544" ht="30" customHeight="1">
      <x:c r="A544" s="59" t="str">
        <x:v>Kontrola lokalna</x:v>
      </x:c>
      <x:c r="B544" s="59" t="str">
        <x:v>local_link:README.md:data/catalog/data_sources.json</x:v>
      </x:c>
      <x:c r="C544" s="59" t="str">
        <x:v>PASS</x:v>
      </x:c>
    </x:row>
    <x:row r="545" ht="30" customHeight="1">
      <x:c r="A545" s="59" t="str">
        <x:v>Kontrola lokalna</x:v>
      </x:c>
      <x:c r="B545" s="59" t="str">
        <x:v>local_link:README.md:docs/02_feasibility_matrix.md</x:v>
      </x:c>
      <x:c r="C545" s="59" t="str">
        <x:v>PASS</x:v>
      </x:c>
    </x:row>
    <x:row r="546" ht="30" customHeight="1">
      <x:c r="A546" s="59" t="str">
        <x:v>Kontrola lokalna</x:v>
      </x:c>
      <x:c r="B546" s="59" t="str">
        <x:v>local_link:README.md:docs/03_system_architecture.md</x:v>
      </x:c>
      <x:c r="C546" s="59" t="str">
        <x:v>PASS</x:v>
      </x:c>
    </x:row>
    <x:row r="547" ht="30" customHeight="1">
      <x:c r="A547" s="59" t="str">
        <x:v>Kontrola lokalna</x:v>
      </x:c>
      <x:c r="B547" s="59" t="str">
        <x:v>local_link:README.md:docs/04_data_model.md</x:v>
      </x:c>
      <x:c r="C547" s="59" t="str">
        <x:v>PASS</x:v>
      </x:c>
    </x:row>
    <x:row r="548" ht="30" customHeight="1">
      <x:c r="A548" s="59" t="str">
        <x:v>Kontrola lokalna</x:v>
      </x:c>
      <x:c r="B548" s="59" t="str">
        <x:v>local_link:README.md:docs/05_grid_capacity_methodology.md</x:v>
      </x:c>
      <x:c r="C548" s="59" t="str">
        <x:v>PASS</x:v>
      </x:c>
    </x:row>
    <x:row r="549" ht="30" customHeight="1">
      <x:c r="A549" s="59" t="str">
        <x:v>Kontrola lokalna</x:v>
      </x:c>
      <x:c r="B549" s="59" t="str">
        <x:v>local_link:README.md:docs/06_scoring_methodology.md</x:v>
      </x:c>
      <x:c r="C549" s="59" t="str">
        <x:v>PASS</x:v>
      </x:c>
    </x:row>
    <x:row r="550" ht="30" customHeight="1">
      <x:c r="A550" s="59" t="str">
        <x:v>Kontrola lokalna</x:v>
      </x:c>
      <x:c r="B550" s="59" t="str">
        <x:v>local_link:README.md:docs/07_data_quality.md</x:v>
      </x:c>
      <x:c r="C550" s="59" t="str">
        <x:v>PASS</x:v>
      </x:c>
    </x:row>
    <x:row r="551" ht="30" customHeight="1">
      <x:c r="A551" s="59" t="str">
        <x:v>Kontrola lokalna</x:v>
      </x:c>
      <x:c r="B551" s="59" t="str">
        <x:v>local_link:README.md:docs/08_roadmap.md</x:v>
      </x:c>
      <x:c r="C551" s="59" t="str">
        <x:v>PASS</x:v>
      </x:c>
    </x:row>
    <x:row r="552" ht="30" customHeight="1">
      <x:c r="A552" s="59" t="str">
        <x:v>Kontrola lokalna</x:v>
      </x:c>
      <x:c r="B552" s="59" t="str">
        <x:v>local_link:README.md:docs/decision_log.md</x:v>
      </x:c>
      <x:c r="C552" s="59" t="str">
        <x:v>PASS</x:v>
      </x:c>
    </x:row>
    <x:row r="553" ht="30" customHeight="1">
      <x:c r="A553" s="59" t="str">
        <x:v>Kontrola lokalna</x:v>
      </x:c>
      <x:c r="B553" s="59" t="str">
        <x:v>local_link:README.md:docs/git_workflow.md</x:v>
      </x:c>
      <x:c r="C553" s="59" t="str">
        <x:v>PASS</x:v>
      </x:c>
    </x:row>
    <x:row r="554" ht="30" customHeight="1">
      <x:c r="A554" s="59" t="str">
        <x:v>Kontrola lokalna</x:v>
      </x:c>
      <x:c r="B554" s="59" t="str">
        <x:v>local_link:README.md:docs/reproducibility.md</x:v>
      </x:c>
      <x:c r="C554" s="59" t="str">
        <x:v>PASS</x:v>
      </x:c>
    </x:row>
    <x:row r="555" ht="30" customHeight="1">
      <x:c r="A555" s="59" t="str">
        <x:v>Kontrola lokalna</x:v>
      </x:c>
      <x:c r="B555" s="59" t="str">
        <x:v>local_link:01_data_research.md:data_sources.md</x:v>
      </x:c>
      <x:c r="C555" s="59" t="str">
        <x:v>PASS</x:v>
      </x:c>
    </x:row>
    <x:row r="556" ht="30" customHeight="1">
      <x:c r="A556" s="59" t="str">
        <x:v>Kontrola lokalna</x:v>
      </x:c>
      <x:c r="B556" s="59" t="str">
        <x:v>local_link:01_data_research.md:02_feasibility_matrix.md</x:v>
      </x:c>
      <x:c r="C556" s="59" t="str">
        <x:v>PASS</x:v>
      </x:c>
    </x:row>
    <x:row r="557" ht="30" customHeight="1">
      <x:c r="A557" s="59" t="str">
        <x:v>Kontrola lokalna</x:v>
      </x:c>
      <x:c r="B557" s="59" t="str">
        <x:v>local_link:02_feasibility_matrix.md:01_data_research.md</x:v>
      </x:c>
      <x:c r="C557" s="59" t="str">
        <x:v>PASS</x:v>
      </x:c>
    </x:row>
    <x:row r="558" ht="30" customHeight="1">
      <x:c r="A558" s="59" t="str">
        <x:v>Kontrola lokalna</x:v>
      </x:c>
      <x:c r="B558" s="59" t="str">
        <x:v>local_link:02_feasibility_matrix.md:data_sources.md</x:v>
      </x:c>
      <x:c r="C558" s="59" t="str">
        <x:v>PASS</x:v>
      </x:c>
    </x:row>
    <x:row r="559" ht="30" customHeight="1">
      <x:c r="A559" s="59" t="str">
        <x:v>Kontrola lokalna</x:v>
      </x:c>
      <x:c r="B559" s="59" t="str">
        <x:v>local_link:05_grid_capacity_methodology.md:01_data_research.md</x:v>
      </x:c>
      <x:c r="C559" s="59" t="str">
        <x:v>PASS</x:v>
      </x:c>
    </x:row>
    <x:row r="560" ht="30" customHeight="1">
      <x:c r="A560" s="59" t="str">
        <x:v>Kontrola lokalna</x:v>
      </x:c>
      <x:c r="B560" s="59" t="str">
        <x:v>local_link:data_sources.md:01_data_research.md</x:v>
      </x:c>
      <x:c r="C560" s="59" t="str">
        <x:v>PASS</x:v>
      </x:c>
    </x:row>
    <x:row r="561" ht="30" customHeight="1">
      <x:c r="A561" s="59" t="str">
        <x:v>Kontrola lokalna</x:v>
      </x:c>
      <x:c r="B561" s="59" t="str">
        <x:v>local_link:discovery_log.md:01_data_research.md</x:v>
      </x:c>
      <x:c r="C561" s="59" t="str">
        <x:v>PASS</x:v>
      </x:c>
    </x:row>
    <x:row r="562" ht="30" customHeight="1">
      <x:c r="A562" s="59" t="str">
        <x:v>Kontrola lokalna</x:v>
      </x:c>
      <x:c r="B562" s="59" t="str">
        <x:v>local_link:discovery_log.md:data_sources.md</x:v>
      </x:c>
      <x:c r="C562" s="59" t="str">
        <x:v>PASS</x:v>
      </x:c>
    </x:row>
    <x:row r="563" ht="30" customHeight="1">
      <x:c r="A563" s="59" t="str">
        <x:v>Kontrola lokalna</x:v>
      </x:c>
      <x:c r="B563" s="59" t="str">
        <x:v>local_link:git_workflow.md:reproducibility.md</x:v>
      </x:c>
      <x:c r="C563" s="59" t="str">
        <x:v>PASS</x:v>
      </x:c>
    </x:row>
    <x:row r="564" ht="30" customHeight="1">
      <x:c r="A564" s="59" t="str">
        <x:v>Kontrola lokalna</x:v>
      </x:c>
      <x:c r="B564" s="59" t="str">
        <x:v>local_link:reproducibility.md:../data/catalog/archive_manifest.json</x:v>
      </x:c>
      <x:c r="C564" s="59" t="str">
        <x:v>PASS</x:v>
      </x:c>
    </x:row>
    <x:row r="565" ht="30" customHeight="1">
      <x:c r="A565" s="59" t="str">
        <x:v>Kontrola lokalna</x:v>
      </x:c>
      <x:c r="B565" s="59" t="str">
        <x:v>python_syntax:build_research_catalog.py</x:v>
      </x:c>
      <x:c r="C565" s="59" t="str">
        <x:v>PASS</x:v>
      </x:c>
    </x:row>
    <x:row r="566" ht="30" customHeight="1">
      <x:c r="A566" s="59" t="str">
        <x:v>Kontrola lokalna</x:v>
      </x:c>
      <x:c r="B566" s="59" t="str">
        <x:v>python_syntax:research_archive.py</x:v>
      </x:c>
      <x:c r="C566" s="59" t="str">
        <x:v>PASS</x:v>
      </x:c>
    </x:row>
    <x:row r="567" ht="30" customHeight="1">
      <x:c r="A567" s="59" t="str">
        <x:v>Kontrola lokalna</x:v>
      </x:c>
      <x:c r="B567" s="59" t="str">
        <x:v>python_syntax:validate_research.py</x:v>
      </x:c>
      <x:c r="C567" s="59" t="str">
        <x:v>PASS</x:v>
      </x:c>
    </x:row>
  </x:sheetData>
  <x:pageMargins left="0.7" right="0.7" top="0.75" bottom="0.75" header="0.3" footer="0.3"/>
  <x:tableParts count="1">
    <x:tablePart xmlns:r="http://schemas.openxmlformats.org/officeDocument/2006/relationships" r:id="R4da06d5aefce4ff2"/>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46276.94124891204</x:v>
      </x:c>
    </x:row>
    <x:row r="8" ht="30" customHeight="1">
      <x:c r="A8" s="59" t="str">
        <x:v>Stan rejestru TODO</x:v>
      </x:c>
      <x:c r="B8" s="60" t="n">
        <x:v>46277</x:v>
      </x:c>
    </x:row>
    <x:row r="9" ht="30" customHeight="1">
      <x:c r="A9" s="59" t="str">
        <x:v>Commit widoczny przy generowaniu</x:v>
      </x:c>
      <x:c r="B9" s="59" t="str">
        <x:v>5fddfbb58a41a66b132d7e399f990a234cb6b030</x:v>
      </x:c>
    </x:row>
    <x:row r="10" ht="30" customHeight="1">
      <x:c r="A10" s="59" t="str">
        <x:v>SHA-256 zestawu wejść</x:v>
      </x:c>
      <x:c r="B10" s="59" t="str">
        <x:v>de31eb7b693c3b9ac570487fe6105af7ee3b66fe779690ddac84f47c5a27fc6b</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cdc1bc39a2b6f82cd1b48f48146f3412d3f7f41b4f0208b0067dd32535685ffb; 20787 bajtów</x:v>
      </x:c>
    </x:row>
    <x:row r="22" ht="30" customHeight="1">
      <x:c r="A22" s="59" t="str">
        <x:v>data/catalog/data_sources.json</x:v>
      </x:c>
      <x:c r="B22" s="59" t="str">
        <x:v>SHA-256 dac3703db9787152b22205b98a1d915b0f68efb9faabf90b07691c7031a578ed; 174419 bajtów</x:v>
      </x:c>
    </x:row>
    <x:row r="23" ht="30" customHeight="1">
      <x:c r="A23" s="59" t="str">
        <x:v>data/catalog/research_validation.json</x:v>
      </x:c>
      <x:c r="B23" s="59" t="str">
        <x:v>SHA-256 426aa4d4c6591f1fc5e6e09b4b79ccc1050d4b81c93809d10521d0b3a1f0d4ba; 61214 bajtów</x:v>
      </x:c>
    </x:row>
    <x:row r="24" ht="30" customHeight="1">
      <x:c r="A24" s="59" t="str">
        <x:v>data/catalog/archive_manifest.json</x:v>
      </x:c>
      <x:c r="B24" s="59" t="str">
        <x:v>SHA-256 db9d4a636e3ecfd47b4bfb690a61d61b8a6853fef35dcb945a671d99d1f16d48; 6867 bajtów</x:v>
      </x:c>
    </x:row>
    <x:row r="25" ht="30" customHeight="1">
      <x:c r="A25" s="59" t="str">
        <x:v>README.md</x:v>
      </x:c>
      <x:c r="B25" s="59" t="str">
        <x:v>SHA-256 cb3cdaf58d479eb7eb3bdf6cbe7bc329e0a1340c3d2c8ff41eb4dc0dae2fc419; 3247 bajtów</x:v>
      </x:c>
    </x:row>
    <x:row r="26" ht="30" customHeight="1">
      <x:c r="A26" s="59" t="str">
        <x:v>docs/01_data_research.md</x:v>
      </x:c>
      <x:c r="B26" s="59" t="str">
        <x:v>SHA-256 b6862b8046471f8b44b0428e6ee43a02f32abf86a155047c8ce4fca61dde309b; 40997 bajtów</x:v>
      </x:c>
    </x:row>
    <x:row r="27" ht="30" customHeight="1">
      <x:c r="A27" s="59" t="str">
        <x:v>docs/02_feasibility_matrix.md</x:v>
      </x:c>
      <x:c r="B27" s="59" t="str">
        <x:v>SHA-256 adbf7284bd5e5793a2334f71956a5cdca52e583dfc4ffb3cb04b7c02d491d3b0; 6602 bajtów</x:v>
      </x:c>
    </x:row>
    <x:row r="28" ht="30" customHeight="1">
      <x:c r="A28" s="59" t="str">
        <x:v>docs/03_system_architecture.md</x:v>
      </x:c>
      <x:c r="B28" s="59" t="str">
        <x:v>SHA-256 84c4a3b458e65fac551238e50d54a4e05de61e66316fc2292af7a0f95eb5e0b8; 3000 bajtów</x:v>
      </x:c>
    </x:row>
    <x:row r="29" ht="30" customHeight="1">
      <x:c r="A29" s="59" t="str">
        <x:v>docs/04_data_model.md</x:v>
      </x:c>
      <x:c r="B29" s="59" t="str">
        <x:v>SHA-256 3b08e7a9e34132f25eaee44a4de1cc4f5c0d0d6a45cf64de188f28fcffb23473; 3485 bajtów</x:v>
      </x:c>
    </x:row>
    <x:row r="30" ht="30" customHeight="1">
      <x:c r="A30" s="59" t="str">
        <x:v>docs/05_grid_capacity_methodology.md</x:v>
      </x:c>
      <x:c r="B30" s="59" t="str">
        <x:v>SHA-256 bb567d9f754aafbd1b71a174b574e50c5bdbbd783d73ad8a67641e8659db0d82; 1787 bajtów</x:v>
      </x:c>
    </x:row>
    <x:row r="31" ht="30" customHeight="1">
      <x:c r="A31" s="59" t="str">
        <x:v>docs/06_scoring_methodology.md</x:v>
      </x:c>
      <x:c r="B31" s="59" t="str">
        <x:v>SHA-256 eb1cc874f964a8968ea08d9cef93ec8e02081a8b2b37836042426c940b351d7d; 1857 bajtów</x:v>
      </x:c>
    </x:row>
    <x:row r="32" ht="30" customHeight="1">
      <x:c r="A32" s="59" t="str">
        <x:v>docs/07_data_quality.md</x:v>
      </x:c>
      <x:c r="B32" s="59" t="str">
        <x:v>SHA-256 b92dc582206e53ac60600774d7d9f4a1199a4d0092606fdcd01d2f450b1249dd; 5298 bajtów</x:v>
      </x:c>
    </x:row>
    <x:row r="33" ht="30" customHeight="1">
      <x:c r="A33" s="59" t="str">
        <x:v>docs/08_roadmap.md</x:v>
      </x:c>
      <x:c r="B33" s="59" t="str">
        <x:v>SHA-256 e0a7ed406410c129fff6df65be213addcc1f254601336d6e9ec01c2d69a8852e; 2244 bajtów</x:v>
      </x:c>
    </x:row>
    <x:row r="34" ht="30" customHeight="1">
      <x:c r="A34" s="59" t="str">
        <x:v>docs/gpz_pipeline.md</x:v>
      </x:c>
      <x:c r="B34" s="59" t="str">
        <x:v>SHA-256 73277e2a8be6353fd8d8ab6f8c61fdb67fa6feb9428c7a9be8813dbc51171b40; 4669 bajtów</x:v>
      </x:c>
    </x:row>
    <x:row r="35" ht="30" customHeight="1">
      <x:c r="A35" s="59" t="str">
        <x:v>docs/decision_log.md</x:v>
      </x:c>
      <x:c r="B35" s="59" t="str">
        <x:v>SHA-256 22652db5d9221e42d75fd2a5893d48732507b21a31e224314072c843336dd1e0; 11436 bajtów</x:v>
      </x:c>
    </x:row>
    <x:row r="36" ht="30" customHeight="1">
      <x:c r="A36" s="59" t="str">
        <x:v>docs/discovery_log.md</x:v>
      </x:c>
      <x:c r="B36" s="59" t="str">
        <x:v>SHA-256 e1049cda6e471993bb574f4a6ff8c95479402f653f43b24a9605041cf86eafbc; 4217 bajtów</x:v>
      </x:c>
    </x:row>
    <x:row r="37" ht="30" customHeight="1">
      <x:c r="A37" s="59" t="str">
        <x:v>docs/reproducibility.md</x:v>
      </x:c>
      <x:c r="B37" s="59" t="str">
        <x:v>SHA-256 c6ce73214c90ecd2f6da759331507f05c6231d3ecebc0517c56f4992916d604c; 3864 bajtów</x:v>
      </x:c>
    </x:row>
    <x:row r="38" ht="30" customHeight="1">
      <x:c r="A38" s="59" t="str">
        <x:v>docs/git_workflow.md</x:v>
      </x:c>
      <x:c r="B38" s="59" t="str">
        <x:v>SHA-256 5f3a11ae855ab526329ecaeb5e311ed9a86342114be5f29e72e214476d51a72b; 4545 bajtów</x:v>
      </x:c>
    </x:row>
    <x:row r="39" ht="30" customHeight="1">
      <x:c r="A39" s="59" t="str">
        <x:v>docs/project_reporting.md</x:v>
      </x:c>
      <x:c r="B39" s="59" t="str">
        <x:v>SHA-256 40a09cd6957e08c6e9c38369eb6cce85f17bf63a355303975f4f376bb50f9b83; 4645 bajtów</x:v>
      </x:c>
    </x:row>
    <x:row r="40" ht="30" customHeight="1">
      <x:c r="A40" s="59" t="str">
        <x:v>docs/09_pilot_scope.md</x:v>
      </x:c>
      <x:c r="B40" s="59" t="str">
        <x:v>SHA-256 626a9d282a813c8159599775b5eadf78e877f5eb263f3b52da4cf0024b4e2989; 2277 bajtów</x:v>
      </x:c>
    </x:row>
    <x:row r="41" ht="30" customHeight="1">
      <x:c r="A41" s="59" t="str">
        <x:v>docs/10_radkowice_pilot.md</x:v>
      </x:c>
      <x:c r="B41" s="59" t="str">
        <x:v>SHA-256 fc561d66d3da9f0adbff8c9b9d606d3b6662b2cb9a5c4501c131fb55fe262f14; 6036 bajtów</x:v>
      </x:c>
    </x:row>
    <x:row r="42" ht="30" customHeight="1">
      <x:c r="A42" s="59" t="str">
        <x:v>docs/11_radkowice_evidence_model.md</x:v>
      </x:c>
      <x:c r="B42" s="59" t="str">
        <x:v>SHA-256 5cd11d18db7bf9895571e809cf64b1122ad0009d58d23a2e6141912f1c04120b; 4672 bajtów</x:v>
      </x:c>
    </x:row>
    <x:row r="43" ht="30" customHeight="1">
      <x:c r="A43" s="59" t="str">
        <x:v>docs/12_radkowice_110kv_research.md</x:v>
      </x:c>
      <x:c r="B43" s="59" t="str">
        <x:v>SHA-256 ef234cda866ed99b939d647fa8bd4c316965f457daa2ea3c2f97a0c797e8f4c8; 2087 bajtów</x:v>
      </x:c>
    </x:row>
    <x:row r="44" ht="30" customHeight="1">
      <x:c r="A44" s="59" t="str">
        <x:v>docs/13_shared_connection_model.md</x:v>
      </x:c>
      <x:c r="B44" s="59" t="str">
        <x:v>SHA-256 4ea91bc28e4e9dcb78b6ca09e130fbc3c5332f91b1f487037a5c953233e214b7; 5114 bajtów</x:v>
      </x:c>
    </x:row>
    <x:row r="45" ht="30" customHeight="1">
      <x:c r="A45" s="59" t="str">
        <x:v>docs/private_sources.md</x:v>
      </x:c>
      <x:c r="B45" s="59" t="str">
        <x:v>SHA-256 7f5b4f7fa69d4f3e21b1d60cb98b0578aaf4e428671472289cfd66338842a676; 1460 bajtów</x:v>
      </x:c>
    </x:row>
    <x:row r="46" ht="30" customHeight="1">
      <x:c r="A46" s="59" t="str">
        <x:v>scripts/report_data.mjs</x:v>
      </x:c>
      <x:c r="B46" s="59" t="str">
        <x:v>SHA-256 fd499f4d1aebf32f5d83808953172966267731c4a41483a3365bd6ddf20690b7; 7849 bajtów</x:v>
      </x:c>
    </x:row>
    <x:row r="47" ht="30" customHeight="1">
      <x:c r="A47" s="59" t="str">
        <x:v>scripts/generate_project_report.mjs</x:v>
      </x:c>
      <x:c r="B47" s="59" t="str">
        <x:v>SHA-256 50318cf8c052dd544e96d76a3f28adf8d0fdc7711f66a7cb4d0cfb6e906a0963; 17888 bajtów</x:v>
      </x:c>
    </x:row>
    <x:row r="48" ht="30" customHeight="1">
      <x:c r="A48" s="59" t="str">
        <x:v>scripts/generate_project_report.ps1</x:v>
      </x:c>
      <x:c r="B48" s="59" t="str">
        <x:v>SHA-256 18664ffdf769acf42dce0d589a54a313d2f16e5732617b6bf8e31a0545b0ca4d; 1950 bajtów</x:v>
      </x:c>
    </x:row>
    <x:row r="49" ht="30" customHeight="1">
      <x:c r="A49" s="59" t="str">
        <x:v>scripts/validate_project_report.py</x:v>
      </x:c>
      <x:c r="B49" s="59" t="str">
        <x:v>SHA-256 6754de75cbb11913da1dcba4f01f3c898f5069a7c31d8046572094fd43c13581; 3949 bajtów</x:v>
      </x:c>
    </x:row>
    <x:row r="50" ht="30" customHeight="1">
      <x:c r="A50" s="59" t="str">
        <x:v>data/reference/project_tracker_template.xlsx</x:v>
      </x:c>
      <x:c r="B50"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2a324744bffa4a9d"/>
  </x:tableParts>
</x:worksheet>
</file>