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f01ba522c84098" /></Relationships>
</file>

<file path=xl/workbook.xml><?xml version="1.0" encoding="utf-8"?>
<x:workbook xmlns:x="http://schemas.openxmlformats.org/spreadsheetml/2006/main">
  <x:sheets>
    <x:sheet xmlns:r="http://schemas.openxmlformats.org/officeDocument/2006/relationships" name="Project Plan" sheetId="1" r:id="Rbbb810e8edfa4170"/>
    <x:sheet xmlns:r="http://schemas.openxmlformats.org/officeDocument/2006/relationships" name="Podsumowanie" sheetId="2" r:id="R827b2331f1b44818"/>
    <x:sheet xmlns:r="http://schemas.openxmlformats.org/officeDocument/2006/relationships" name="TODO" sheetId="3" r:id="R6013f7a0746d4042"/>
    <x:sheet xmlns:r="http://schemas.openxmlformats.org/officeDocument/2006/relationships" name="Wykonalność" sheetId="4" r:id="Rbc383ffde814461e"/>
    <x:sheet xmlns:r="http://schemas.openxmlformats.org/officeDocument/2006/relationships" name="Źródła" sheetId="5" r:id="R0bc1485df65f4637"/>
    <x:sheet xmlns:r="http://schemas.openxmlformats.org/officeDocument/2006/relationships" name="Źródła szczegóły" sheetId="6" r:id="R2fb5556d510c43e0"/>
    <x:sheet xmlns:r="http://schemas.openxmlformats.org/officeDocument/2006/relationships" name="Ryzyka" sheetId="7" r:id="Rd7e66e4f1df244b0"/>
    <x:sheet xmlns:r="http://schemas.openxmlformats.org/officeDocument/2006/relationships" name="Dokumentacja" sheetId="8" r:id="R41104ea209344495"/>
    <x:sheet xmlns:r="http://schemas.openxmlformats.org/officeDocument/2006/relationships" name="Audyt" sheetId="9" r:id="Rba3fd93d09c347d9"/>
    <x:sheet xmlns:r="http://schemas.openxmlformats.org/officeDocument/2006/relationships" name="Odtwarzanie" sheetId="10" r:id="R87c12b29836742c2"/>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<x:sst xmlns:x="http://schemas.openxmlformats.org/spreadsheetml/2006/main">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</x:sst>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4338c258434b33" /><Relationship Type="http://schemas.openxmlformats.org/officeDocument/2006/relationships/theme" Target="/xl/theme/theme1.xml" Id="R3e6861440a664772" /><Relationship Type="http://schemas.openxmlformats.org/officeDocument/2006/relationships/sharedStrings" Target="/xl/sharedStrings.xml" Id="R14f4148d88f5427c" /><Relationship Type="http://schemas.openxmlformats.org/officeDocument/2006/relationships/worksheet" Target="/xl/worksheets/sheet1.xml" Id="Rbbb810e8edfa4170" /><Relationship Type="http://schemas.openxmlformats.org/officeDocument/2006/relationships/worksheet" Target="/xl/worksheets/sheet2.xml" Id="R827b2331f1b44818" /><Relationship Type="http://schemas.openxmlformats.org/officeDocument/2006/relationships/worksheet" Target="/xl/worksheets/sheet3.xml" Id="R6013f7a0746d4042" /><Relationship Type="http://schemas.openxmlformats.org/officeDocument/2006/relationships/worksheet" Target="/xl/worksheets/sheet4.xml" Id="Rbc383ffde814461e" /><Relationship Type="http://schemas.openxmlformats.org/officeDocument/2006/relationships/worksheet" Target="/xl/worksheets/sheet5.xml" Id="R0bc1485df65f4637" /><Relationship Type="http://schemas.openxmlformats.org/officeDocument/2006/relationships/worksheet" Target="/xl/worksheets/sheet6.xml" Id="R2fb5556d510c43e0" /><Relationship Type="http://schemas.openxmlformats.org/officeDocument/2006/relationships/worksheet" Target="/xl/worksheets/sheet7.xml" Id="Rd7e66e4f1df244b0" /><Relationship Type="http://schemas.openxmlformats.org/officeDocument/2006/relationships/worksheet" Target="/xl/worksheets/sheet8.xml" Id="R41104ea209344495" /><Relationship Type="http://schemas.openxmlformats.org/officeDocument/2006/relationships/worksheet" Target="/xl/worksheets/sheet9.xml" Id="Rba3fd93d09c347d9" /><Relationship Type="http://schemas.openxmlformats.org/officeDocument/2006/relationships/worksheet" Target="/xl/worksheets/sheet10.xml" Id="R87c12b29836742c2" /></Relationships>
</file>

<file path=xl/tables/table1.xml><?xml version="1.0" encoding="utf-8"?>
<x:table xmlns:x="http://schemas.openxmlformats.org/spreadsheetml/2006/main" id="8" name="ReportTable1" displayName="ReportTable1" ref="A6:C21" headerRowCount="1" totalsRowCount="0" totalsRowShown="0">
  <x:autoFilter ref="A6:C21"/>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N36" headerRowCount="1" totalsRowCount="0" totalsRowShown="0">
  <x:autoFilter ref="A6:N36"/>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3.xml><?xml version="1.0" encoding="utf-8"?>
<x:table xmlns:x="http://schemas.openxmlformats.org/spreadsheetml/2006/main" id="4" name="ReportTable3" displayName="ReportTable3"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4.xml><?xml version="1.0" encoding="utf-8"?>
<x:table xmlns:x="http://schemas.openxmlformats.org/spreadsheetml/2006/main" id="2" name="ReportTable4" displayName="ReportTable4" ref="A6:J62" headerRowCount="1" totalsRowCount="0" totalsRowShown="0">
  <x:autoFilter ref="A6:J62"/>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C2424" headerRowCount="1" totalsRowCount="0" totalsRowShown="0">
  <x:autoFilter ref="A6:C2424"/>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6.xml><?xml version="1.0" encoding="utf-8"?>
<x:table xmlns:x="http://schemas.openxmlformats.org/spreadsheetml/2006/main" id="5" name="ReportTable6" displayName="ReportTable6" ref="A6:E65" headerRowCount="1" totalsRowCount="0" totalsRowShown="0">
  <x:autoFilter ref="A6:E65"/>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C345" headerRowCount="1" totalsRowCount="0" totalsRowShown="0">
  <x:autoFilter ref="A6:C345"/>
  <x:tableColumns count="3">
    <x:tableColumn id="1" name="Dokument"/>
    <x:tableColumn id="2" name="Sekcja"/>
    <x:tableColumn id="3" name="Treść"/>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67" headerRowCount="1" totalsRowCount="0" totalsRowShown="0">
  <x:autoFilter ref="A6:C567"/>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9.xml><?xml version="1.0" encoding="utf-8"?>
<x:table xmlns:x="http://schemas.openxmlformats.org/spreadsheetml/2006/main" id="9" name="ReportTable9" displayName="ReportTable9" ref="A6:B44" headerRowCount="1" totalsRowCount="0" totalsRowShown="0">
  <x:autoFilter ref="A6:B44"/>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c92727243745c3" /></Relationships>
</file>

<file path=xl/worksheets/_rels/sheet3.xml.rels>&#65279;<?xml version="1.0" encoding="utf-8"?><Relationships xmlns="http://schemas.openxmlformats.org/package/2006/relationships"><Relationship Type="http://schemas.openxmlformats.org/officeDocument/2006/relationships/table" Target="/xl/tables/table2.xml" Id="R9631508b9bb14cf5" /></Relationships>
</file>

<file path=xl/worksheets/_rels/sheet4.xml.rels>&#65279;<?xml version="1.0" encoding="utf-8"?><Relationships xmlns="http://schemas.openxmlformats.org/package/2006/relationships"><Relationship Type="http://schemas.openxmlformats.org/officeDocument/2006/relationships/table" Target="/xl/tables/table3.xml" Id="R08feb56efbd34a8b" /></Relationships>
</file>

<file path=xl/worksheets/_rels/sheet5.xml.rels>&#65279;<?xml version="1.0" encoding="utf-8"?><Relationships xmlns="http://schemas.openxmlformats.org/package/2006/relationships"><Relationship Type="http://schemas.openxmlformats.org/officeDocument/2006/relationships/table" Target="/xl/tables/table4.xml" Id="R87d1b09e54f440ec" /></Relationships>
</file>

<file path=xl/worksheets/_rels/sheet6.xml.rels>&#65279;<?xml version="1.0" encoding="utf-8"?><Relationships xmlns="http://schemas.openxmlformats.org/package/2006/relationships"><Relationship Type="http://schemas.openxmlformats.org/officeDocument/2006/relationships/table" Target="/xl/tables/table5.xml" Id="Re43d4c0170e54dac" /></Relationships>
</file>

<file path=xl/worksheets/_rels/sheet7.xml.rels>&#65279;<?xml version="1.0" encoding="utf-8"?><Relationships xmlns="http://schemas.openxmlformats.org/package/2006/relationships"><Relationship Type="http://schemas.openxmlformats.org/officeDocument/2006/relationships/table" Target="/xl/tables/table6.xml" Id="R5135976962d74706" /></Relationships>
</file>

<file path=xl/worksheets/_rels/sheet8.xml.rels>&#65279;<?xml version="1.0" encoding="utf-8"?><Relationships xmlns="http://schemas.openxmlformats.org/package/2006/relationships"><Relationship Type="http://schemas.openxmlformats.org/officeDocument/2006/relationships/table" Target="/xl/tables/table7.xml" Id="R7b793b1d291f4123" /></Relationships>
</file>

<file path=xl/worksheets/_rels/sheet9.xml.rels>&#65279;<?xml version="1.0" encoding="utf-8"?><Relationships xmlns="http://schemas.openxmlformats.org/package/2006/relationships"><Relationship Type="http://schemas.openxmlformats.org/officeDocument/2006/relationships/table" Target="/xl/tables/table8.xml" Id="Re134da0dcae54f17" /></Relationships>
</file>

<file path=xl/worksheets/_rels/sheet10.xml.rels>&#65279;<?xml version="1.0" encoding="utf-8"?><Relationships xmlns="http://schemas.openxmlformats.org/package/2006/relationships"><Relationship Type="http://schemas.openxmlformats.org/officeDocument/2006/relationships/table" Target="/xl/tables/table9.xml" Id="Re36bef0045374cca"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46272</x:v>
      </x:c>
      <x:c r="I6" s="41">
        <x:v>46209</x:v>
      </x:c>
      <x:c r="J6" s="15"/>
      <x:c r="K6" s="42" t="n">
        <x:f>COUNTA('TODO'!A7:A36)</x:f>
        <x:v>30</x:v>
      </x:c>
      <x:c r="L6" s="43"/>
      <x:c r="M6" s="43"/>
      <x:c r="N6" s="44"/>
      <x:c r="O6" s="45" t="n">
        <x:f>COUNTIFS('TODO'!C7:C36,"Complete")</x:f>
        <x:v>6</x:v>
      </x:c>
      <x:c r="P6" s="46"/>
      <x:c r="Q6" s="46"/>
      <x:c r="R6" s="47"/>
      <x:c r="S6" s="35" t="n">
        <x:f>COUNTIFS('TODO'!C7:C36,"In Progress")</x:f>
        <x:v>0</x:v>
      </x:c>
      <x:c r="T6" s="36"/>
      <x:c r="U6" s="36"/>
      <x:c r="V6" s="37"/>
      <x:c r="W6" s="38" t="n">
        <x:f>COUNTIFS('TODO'!C7:C36,"At Risk")</x:f>
        <x:v>2</x:v>
      </x:c>
      <x:c r="X6" s="39"/>
      <x:c r="Y6" s="39"/>
      <x:c r="Z6" s="40"/>
      <x:c r="AA6" s="38" t="n">
        <x:f>COUNTIFS('TODO'!D7:D36,"P0")</x:f>
        <x:v>20</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46272</x:v>
      </x:c>
      <x:c r="L9" s="2" t="n">
        <x:f t="shared" ref="L9:AD9" si="0">K9+7</x:f>
        <x:v>46279</x:v>
      </x:c>
      <x:c r="M9" s="2" t="n">
        <x:f t="shared" si="0">L9+7</x:f>
        <x:v>46286</x:v>
      </x:c>
      <x:c r="N9" s="2" t="n">
        <x:f t="shared" si="0">M9+7</x:f>
        <x:v>46293</x:v>
      </x:c>
      <x:c r="O9" s="2" t="n">
        <x:f t="shared" si="0">N9+7</x:f>
        <x:v>46300</x:v>
      </x:c>
      <x:c r="P9" s="2" t="n">
        <x:f t="shared" si="0">O9+7</x:f>
        <x:v>46307</x:v>
      </x:c>
      <x:c r="Q9" s="2" t="n">
        <x:f t="shared" si="0">P9+7</x:f>
        <x:v>46314</x:v>
      </x:c>
      <x:c r="R9" s="2" t="n">
        <x:f t="shared" si="0">Q9+7</x:f>
        <x:v>46321</x:v>
      </x:c>
      <x:c r="S9" s="2" t="n">
        <x:f t="shared" si="0">R9+7</x:f>
        <x:v>46328</x:v>
      </x:c>
      <x:c r="T9" s="2" t="n">
        <x:f t="shared" si="0">S9+7</x:f>
        <x:v>46335</x:v>
      </x:c>
      <x:c r="U9" s="2" t="n">
        <x:f t="shared" si="0">T9+7</x:f>
        <x:v>46342</x:v>
      </x:c>
      <x:c r="V9" s="2" t="n">
        <x:f t="shared" si="0">U9+7</x:f>
        <x:v>46349</x:v>
      </x:c>
      <x:c r="W9" s="2" t="n">
        <x:f t="shared" si="0">V9+7</x:f>
        <x:v>46356</x:v>
      </x:c>
      <x:c r="X9" s="2" t="n">
        <x:f t="shared" si="0">W9+7</x:f>
        <x:v>46363</x:v>
      </x:c>
      <x:c r="Y9" s="2" t="n">
        <x:f t="shared" si="0">X9+7</x:f>
        <x:v>46370</x:v>
      </x:c>
      <x:c r="Z9" s="2" t="n">
        <x:f t="shared" si="0">Y9+7</x:f>
        <x:v>46377</x:v>
      </x:c>
      <x:c r="AA9" s="2" t="n">
        <x:f t="shared" si="0">Z9+7</x:f>
        <x:v>46384</x:v>
      </x:c>
      <x:c r="AB9" s="2" t="n">
        <x:f t="shared" si="0">AA9+7</x:f>
        <x:v>46391</x:v>
      </x:c>
      <x:c r="AC9" s="2" t="n">
        <x:f t="shared" si="0">AB9+7</x:f>
        <x:v>46398</x:v>
      </x:c>
      <x:c r="AD9" s="2" t="n">
        <x:f t="shared" si="0">AC9+7</x:f>
        <x:v>46405</x:v>
      </x:c>
    </x:row>
    <x:row r="10" ht="48" customHeight="1">
      <x:c r="B10" s="65" t="str">
        <x:v>Produkt</x:v>
      </x:c>
      <x:c r="C10" s="66" t="str">
        <x:v>KSE-007 Ustalić zakres i kryteria MVP</x:v>
      </x:c>
      <x:c r="D10" s="67" t="str">
        <x:v>Użytkownik + Codex</x:v>
      </x:c>
      <x:c r="E10" s="67" t="str">
        <x:v>Not Started</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KSE-008 Wyjaśnić konflikt dat Energi</x:v>
      </x:c>
      <x:c r="D11" s="71" t="str">
        <x:v>Codex</x:v>
      </x:c>
      <x:c r="E11" s="71" t="str">
        <x:v>At Risk</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Dane</x:v>
      </x:c>
      <x:c r="C12" s="66" t="str">
        <x:v>KSE-009 Zweryfikować dostęp do publikacji PGE</x:v>
      </x:c>
      <x:c r="D12" s="67" t="str">
        <x:v>Codex</x:v>
      </x:c>
      <x:c r="E12" s="67" t="str">
        <x:v>At Risk</x:v>
      </x:c>
      <x:c r="F12" s="67" t="str">
        <x:v>P0</x:v>
      </x:c>
      <x:c r="G12" s="68"/>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Dane</x:v>
      </x:c>
      <x:c r="C13" s="70" t="str">
        <x:v>KSE-010 Ustalić prawa źródeł wybranych do pilota</x:v>
      </x:c>
      <x:c r="D13" s="71" t="str">
        <x:v>Użytkownik + 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Produkt</x:v>
      </x:c>
      <x:c r="C14" s="66" t="str">
        <x:v>KSE-013 Wybrać stację i obszar pilota</x:v>
      </x:c>
      <x:c r="D14" s="67" t="str">
        <x:v>Użytkownik + 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Model</x:v>
      </x:c>
      <x:c r="C15" s="70" t="str">
        <x:v>KSE-014 Zaprojektować model i architekturę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Connectory</x:v>
      </x:c>
      <x:c r="C16" s="66" t="str">
        <x:v>KSE-015 Connector pipeline PSE XLSX</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Connectory</x:v>
      </x:c>
      <x:c r="C17" s="70" t="str">
        <x:v>KSE-016 Connector dokumentów OSD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Model</x:v>
      </x:c>
      <x:c r="C18" s="66" t="str">
        <x:v>KSE-017 Canonical ID i deduplikacja projektów</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Topologia</x:v>
      </x:c>
      <x:c r="C19" s="70" t="str">
        <x:v>KSE-018 Graf referencyjny pilota</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Analityka</x:v>
      </x:c>
      <x:c r="C20" s="66" t="str">
        <x:v>KSE-021 Zestawienie projektów A/B/C dla GPZ</x:v>
      </x:c>
      <x:c r="D20" s="67" t="str">
        <x:v>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Analityka</x:v>
      </x:c>
      <x:c r="C21" s="70" t="str">
        <x:v>KSE-022 Screening BESS i hybryd z PCC</x:v>
      </x:c>
      <x:c r="D21" s="71" t="str">
        <x:v>Codex</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Walidacja</x:v>
      </x:c>
      <x:c r="C22" s="66" t="str">
        <x:v>KSE-023 Walidacja pilota na niezależnych dowodach</x:v>
      </x:c>
      <x:c r="D22" s="67" t="str">
        <x:v>Użytkownik + Codex</x:v>
      </x:c>
      <x:c r="E22" s="67" t="str">
        <x:v>Not Started</x:v>
      </x:c>
      <x:c r="F22" s="67" t="str">
        <x:v>P0</x:v>
      </x:c>
      <x:c r="G22" s="68"/>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Organizacja</x:v>
      </x:c>
      <x:c r="C23" s="70" t="str">
        <x:v>KSE-030 Potwierdzić zewnętrzną kopię archiwum</x:v>
      </x:c>
      <x:c r="D23" s="71" t="str">
        <x:v>Użytkownik</x:v>
      </x:c>
      <x:c r="E23" s="71" t="str">
        <x:v>Not Started</x:v>
      </x:c>
      <x:c r="F23" s="71" t="str">
        <x:v>P0</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KSE-011 Przetestować uwierzytelnione API ENTSO-E</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KSE-012 Potwierdzić eksport ENEA i TAURON</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Dane</x:v>
      </x:c>
      <x:c r="C26" s="66" t="str">
        <x:v>KSE-019 BIP i inwestycje w obszarze pilota</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GIS</x:v>
      </x:c>
      <x:c r="C27" s="70" t="str">
        <x:v>KSE-020 Warstwy GIS i kontrola CRS</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UI</x:v>
      </x:c>
      <x:c r="C28" s="66" t="str">
        <x:v>KSE-024 Pierwszy interfejs i mapa dowodów</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KSE-025 Cykliczne aktualizacje i historia zmian</x:v>
      </x:c>
      <x:c r="D29" s="71" t="str">
        <x:v>Codex</x:v>
      </x:c>
      <x:c r="E29" s="71" t="str">
        <x:v>Not Started</x:v>
      </x:c>
      <x:c r="F29" s="71" t="str">
        <x:v>P1</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n">
        <x:f t="shared" si="6">IF(OR($G39="",$H39="",$H39&lt;$G39),"",IF(AND(K$9&lt;=$H39,K$9+6&gt;=$G39),1,""))</x:f>
        <x:v>1</x:v>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COUNTA('Źródła'!A7:A62)</x:f>
        <x:v>56</x:v>
      </x:c>
      <x:c r="C7" s="59" t="str">
        <x:v>Obejmuje próbki, przegląd treści/dokumentacji, wskazania i blokady.</x:v>
      </x:c>
    </x:row>
    <x:row r="8" ht="30" customHeight="1">
      <x:c r="A8" s="59" t="str">
        <x:v>Zadania w rejestrze</x:v>
      </x:c>
      <x:c r="B8" s="59" t="n">
        <x:f>'Project Plan'!K6</x:f>
        <x:v>30</x:v>
      </x:c>
      <x:c r="C8" s="59" t="str">
        <x:v>Pełna lista, także zakończone i dalsze etapy.</x:v>
      </x:c>
    </x:row>
    <x:row r="9" ht="30" customHeight="1">
      <x:c r="A9" s="59" t="str">
        <x:v>Zakończone zadania</x:v>
      </x:c>
      <x:c r="B9" s="59" t="n">
        <x:f>'Project Plan'!O6</x:f>
        <x:v>6</x:v>
      </x:c>
      <x:c r="C9" s="59" t="str">
        <x:v>Liczba zadań nie mierzy procentowej gotowości produktu.</x:v>
      </x:c>
    </x:row>
    <x:row r="10" ht="30" customHeight="1">
      <x:c r="A10" s="59" t="str">
        <x:v>Zadania w toku</x:v>
      </x:c>
      <x:c r="B10" s="59" t="n">
        <x:f>'Project Plan'!S6</x:f>
        <x:v>0</x:v>
      </x:c>
      <x:c r="C10" s="59" t="str">
        <x:v>Stan zapisany w rejestrze TODO.</x:v>
      </x:c>
    </x:row>
    <x:row r="11" ht="30" customHeight="1">
      <x:c r="A11" s="59" t="str">
        <x:v>Zadania zagrożone</x:v>
      </x:c>
      <x:c r="B11" s="59" t="n">
        <x:f>'Project Plan'!W6</x:f>
        <x:v>2</x:v>
      </x:c>
      <x:c r="C11" s="59" t="str">
        <x:v>Odrębne od nieukończonych zależności.</x:v>
      </x:c>
    </x:row>
    <x:row r="12" ht="30" customHeight="1">
      <x:c r="A12" s="59" t="str">
        <x:v>Data katalogu</x:v>
      </x:c>
      <x:c r="B12" s="60" t="n">
        <x:v>46275</x:v>
      </x:c>
      <x:c r="C12" s="59" t="str">
        <x:v>Data przeglądu źródeł; nie oznacza aktualnego stanu każdego dokumentu.</x:v>
      </x:c>
    </x:row>
    <x:row r="13" ht="80" customHeight="1">
      <x:c r="A13" s="59" t="str">
        <x:v>Wniosek z badań</x:v>
      </x:c>
      <x:c r="B13" s="59" t="str">
        <x:v>Ocena badawcza</x:v>
      </x:c>
      <x:c r="C13"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4" ht="66" customHeight="1">
      <x:c r="A14" s="59" t="str">
        <x:v>Wniosek z badań</x:v>
      </x:c>
      <x:c r="B14" s="59" t="str">
        <x:v>Ocena badawcza</x:v>
      </x:c>
      <x:c r="C14"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5" ht="30" customHeight="1">
      <x:c r="A15" s="59" t="str">
        <x:v>Wniosek z badań</x:v>
      </x:c>
      <x:c r="B15" s="59" t="str">
        <x:v>Ocena badawcza</x:v>
      </x:c>
      <x:c r="C15" s="59" t="str">
        <x:v>Poziom sieci / Realistyczny produkt z danych publicznych / Granica dokładności</x:v>
      </x:c>
    </x:row>
    <x:row r="16" ht="52" customHeight="1">
      <x:c r="A16" s="59" t="str">
        <x:v>Wniosek z badań</x:v>
      </x:c>
      <x:c r="B16" s="59" t="str">
        <x:v>Ocena badawcza</x:v>
      </x:c>
      <x:c r="C16"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7" ht="52" customHeight="1">
      <x:c r="A17" s="59" t="str">
        <x:v>Wniosek z badań</x:v>
      </x:c>
      <x:c r="B17" s="59" t="str">
        <x:v>Ocena badawcza</x:v>
      </x:c>
      <x:c r="C17"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8" ht="52" customHeight="1">
      <x:c r="A18" s="59" t="str">
        <x:v>Wniosek z badań</x:v>
      </x:c>
      <x:c r="B18" s="59" t="str">
        <x:v>Ocena badawcza</x:v>
      </x:c>
      <x:c r="C18"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19" ht="52" customHeight="1">
      <x:c r="A19" s="59" t="str">
        <x:v>Wniosek z badań</x:v>
      </x:c>
      <x:c r="B19" s="59" t="str">
        <x:v>Ocena badawcza</x:v>
      </x:c>
      <x:c r="C19"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0" ht="80" customHeight="1">
      <x:c r="A20" s="59" t="str">
        <x:v>Wniosek z badań</x:v>
      </x:c>
      <x:c r="B20" s="59" t="str">
        <x:v>Ocena badawcza</x:v>
      </x:c>
      <x:c r="C20"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1" ht="52" customHeight="1">
      <x:c r="A21" s="59" t="str">
        <x:v>Wniosek z badań</x:v>
      </x:c>
      <x:c r="B21" s="59" t="str">
        <x:v>Ocena badawcza</x:v>
      </x:c>
      <x:c r="C21"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17c92727243745c3"/>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38"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commity i instrukcję odtwarzania.</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Not Started</x:v>
      </x:c>
      <x:c r="D13" s="59" t="str">
        <x:v>P0</x:v>
      </x:c>
      <x:c r="E13" s="59" t="str">
        <x:v>Produkt</x:v>
      </x:c>
      <x:c r="F13" s="59" t="str">
        <x:v>Użytkownik + Codex</x:v>
      </x:c>
      <x:c r="G13" s="59" t="str">
        <x:v>KSE-001, KSE-005</x:v>
      </x:c>
      <x:c r="H13" s="59" t="str">
        <x:v>Brak</x:v>
      </x:c>
      <x:c r="I13" s="59" t="str">
        <x:v>Uzgodnić pierwszy raport i granice obietnicy produktu.</x:v>
      </x:c>
      <x:c r="J13" s="59" t="str">
        <x:v>Zapisany zakres pilota, mierzalne kryteria odbioru i wyłączenia bez obietnicy nieuzasadnionych MW/probability.</x:v>
      </x:c>
      <x:c r="K13" s="59" t="str">
        <x:v>Brak dodatkowej uwagi</x:v>
      </x:c>
      <x:c r="L13" s="60"/>
      <x:c r="M13" s="60"/>
      <x:c r="N13" s="59" t="str">
        <x:v>docs/02_feasibility_matrix.md
docs/08_roadmap.md</x:v>
      </x:c>
    </x:row>
    <x:row r="14" ht="38" customHeight="1">
      <x:c r="A14" s="59" t="str">
        <x:v>KSE-008</x:v>
      </x:c>
      <x:c r="B14" s="59" t="str">
        <x:v>Wyjaśnić konflikt dat Energi</x:v>
      </x:c>
      <x:c r="C14" s="59" t="str">
        <x:v>At Risk</x:v>
      </x:c>
      <x:c r="D14" s="59" t="str">
        <x:v>P0</x:v>
      </x:c>
      <x:c r="E14" s="59" t="str">
        <x:v>Dane</x:v>
      </x:c>
      <x:c r="F14" s="59" t="str">
        <x:v>Codex</x:v>
      </x:c>
      <x:c r="G14" s="59" t="str">
        <x:v>KSE-002</x:v>
      </x:c>
      <x:c r="H14" s="59" t="str">
        <x:v>Brak</x:v>
      </x:c>
      <x:c r="I14" s="59" t="str">
        <x:v>Porównać nowsze wersje i dowody nagłówka z nazwą pliku.</x:v>
      </x:c>
      <x:c r="J14" s="59" t="str">
        <x:v>Udokumentowane rozstrzygnięcie lub kwarantanna konfliktowej daty, bez nadpisania źródła.</x:v>
      </x:c>
      <x:c r="K14" s="59" t="str">
        <x:v>Nazwa wskazuje sierpień, nagłówek czerwiec; aktualność nierozstrzygnięta.</x:v>
      </x:c>
      <x:c r="L14" s="60"/>
      <x:c r="M14" s="60"/>
      <x:c r="N14" s="59" t="str">
        <x:v>docs/07_data_quality.md</x:v>
      </x:c>
    </x:row>
    <x:row r="15" ht="38"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Sprawdzić zwykły dostęp lub oficjalny kanał bez obchodzenia blokady.</x:v>
      </x:c>
      <x:c r="J15" s="59" t="str">
        <x:v>Odczytana próbka z datą i prawami albo udokumentowane utrzymanie blokady.</x:v>
      </x:c>
      <x:c r="K15" s="59" t="str">
        <x:v>HTTP 200 zwracał stronę odrzucenia zamiast danych.</x:v>
      </x:c>
      <x:c r="L15" s="60"/>
      <x:c r="M15" s="60"/>
      <x:c r="N15" s="59" t="str">
        <x:v>docs/discovery_log.md</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KSE-007</x:v>
      </x:c>
      <x:c r="I16" s="59" t="str">
        <x:v>Sprawdzić licencje, regulaminy, automatyzację i redystrybucję dla konkretnego zakresu.</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38" customHeight="1">
      <x:c r="A19" s="59" t="str">
        <x:v>KSE-013</x:v>
      </x:c>
      <x:c r="B19" s="59" t="str">
        <x:v>Wybrać stację i obszar pilota</x:v>
      </x:c>
      <x:c r="C19" s="59" t="str">
        <x:v>Not Started</x:v>
      </x:c>
      <x:c r="D19" s="59" t="str">
        <x:v>P0</x:v>
      </x:c>
      <x:c r="E19" s="59" t="str">
        <x:v>Produkt</x:v>
      </x:c>
      <x:c r="F19" s="59" t="str">
        <x:v>Użytkownik + Codex</x:v>
      </x:c>
      <x:c r="G19" s="59" t="str">
        <x:v>KSE-007, KSE-010</x:v>
      </x:c>
      <x:c r="H19" s="59" t="str">
        <x:v>KSE-007, KSE-010</x:v>
      </x:c>
      <x:c r="I19" s="59" t="str">
        <x:v>Porównać kandydatów według źródeł, relacji 110 kV/PSE i projektów.</x:v>
      </x:c>
      <x:c r="J19" s="59" t="str">
        <x:v>Rzeczywisty GPZ, udokumentowane powiązania, projekty i inwestycje; wybór uzasadniony dowodami.</x:v>
      </x:c>
      <x:c r="K19" s="59" t="str">
        <x:v>Brak dodatkowej uwagi</x:v>
      </x:c>
      <x:c r="L19" s="60"/>
      <x:c r="M19" s="60"/>
      <x:c r="N19" s="59" t="str">
        <x:v>docs/08_roadmap.md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38"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Zbudować raport grup statusu oraz nieznanych i konfliktowych rekordów.</x:v>
      </x:c>
      <x:c r="J27" s="59" t="str">
        <x:v>Potwierdzone przyłączenie, plan i oczekiwanie odróżnione; deduplikacja i kierunkowe sumy z pokryciem.</x:v>
      </x:c>
      <x:c r="K27" s="59" t="str">
        <x:v>Brak dodatkowej uwagi</x:v>
      </x:c>
      <x:c r="L27" s="60"/>
      <x:c r="M27" s="60"/>
      <x:c r="N27" s="59" t="str">
        <x:v>docs/gpz_pipeline.md</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38"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Ocenić dostęp do parametrów, profili i topologii operatora oraz solverów.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38"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Wykonać prywatną kopię ZIP na drugim nośniku i potwierdzić jej odczyt.</x:v>
      </x:c>
      <x:c r="J36" s="59" t="str">
        <x:v>Istnieje niezależna kopia archiwum zgodna z manifestem. Sam lokalny ZIP i push nie spełniają warunku.</x:v>
      </x:c>
      <x:c r="K36" s="59" t="str">
        <x:v>Brak dodatkowej uwagi</x:v>
      </x:c>
      <x:c r="L36" s="60"/>
      <x:c r="M36" s="60"/>
      <x:c r="N36" s="59" t="str">
        <x:v>docs/reproducibility.md</x:v>
      </x:c>
    </x:row>
  </x:sheetData>
  <x:conditionalFormatting sqref="C7:C36">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6">
      <x:formula1>"Not Started,In Progress,At Risk,Complete"</x:formula1>
    </x:dataValidation>
  </x:dataValidations>
  <x:pageMargins left="0.7" right="0.7" top="0.75" bottom="0.75" header="0.3" footer="0.3"/>
  <x:tableParts count="1">
    <x:tablePart xmlns:r="http://schemas.openxmlformats.org/officeDocument/2006/relationships" r:id="R9631508b9bb14cf5"/>
  </x:tableParts>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08feb56efbd34a8b"/>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sheetData>
  <x:pageMargins left="0.7" right="0.7" top="0.75" bottom="0.75" header="0.3" footer="0.3"/>
  <x:tableParts count="1">
    <x:tablePart xmlns:r="http://schemas.openxmlformats.org/officeDocument/2006/relationships" r:id="R87d1b09e54f440ec"/>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sheetData>
  <x:pageMargins left="0.7" right="0.7" top="0.75" bottom="0.75" header="0.3" footer="0.3"/>
  <x:tableParts count="1">
    <x:tablePart xmlns:r="http://schemas.openxmlformats.org/officeDocument/2006/relationships" r:id="Re43d4c0170e54dac"/>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KSE-008</x:v>
      </x:c>
      <x:c r="B61" s="59" t="str">
        <x:v>Zadanie</x:v>
      </x:c>
      <x:c r="C61" s="59" t="str">
        <x:v>Zagrożone</x:v>
      </x:c>
      <x:c r="D61" s="59" t="str">
        <x:v>Nazwa wskazuje sierpień, nagłówek czerwiec; aktualność nierozstrzygnięta.</x:v>
      </x:c>
      <x:c r="E61" s="59" t="str">
        <x:v>Porównać nowsze wersje i dowody nagłówka z nazwą pliku.</x:v>
      </x:c>
    </x:row>
    <x:row r="62" ht="30" customHeight="1">
      <x:c r="A62" s="59" t="str">
        <x:v>KSE-009</x:v>
      </x:c>
      <x:c r="B62" s="59" t="str">
        <x:v>Zadanie</x:v>
      </x:c>
      <x:c r="C62" s="59" t="str">
        <x:v>Zagrożone</x:v>
      </x:c>
      <x:c r="D62" s="59" t="str">
        <x:v>HTTP 200 zwracał stronę odrzucenia zamiast danych.</x:v>
      </x:c>
      <x:c r="E62" s="59" t="str">
        <x:v>Sprawdzić zwykły dostęp lub oficjalny kanał bez obchodzenia blokady.</x:v>
      </x:c>
    </x:row>
    <x:row r="63" ht="38" customHeight="1">
      <x:c r="A63" s="59" t="str">
        <x:v>KSE-010</x:v>
      </x:c>
      <x:c r="B63" s="59" t="str">
        <x:v>Zadanie</x:v>
      </x:c>
      <x:c r="C63" s="59" t="str">
        <x:v>Do zrobienia</x:v>
      </x:c>
      <x:c r="D63" s="59" t="str">
        <x:v>Publiczny dostęp nie rozstrzyga komercyjnego wykorzystania; zastrzeżenia Stoen.</x:v>
      </x:c>
      <x:c r="E63" s="59" t="str">
        <x:v>Sprawdzić licencje, regulaminy, automatyzację i redystrybucję dla konkretnego zakresu.</x:v>
      </x:c>
    </x:row>
    <x:row r="64" ht="38" customHeight="1">
      <x:c r="A64" s="59" t="str">
        <x:v>KSE-011</x:v>
      </x:c>
      <x:c r="B64" s="59" t="str">
        <x:v>Zadanie</x:v>
      </x:c>
      <x:c r="C64" s="59" t="str">
        <x:v>Do zrobienia</x:v>
      </x:c>
      <x:c r="D64" s="59" t="str">
        <x:v>Dostarczenie klucza nie jest dowodem jego działania; test jeszcze niewykonany.</x:v>
      </x:c>
      <x:c r="E64" s="59" t="str">
        <x:v>W odrębnym kroku wykonać małe zapytanie z lokalnym poświadczeniem, bez logowania tokenu.</x:v>
      </x:c>
    </x:row>
    <x:row r="65" ht="38" customHeight="1">
      <x:c r="A65" s="59" t="str">
        <x:v>KSE-029</x:v>
      </x:c>
      <x:c r="B65" s="59" t="str">
        <x:v>Zadanie</x:v>
      </x:c>
      <x:c r="C65" s="59" t="str">
        <x:v>Do zrobienia</x:v>
      </x:c>
      <x:c r="D65" s="59" t="str">
        <x:v>Publiczne dane mogą nie wystarczyć; brak gwarancji osiągalności etapu.</x:v>
      </x:c>
      <x:c r="E65" s="59" t="str">
        <x:v>Ocenić dostęp do parametrów, profili i topologii operatora oraz solverów.</x:v>
      </x:c>
    </x:row>
  </x:sheetData>
  <x:pageMargins left="0.7" right="0.7" top="0.75" bottom="0.75" header="0.3" footer="0.3"/>
  <x:tableParts count="1">
    <x:tablePart xmlns:r="http://schemas.openxmlformats.org/officeDocument/2006/relationships" r:id="R5135976962d74706"/>
  </x:tableParts>
</x:worksheet>
</file>

<file path=xl/worksheets/sheet8.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3" ht="52" customHeight="1">
      <x:c r="A133" s="59" t="str">
        <x:v>docs/01_data_research.md</x:v>
      </x:c>
      <x:c r="B133" s="59" t="str">
        <x:v>13. Rekomendacja po etapie 1</x:v>
      </x:c>
      <x:c r="C133"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4" ht="66" customHeight="1">
      <x:c r="A134" s="59" t="str">
        <x:v>docs/01_data_research.md</x:v>
      </x:c>
      <x:c r="B134" s="59" t="str">
        <x:v>13. Rekomendacja po etapie 1</x:v>
      </x:c>
      <x:c r="C134"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5" ht="38" customHeight="1">
      <x:c r="A135" s="59" t="str">
        <x:v>docs/02_feasibility_matrix.md</x:v>
      </x:c>
      <x:c r="B135" s="59" t="str">
        <x:v>Wstępna macierz wykonalności</x:v>
      </x:c>
      <x:c r="C135" s="59" t="str">
        <x:v>10.09.2026 — wynik badań etapu 1; nie jest deklaracją wdrożonej funkcjonalności. Pełne dowody, daty i linki: raport (01_data_research.md) i katalog (data_sources.md). Identyfikatory poniżej odnoszą się do katalogu JSON.</x:v>
      </x:c>
    </x:row>
    <x:row r="136" ht="52" customHeight="1">
      <x:c r="A136" s="59" t="str">
        <x:v>docs/02_feasibility_matrix.md</x:v>
      </x:c>
      <x:c r="B136" s="59" t="str">
        <x:v>Wstępna macierz wykonalności</x:v>
      </x:c>
      <x:c r="C136"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37" ht="30" customHeight="1">
      <x:c r="A137" s="59" t="str">
        <x:v>docs/02_feasibility_matrix.md</x:v>
      </x:c>
      <x:c r="B137" s="59" t="str">
        <x:v>Wstępna macierz wykonalności</x:v>
      </x:c>
      <x:c r="C137" s="59" t="str">
        <x:v>Moduł / precyzyjnie określona wielkość / Klasa / Dowód i warunek / Ograniczenie / wynik przy braku wejść</x:v>
      </x:c>
    </x:row>
    <x:row r="138" ht="38" customHeight="1">
      <x:c r="A138" s="59" t="str">
        <x:v>docs/02_feasibility_matrix.md</x:v>
      </x:c>
      <x:c r="B138" s="59" t="str">
        <x:v>Wstępna macierz wykonalności</x:v>
      </x:c>
      <x:c r="C138" s="59" t="str">
        <x:v>Wskazane stacje, rozdzielnie i szyny w publikacji PSE / AVAILABLE_DIRECTLY / PSE_API: próbka specwezlow / Nie jest kompletnym grafem ani listą wszystkich GPZ</x:v>
      </x:c>
    </x:row>
    <x:row r="139" ht="38" customHeight="1">
      <x:c r="A139" s="59" t="str">
        <x:v>docs/02_feasibility_matrix.md</x:v>
      </x:c>
      <x:c r="B139" s="59" t="str">
        <x:v>Wstępna macierz wykonalności</x:v>
      </x:c>
      <x:c r="C139" s="59" t="str">
        <x:v>Opublikowane miejsce przyłączenia konkretnego projektu / AVAILABLE_DIRECTLY / PSE_PIPELINE, TAURON_PIPELINE; dokument wskazuje miejsce / Może być nieustalone; WP nie oznacza fizycznego przyłączenia</x:v>
      </x:c>
    </x:row>
    <x:row r="140" ht="38" customHeight="1">
      <x:c r="A140" s="59" t="str">
        <x:v>docs/02_feasibility_matrix.md</x:v>
      </x:c>
      <x:c r="B140" s="59" t="str">
        <x:v>Wstępna macierz wykonalności</x:v>
      </x:c>
      <x:c r="C140" s="59" t="str">
        <x:v>Pełna liczba wszystkich projektów na dowolnym GPZ / NOT_CURRENTLY_AVAILABLE / Nie wykazano kompletności publicznych wykazów i przypisań / Nie przedstawiać znanej części jako pełnej liczby</x:v>
      </x:c>
    </x:row>
    <x:row r="141" ht="38" customHeight="1">
      <x:c r="A141" s="59" t="str">
        <x:v>docs/02_feasibility_matrix.md</x:v>
      </x:c>
      <x:c r="B141" s="59" t="str">
        <x:v>Wstępna macierz wykonalności</x:v>
      </x:c>
      <x:c r="C141" s="59" t="str">
        <x:v>Liczba znanych projektów przypisanych dokumentem do punktu / CALCULABLE / Deduplikacja, spójny snapshot, status i pewność relacji / Raportować pokrycie i projekty nieprzypisane</x:v>
      </x:c>
    </x:row>
    <x:row r="142" ht="38" customHeight="1">
      <x:c r="A142" s="59" t="str">
        <x:v>docs/02_feasibility_matrix.md</x:v>
      </x:c>
      <x:c r="B142" s="59" t="str">
        <x:v>Wstępna macierz wykonalności</x:v>
      </x:c>
      <x:c r="C142" s="59" t="str">
        <x:v>Moc znanych projektów na tym samym punkcie / CALCULABLE / Jawne MW i definicja mocy; PSE_PIPELINE / wykazy OSD / Osobno kierunek, etap, zainstalowana moc i PCC; nie jest przepływem</x:v>
      </x:c>
    </x:row>
    <x:row r="143" ht="38" customHeight="1">
      <x:c r="A143" s="59" t="str">
        <x:v>docs/02_feasibility_matrix.md</x:v>
      </x:c>
      <x:c r="B143" s="59" t="str">
        <x:v>Wstępna macierz wykonalności</x:v>
      </x:c>
      <x:c r="C143" s="59" t="str">
        <x:v>Pełna istniejąca generacja danego GPZ / NOT_CURRENTLY_AVAILABLE / URE_REGISTERS i wykazy operatorów mają różne zakresy / Możliwy częściowy udokumentowany inwentarz</x:v>
      </x:c>
    </x:row>
    <x:row r="144" ht="38" customHeight="1">
      <x:c r="A144" s="59" t="str">
        <x:v>docs/02_feasibility_matrix.md</x:v>
      </x:c>
      <x:c r="B144" s="59" t="str">
        <x:v>Wstępna macierz wykonalności</x:v>
      </x:c>
      <x:c r="C144" s="59" t="str">
        <x:v>Wskazana przez operatora moc przyłączeniowa w jego jednostce raportowania / AVAILABLE_DIRECTLY / PSE_CAPACITY, ENERGA_EXPORT/IMPORT, STOEN_EXPORT/IMPORT / Horyzont, grupa ograniczeń, kierunek i założenia są częścią wartości</x:v>
      </x:c>
    </x:row>
    <x:row r="145" ht="38" customHeight="1">
      <x:c r="A145" s="59" t="str">
        <x:v>docs/02_feasibility_matrix.md</x:v>
      </x:c>
      <x:c r="B145" s="59" t="str">
        <x:v>Wstępna macierz wykonalności</x:v>
      </x:c>
      <x:c r="C145" s="59" t="str">
        <x:v>Niezależna bieżąca wolna moc dowolnego GPZ / NOT_CURRENTLY_AVAILABLE / Brak kompletnej topologii, lokalnych profili i parametrów / value=null, classification=UNKNOWN</x:v>
      </x:c>
    </x:row>
    <x:row r="146" ht="38" customHeight="1">
      <x:c r="A146" s="59" t="str">
        <x:v>docs/02_feasibility_matrix.md</x:v>
      </x:c>
      <x:c r="B146" s="59" t="str">
        <x:v>Wstępna macierz wykonalności</x:v>
      </x:c>
      <x:c r="C146" s="59" t="str">
        <x:v>Moc znamionowa konkretnego transformatora opisana w dokumencie / AVAILABLE_DIRECTLY / Tylko jeśli właściwy dokument podaje parametr i obiekt / Ten research nie zwalidował pełnego inwentarza; brak wartości = UNKNOWN</x:v>
      </x:c>
    </x:row>
    <x:row r="147" ht="38" customHeight="1">
      <x:c r="A147" s="59" t="str">
        <x:v>docs/02_feasibility_matrix.md</x:v>
      </x:c>
      <x:c r="B147" s="59" t="str">
        <x:v>Wstępna macierz wykonalności</x:v>
      </x:c>
      <x:c r="C147" s="59" t="str">
        <x:v>Krajowy kompletny rejestr mocy transformatorów GPZ / NOT_CURRENTLY_AVAILABLE / Nie znaleziono kompletnego otwartego zbioru w badanym zakresie / Nie wnioskować z napięcia, zdjęcia lub typowej konstrukcji</x:v>
      </x:c>
    </x:row>
    <x:row r="148" ht="38" customHeight="1">
      <x:c r="A148" s="59" t="str">
        <x:v>docs/02_feasibility_matrix.md</x:v>
      </x:c>
      <x:c r="B148" s="59" t="str">
        <x:v>Wstępna macierz wykonalności</x:v>
      </x:c>
      <x:c r="C148" s="59" t="str">
        <x:v>Rzeczywiste obciążenie dowolnego transformatora GPZ / NOT_CURRENTLY_AVAILABLE / Brak publicznego pełnego pokrycia telemetrią / Moc znamionowa i suma PV nie wystarczą</x:v>
      </x:c>
    </x:row>
    <x:row r="149" ht="38" customHeight="1">
      <x:c r="A149" s="59" t="str">
        <x:v>docs/02_feasibility_matrix.md</x:v>
      </x:c>
      <x:c r="B149" s="59" t="str">
        <x:v>Wstępna macierz wykonalności</x:v>
      </x:c>
      <x:c r="C149" s="59" t="str">
        <x:v>Obciążenie dowolnej linii 110 kV / NOT_CURRENTLY_AVAILABLE / Brak parametrów i bieżącego układu/profili / Mapy linii nie pozwalają tego wyliczyć</x:v>
      </x:c>
    </x:row>
    <x:row r="150" ht="38" customHeight="1">
      <x:c r="A150" s="59" t="str">
        <x:v>docs/02_feasibility_matrix.md</x:v>
      </x:c>
      <x:c r="B150" s="59" t="str">
        <x:v>Wstępna macierz wykonalności</x:v>
      </x:c>
      <x:c r="C150" s="59" t="str">
        <x:v>Dane o bilansie i generacji na poziomie KSE / AVAILABLE_DIRECTLY / PSE_API; Energy-Charts jako dodatkowe źródło / Nie przenosić na lokalny GPZ</x:v>
      </x:c>
    </x:row>
    <x:row r="151" ht="38" customHeight="1">
      <x:c r="A151" s="59" t="str">
        <x:v>docs/02_feasibility_matrix.md</x:v>
      </x:c>
      <x:c r="B151" s="59" t="str">
        <x:v>Wstępna macierz wykonalności</x:v>
      </x:c>
      <x:c r="C151" s="59" t="str">
        <x:v>Raportowane redysponowanie z rozróżnieniem przyczyny / AVAILABLE_DIRECTLY / PSE_API poze-redoze, schemat i próbka / Lokalizacja ograniczenia nie wynika z agregatu; null nie jest zerem</x:v>
      </x:c>
    </x:row>
    <x:row r="152" ht="38" customHeight="1">
      <x:c r="A152" s="59" t="str">
        <x:v>docs/02_feasibility_matrix.md</x:v>
      </x:c>
      <x:c r="B152" s="59" t="str">
        <x:v>Wstępna macierz wykonalności</x:v>
      </x:c>
      <x:c r="C152" s="59" t="str">
        <x:v>Congestion konkretnego elementu w dowolnej lokalizacji / NOT_CURRENTLY_AVAILABLE / Brak powszechnego lokalnego dowodu / Możliwy opis udokumentowanego ograniczenia, bez udawanej mapy przeciążeń</x:v>
      </x:c>
    </x:row>
    <x:row r="153" ht="38" customHeight="1">
      <x:c r="A153" s="59" t="str">
        <x:v>docs/02_feasibility_matrix.md</x:v>
      </x:c>
      <x:c r="B153" s="59" t="str">
        <x:v>Wstępna macierz wykonalności</x:v>
      </x:c>
      <x:c r="C153" s="59" t="str">
        <x:v>Moc eksportowa/importowa BESS jako osobne pola projektu / AVAILABLE_DIRECTLY / PSE_PIPELINE i kierunkowe wykazy w badanym zakresie / Dostępność konkretnego pola zależy od rekordu; brak MWh nie uzupełniać domysłem</x:v>
      </x:c>
    </x:row>
    <x:row r="154" ht="38" customHeight="1">
      <x:c r="A154" s="59" t="str">
        <x:v>docs/02_feasibility_matrix.md</x:v>
      </x:c>
      <x:c r="B154" s="59" t="str">
        <x:v>Wstępna macierz wykonalności</x:v>
      </x:c>
      <x:c r="C154" s="59" t="str">
        <x:v>Czas magazynowania przy znanych MWh i mocy rozładowania / CALCULABLE / MWh / MW, dodatni mianownik, jawne znaczenie mocy i pojemności / Wymaga zgodnych nominalnych/użytecznych wartości; nie oznacza profilu pracy</x:v>
      </x:c>
    </x:row>
    <x:row r="155" ht="38" customHeight="1">
      <x:c r="A155" s="59" t="str">
        <x:v>docs/02_feasibility_matrix.md</x:v>
      </x:c>
      <x:c r="B155" s="59" t="str">
        <x:v>Wstępna macierz wykonalności</x:v>
      </x:c>
      <x:c r="C155" s="59" t="str">
        <x:v>Techniczna możliwość przyłączenia dowolnego BESS / NOT_CURRENTLY_AVAILABLE / Osobne import/eksport nie zastępują pełnej analizy sieci / Możliwy screening przesłanek dla obu kierunków</x:v>
      </x:c>
    </x:row>
    <x:row r="156" ht="38" customHeight="1">
      <x:c r="A156" s="59" t="str">
        <x:v>docs/02_feasibility_matrix.md</x:v>
      </x:c>
      <x:c r="B156" s="59" t="str">
        <x:v>Wstępna macierz wykonalności</x:v>
      </x:c>
      <x:c r="C156" s="59" t="str">
        <x:v>Scenariuszowy profil generacji PV/Wind / ESTIMABLE / Potrzebne parametry instalacji, pogoda, metoda i walidacja / Jeszcze nie wdrożono ani nie zwalidowano lokalnego modelu profili</x:v>
      </x:c>
    </x:row>
    <x:row r="157" ht="38" customHeight="1">
      <x:c r="A157" s="59" t="str">
        <x:v>docs/02_feasibility_matrix.md</x:v>
      </x:c>
      <x:c r="B157" s="59" t="str">
        <x:v>Wstępna macierz wykonalności</x:v>
      </x:c>
      <x:c r="C157" s="59" t="str">
        <x:v>Zastępcza lokalizacja/relacja sieciowa / ESTIMABLE / Kilka zgodnych dowodów; wynik relacji oznaczony INFERRED / Samo najbliższe GPZ nie wystarcza; konflikt zachować</x:v>
      </x:c>
    </x:row>
    <x:row r="158" ht="38" customHeight="1">
      <x:c r="A158" s="59" t="str">
        <x:v>docs/02_feasibility_matrix.md</x:v>
      </x:c>
      <x:c r="B158" s="59" t="str">
        <x:v>Wstępna macierz wykonalności</x:v>
      </x:c>
      <x:c r="C158" s="59" t="str">
        <x:v>Pełny łańcuch project–feeder–GPZ–PSE dla każdego projektu / NOT_CURRENTLY_AVAILABLE / Fragmenty dokumentacyjne + pomocnicza geometria / Dopuszczalne nieznane odcinki grafu</x:v>
      </x:c>
    </x:row>
    <x:row r="159" ht="38" customHeight="1">
      <x:c r="A159" s="59" t="str">
        <x:v>docs/02_feasibility_matrix.md</x:v>
      </x:c>
      <x:c r="B159" s="59" t="str">
        <x:v>Wstępna macierz wykonalności</x:v>
      </x:c>
      <x:c r="C159" s="59" t="str">
        <x:v>Udokumentowane planowane inwestycje / AVAILABLE_DIRECTLY / PSE_PLAN, ENERGA_PLAN, ENEA_PLAN / Projekt/uzgodnienie/realizacja to odrębne statusy</x:v>
      </x:c>
    </x:row>
    <x:row r="160" ht="38" customHeight="1">
      <x:c r="A160" s="59" t="str">
        <x:v>docs/02_feasibility_matrix.md</x:v>
      </x:c>
      <x:c r="B160" s="59" t="str">
        <x:v>Wstępna macierz wykonalności</x:v>
      </x:c>
      <x:c r="C160" s="59" t="str">
        <x:v>Przyszła dostępna moc z konkretnego wariantu publikacji / AVAILABLE_DIRECTLY / Jeśli operator podał wartość, datę i założenia; PSE_CAPACITY / Nie wyliczać prostym dodaniem MVA inwestycji do obecnych MW</x:v>
      </x:c>
    </x:row>
    <x:row r="161" ht="38" customHeight="1">
      <x:c r="A161" s="59" t="str">
        <x:v>docs/02_feasibility_matrix.md</x:v>
      </x:c>
      <x:c r="B161" s="59" t="str">
        <x:v>Wstępna macierz wykonalności</x:v>
      </x:c>
      <x:c r="C161" s="59" t="str">
        <x:v>Przyszła fizyczna dostępność każdego punktu / NOT_CURRENTLY_AVAILABLE / Brak kompletnych przyszłych profili, topologii i realizacji planów / Możliwa narracja wariantowa, nie gwarancja</x:v>
      </x:c>
    </x:row>
    <x:row r="162" ht="38" customHeight="1">
      <x:c r="A162" s="59" t="str">
        <x:v>docs/02_feasibility_matrix.md</x:v>
      </x:c>
      <x:c r="B162" s="59" t="str">
        <x:v>Wstępna macierz wykonalności</x:v>
      </x:c>
      <x:c r="C162" s="59" t="str">
        <x:v>Potencjalne korytarze i przecięcia ograniczeń GIS / CALCULABLE / Zweryfikowana geometria, CRS i aktualne warstwy / Nie jest prawem do gruntu ani pełną wykonalnością trasy</x:v>
      </x:c>
    </x:row>
    <x:row r="163" ht="38" customHeight="1">
      <x:c r="A163" s="59" t="str">
        <x:v>docs/02_feasibility_matrix.md</x:v>
      </x:c>
      <x:c r="B163" s="59" t="str">
        <x:v>Wstępna macierz wykonalności</x:v>
      </x:c>
      <x:c r="C163" s="59" t="str">
        <x:v>Rzeczywista możliwość pozyskania trasy przyłącza / NOT_CURRENTLY_AVAILABLE / Potrzebne prawa do nieruchomości, uzgodnienia i projekt techniczny / Publiczne działki i WMS nie wystarczą</x:v>
      </x:c>
    </x:row>
    <x:row r="164" ht="38" customHeight="1">
      <x:c r="A164" s="59" t="str">
        <x:v>docs/02_feasibility_matrix.md</x:v>
      </x:c>
      <x:c r="B164" s="59" t="str">
        <x:v>Wstępna macierz wykonalności</x:v>
      </x:c>
      <x:c r="C164" s="59" t="str">
        <x:v>Grid Connection Score 0–100 o zwalidowanej trafności / NOT_CURRENTLY_AVAILABLE / Nie skalibrowano wag, celu i zbioru referencyjnego / Nie wyświetlać arbitralnej liczby</x:v>
      </x:c>
    </x:row>
    <x:row r="165" ht="38" customHeight="1">
      <x:c r="A165" s="59" t="str">
        <x:v>docs/02_feasibility_matrix.md</x:v>
      </x:c>
      <x:c r="B165" s="59" t="str">
        <x:v>Wstępna macierz wykonalności</x:v>
      </x:c>
      <x:c r="C165" s="59" t="str">
        <x:v>Procentowe prawdopodobieństwo uzyskania WP / NOT_CURRENTLY_AVAILABLE / Brak reprezentatywnych etykiet wyników i wystarczających predyktorów / Nie utożsamiać historycznego udziału odmów z szansą konkretnego projektu</x:v>
      </x:c>
    </x:row>
    <x:row r="166" ht="38" customHeight="1">
      <x:c r="A166" s="59" t="str">
        <x:v>docs/02_feasibility_matrix.md</x:v>
      </x:c>
      <x:c r="B166" s="59" t="str">
        <x:v>Wstępna macierz wykonalności</x:v>
      </x:c>
      <x:c r="C166" s="59" t="str">
        <x:v>Historia wiedzy od rozpoczęcia archiwizacji / CALCULABLE / Snapshoty, manifesty, wersje normalizacji i metody / Nie odtworzy brakujących historycznych źródeł sprzed archiwizacji</x:v>
      </x:c>
    </x:row>
    <x:row r="167" ht="38" customHeight="1">
      <x:c r="A167" s="59" t="str">
        <x:v>docs/02_feasibility_matrix.md</x:v>
      </x:c>
      <x:c r="B167" s="59" t="str">
        <x:v>Wstępna macierz wykonalności</x:v>
      </x:c>
      <x:c r="C167" s="59" t="str">
        <x:v>Najważniejsze rozróżnienie: wiarygodne przepisanie wartości operatora jest możliwe znacznie wcześniej niż wiarygodne obliczenie tej samej wielkości samodzielnie. Produkt powinien wyraźnie pokazywać, którą czynność wykonał.</x:v>
      </x:c>
    </x:row>
    <x:row r="168" ht="30" customHeight="1">
      <x:c r="A168" s="59" t="str">
        <x:v>docs/03_system_architecture.md</x:v>
      </x:c>
      <x:c r="B168" s="59" t="str">
        <x:v>Kierunek architektury po researchu</x:v>
      </x:c>
      <x:c r="C168" s="59" t="str">
        <x:v>10.09.2026 — propozycja do etapu 2, bez instalacji bazy i bez wyboru ostatecznego stosu.</x:v>
      </x:c>
    </x:row>
    <x:row r="169" ht="52" customHeight="1">
      <x:c r="A169" s="59" t="str">
        <x:v>docs/03_system_architecture.md</x:v>
      </x:c>
      <x:c r="B169" s="59" t="str">
        <x:v>Kierunek architektury po researchu</x:v>
      </x:c>
      <x:c r="C169"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0" ht="30" customHeight="1">
      <x:c r="A170" s="59" t="str">
        <x:v>docs/03_system_architecture.md</x:v>
      </x:c>
      <x:c r="B170" s="59" t="str">
        <x:v>Kierunek architektury po researchu</x:v>
      </x:c>
      <x:c r="C170" s="59" t="str">
        <x:v>Wariant / Korzyść dla projektu / Koszt / ograniczenie / Wstępna ocena</x:v>
      </x:c>
    </x:row>
    <x:row r="171" ht="38" customHeight="1">
      <x:c r="A171" s="59" t="str">
        <x:v>docs/03_system_architecture.md</x:v>
      </x:c>
      <x:c r="B171" s="59" t="str">
        <x:v>Kierunek architektury po researchu</x:v>
      </x:c>
      <x:c r="C171" s="59" t="str">
        <x:v>PostgreSQL + PostGIS / Jeden magazyn danych domenowych, źródeł, historii i geometrii; graf jako węzły/krawędzie / Złożone przejścia grafowe trzeba świadomie zaprojektować / Preferowany kandydat MVP</x:v>
      </x:c>
    </x:row>
    <x:row r="172" ht="38" customHeight="1">
      <x:c r="A172" s="59" t="str">
        <x:v>docs/03_system_architecture.md</x:v>
      </x:c>
      <x:c r="B172" s="59" t="str">
        <x:v>Kierunek architektury po researchu</x:v>
      </x:c>
      <x:c r="C172" s="59" t="str">
        <x:v>PostgreSQL + PostGIS + pgRouting / Algorytmy trasowania/analizy grafowej w tym samym środowisku / Kolejne rozszerzenie; koszt grafu nie jest modelem przepływu energii / Dodać tylko dla uzasadnionego zapytania lub warstwy trasowej</x:v>
      </x:c>
    </x:row>
    <x:row r="173" ht="38" customHeight="1">
      <x:c r="A173" s="59" t="str">
        <x:v>docs/03_system_architecture.md</x:v>
      </x:c>
      <x:c r="B173" s="59" t="str">
        <x:v>Kierunek architektury po researchu</x:v>
      </x:c>
      <x:c r="C173" s="59" t="str">
        <x:v>Neo4j / Naturalna reprezentacja węzłów i relacji z właściwościami / Wymaga oceny obsługi historii, GIS, edycji/licencji i utrzymania / Brak potrzeby wykazanej badaniem danych</x:v>
      </x:c>
    </x:row>
    <x:row r="174" ht="38" customHeight="1">
      <x:c r="A174" s="59" t="str">
        <x:v>docs/03_system_architecture.md</x:v>
      </x:c>
      <x:c r="B174" s="59" t="str">
        <x:v>Kierunek architektury po researchu</x:v>
      </x:c>
      <x:c r="C174" s="59" t="str">
        <x:v>PostgreSQL/PostGIS + Neo4j / Osobna projekcja do intensywnej eksploracji grafu / Synchronizacja dwóch magazynów, ryzyko niespójności i trudniejszy audyt / Odłożyć do czasu mierzalnej potrzeby</x:v>
      </x:c>
    </x:row>
    <x:row r="175" ht="66" customHeight="1">
      <x:c r="A175" s="59" t="str">
        <x:v>docs/03_system_architecture.md</x:v>
      </x:c>
      <x:c r="B175" s="59" t="str">
        <x:v>Kierunek architektury po researchu</x:v>
      </x:c>
      <x:c r="C175"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76" ht="52" customHeight="1">
      <x:c r="A176" s="59" t="str">
        <x:v>docs/03_system_architecture.md</x:v>
      </x:c>
      <x:c r="B176" s="59" t="str">
        <x:v>Przepływ danych do zaprojektowania</x:v>
      </x:c>
      <x:c r="C176"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77" ht="52" customHeight="1">
      <x:c r="A177" s="59" t="str">
        <x:v>docs/03_system_architecture.md</x:v>
      </x:c>
      <x:c r="B177" s="59" t="str">
        <x:v>Przepływ danych do zaprojektowania</x:v>
      </x:c>
      <x:c r="C177"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78" ht="52" customHeight="1">
      <x:c r="A178" s="59" t="str">
        <x:v>docs/03_system_architecture.md</x:v>
      </x:c>
      <x:c r="B178" s="59" t="str">
        <x:v>Przepływ danych do zaprojektowania</x:v>
      </x:c>
      <x:c r="C178"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79" ht="30" customHeight="1">
      <x:c r="A179" s="59" t="str">
        <x:v>docs/04_data_model.md</x:v>
      </x:c>
      <x:c r="B179" s="59" t="str">
        <x:v>Wymagania dla przyszłego modelu danych</x:v>
      </x:c>
      <x:c r="C179" s="59" t="str">
        <x:v>10.09.2026 — notatka z etapu 1. To nie jest wdrożony schemat bazy.</x:v>
      </x:c>
    </x:row>
    <x:row r="180" ht="66" customHeight="1">
      <x:c r="A180" s="59" t="str">
        <x:v>docs/04_data_model.md</x:v>
      </x:c>
      <x:c r="B180" s="59" t="str">
        <x:v>Wymagania dla przyszłego modelu danych</x:v>
      </x:c>
      <x:c r="C180"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1" ht="30" customHeight="1">
      <x:c r="A181" s="59" t="str">
        <x:v>docs/04_data_model.md</x:v>
      </x:c>
      <x:c r="B181" s="59" t="str">
        <x:v>Wymagania dla przyszłego modelu danych</x:v>
      </x:c>
      <x:c r="C181" s="59" t="str">
        <x:v>Obszar / Wymaganie wynikające z badań</x:v>
      </x:c>
    </x:row>
    <x:row r="182" ht="38" customHeight="1">
      <x:c r="A182" s="59" t="str">
        <x:v>docs/04_data_model.md</x:v>
      </x:c>
      <x:c r="B182" s="59" t="str">
        <x:v>Wymagania dla przyszłego modelu danych</x:v>
      </x:c>
      <x:c r="C182" s="59" t="str">
        <x:v>Tożsamość / Własny stabilny ID, identyfikatory operatora, aliasy, operator, napięcie, geometria; brak scalenia wyłącznie po podobieństwie nazwy</x:v>
      </x:c>
    </x:row>
    <x:row r="183" ht="38" customHeight="1">
      <x:c r="A183" s="59" t="str">
        <x:v>docs/04_data_model.md</x:v>
      </x:c>
      <x:c r="B183" s="59" t="str">
        <x:v>Wymagania dla przyszłego modelu danych</x:v>
      </x:c>
      <x:c r="C183" s="59" t="str">
        <x:v>Obserwacja / Wartość i jednostka, klasyfikacja REPORTED/MEASURED/CALCULATED/ESTIMATED/INFERRED/UNKNOWN, źródło i snapshot, strona/arkusz/wiersz/pole, daty</x:v>
      </x:c>
    </x:row>
    <x:row r="184" ht="38" customHeight="1">
      <x:c r="A184" s="59" t="str">
        <x:v>docs/04_data_model.md</x:v>
      </x:c>
      <x:c r="B184" s="59" t="str">
        <x:v>Wymagania dla przyszłego modelu danych</x:v>
      </x:c>
      <x:c r="C184" s="59" t="str">
        <x:v>Czas / Osobno publication_date, observation_date/source_date, retrieval_date, valid_from/to oraz moment rejestracji wiedzy; nieznane daty pozostają null</x:v>
      </x:c>
    </x:row>
    <x:row r="185" ht="30" customHeight="1">
      <x:c r="A185" s="59" t="str">
        <x:v>docs/04_data_model.md</x:v>
      </x:c>
      <x:c r="B185" s="59" t="str">
        <x:v>Wymagania dla przyszłego modelu danych</x:v>
      </x:c>
      <x:c r="C185" s="59" t="str">
        <x:v>Konflikt / Obie wersje wartości lub daty, dowody, status rozstrzygnięcia; nie nadpisywać jednej drugą</x:v>
      </x:c>
    </x:row>
    <x:row r="186" ht="30" customHeight="1">
      <x:c r="A186" s="59" t="str">
        <x:v>docs/04_data_model.md</x:v>
      </x:c>
      <x:c r="B186" s="59" t="str">
        <x:v>Wymagania dla przyszłego modelu danych</x:v>
      </x:c>
      <x:c r="C186" s="59" t="str">
        <x:v>Relacja / Obiekt początkowy/końcowy, typ, confirmed/probable/inferred/unknown, dowody, okres, stan planowany/istniejący</x:v>
      </x:c>
    </x:row>
    <x:row r="187" ht="38" customHeight="1">
      <x:c r="A187" s="59" t="str">
        <x:v>docs/04_data_model.md</x:v>
      </x:c>
      <x:c r="B187" s="59" t="str">
        <x:v>Wymagania dla przyszłego modelu danych</x:v>
      </x:c>
      <x:c r="C187" s="59" t="str">
        <x:v>Projekt / Technologie jako składniki, SPV/inwestor z dowodami, etapy procedury jako historia; nie wszystkie wpisy są osobnymi projektami</x:v>
      </x:c>
    </x:row>
    <x:row r="188" ht="38" customHeight="1">
      <x:c r="A188" s="59" t="str">
        <x:v>docs/04_data_model.md</x:v>
      </x:c>
      <x:c r="B188" s="59" t="str">
        <x:v>Wymagania dla przyszłego modelu danych</x:v>
      </x:c>
      <x:c r="C188" s="59" t="str">
        <x:v>BESS / P_export_MW, P_import_MW, energy_capacity_MWh, duration_h, PCC_export_limit_MW, PCC_import_limit_MW; brakujące pola null</x:v>
      </x:c>
    </x:row>
    <x:row r="189" ht="30" customHeight="1">
      <x:c r="A189" s="59" t="str">
        <x:v>docs/04_data_model.md</x:v>
      </x:c>
      <x:c r="B189" s="59" t="str">
        <x:v>Wymagania dla przyszłego modelu danych</x:v>
      </x:c>
      <x:c r="C189" s="59" t="str">
        <x:v>Hybryda / Składniki zainstalowane niezależnie od limitów PCC i scenariusza pracy</x:v>
      </x:c>
    </x:row>
    <x:row r="190" ht="30" customHeight="1">
      <x:c r="A190" s="59" t="str">
        <x:v>docs/04_data_model.md</x:v>
      </x:c>
      <x:c r="B190" s="59" t="str">
        <x:v>Wymagania dla przyszłego modelu danych</x:v>
      </x:c>
      <x:c r="C190" s="59" t="str">
        <x:v>Dostępność operatora / Kierunek, napięcie, grupa/stacja, horyzont, wariant WP, ograniczenia i definicja raportu</x:v>
      </x:c>
    </x:row>
    <x:row r="191" ht="38" customHeight="1">
      <x:c r="A191" s="59" t="str">
        <x:v>docs/04_data_model.md</x:v>
      </x:c>
      <x:c r="B191" s="59" t="str">
        <x:v>Wymagania dla przyszłego modelu danych</x:v>
      </x:c>
      <x:c r="C191" s="59" t="str">
        <x:v>Inwestycja / planned/under_construction/commissioned/cancelled/unknown, status dokumentu i daty oczekiwane oddzielone od rzeczywistych</x:v>
      </x:c>
    </x:row>
    <x:row r="192" ht="38" customHeight="1">
      <x:c r="A192" s="59" t="str">
        <x:v>docs/04_data_model.md</x:v>
      </x:c>
      <x:c r="B192" s="59" t="str">
        <x:v>Wymagania dla przyszłego modelu danych</x:v>
      </x:c>
      <x:c r="C192" s="59" t="str">
        <x:v>Wynik analizy / Snapshot, parametry projektu, wersja metody, konfiguracja, czas analizy, źródła wejściowe i wyjaśnienie; score i confidence odrębne</x:v>
      </x:c>
    </x:row>
    <x:row r="193" ht="38" customHeight="1">
      <x:c r="A193" s="59" t="str">
        <x:v>docs/04_data_model.md</x:v>
      </x:c>
      <x:c r="B193" s="59" t="str">
        <x:v>Wymagania dla przyszłego modelu danych</x:v>
      </x:c>
      <x:c r="C193" s="59" t="str">
        <x:v>Szczegółowy projekt SQL/API oraz walidacja kontraktów należą do etapu 2. Katalog źródeł w etapie 1 nie jest zamiennikiem modelu obserwacji technicznych.</x:v>
      </x:c>
    </x:row>
    <x:row r="194" ht="66" customHeight="1">
      <x:c r="A194" s="59" t="str">
        <x:v>docs/04_data_model.md</x:v>
      </x:c>
      <x:c r="B194" s="59" t="str">
        <x:v>Wymagania dla przyszłego modelu danych</x:v>
      </x:c>
      <x:c r="C194"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195" ht="30" customHeight="1">
      <x:c r="A195" s="59" t="str">
        <x:v>docs/05_grid_capacity_methodology.md</x:v>
      </x:c>
      <x:c r="B195" s="59" t="str">
        <x:v>Granice metody oceny dostępności</x:v>
      </x:c>
      <x:c r="C195" s="59" t="str">
        <x:v>10.09.2026 — wymagania badawcze, brak zaimplementowanego silnika mocy.</x:v>
      </x:c>
    </x:row>
    <x:row r="196" ht="30" customHeight="1">
      <x:c r="A196" s="59" t="str">
        <x:v>docs/05_grid_capacity_methodology.md</x:v>
      </x:c>
      <x:c r="B196" s="59" t="str">
        <x:v>Granice metody oceny dostępności</x:v>
      </x:c>
      <x:c r="C196" s="59" t="str">
        <x:v>Pierwszy raport powinien oddzielać:</x:v>
      </x:c>
    </x:row>
    <x:row r="197" ht="66" customHeight="1">
      <x:c r="A197" s="59" t="str">
        <x:v>docs/05_grid_capacity_methodology.md</x:v>
      </x:c>
      <x:c r="B197" s="59" t="str">
        <x:v>Granice metody oceny dostępności</x:v>
      </x:c>
      <x:c r="C197"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198" ht="52" customHeight="1">
      <x:c r="A198" s="59" t="str">
        <x:v>docs/05_grid_capacity_methodology.md</x:v>
      </x:c>
      <x:c r="B198" s="59" t="str">
        <x:v>Granice metody oceny dostępności</x:v>
      </x:c>
      <x:c r="C198"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199" ht="52" customHeight="1">
      <x:c r="A199" s="59" t="str">
        <x:v>docs/05_grid_capacity_methodology.md</x:v>
      </x:c>
      <x:c r="B199" s="59" t="str">
        <x:v>Granice metody oceny dostępności</x:v>
      </x:c>
      <x:c r="C199"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0" ht="52" customHeight="1">
      <x:c r="A200" s="59" t="str">
        <x:v>docs/05_grid_capacity_methodology.md</x:v>
      </x:c>
      <x:c r="B200" s="59" t="str">
        <x:v>Granice metody oceny dostępności</x:v>
      </x:c>
      <x:c r="C200"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1" ht="38" customHeight="1">
      <x:c r="A201" s="59" t="str">
        <x:v>docs/05_grid_capacity_methodology.md</x:v>
      </x:c>
      <x:c r="B201" s="59" t="str">
        <x:v>Granice metody oceny dostępności</x:v>
      </x:c>
      <x:c r="C201" s="59" t="str">
        <x:v>W badaniu nie ustalono parametrów pozwalających wyznaczyć wiarygodny przedział wolnej mocy dla dowolnego GPZ. Nie utworzono sztucznych zakresów MW ani współczynników zastępczych. Dowody: raport, rozdziały 3–4 i 8–9 (01_data_research.md).</x:v>
      </x:c>
    </x:row>
    <x:row r="202" ht="30" customHeight="1">
      <x:c r="A202" s="59" t="str">
        <x:v>docs/06_scoring_methodology.md</x:v>
      </x:c>
      <x:c r="B202" s="59" t="str">
        <x:v>Status Grid Connection Score</x:v>
      </x:c>
      <x:c r="C202" s="59" t="str">
        <x:v>10.09.2026 — metoda nie jest jeszcze zdefiniowana ani wdrożona.</x:v>
      </x:c>
    </x:row>
    <x:row r="203" ht="52" customHeight="1">
      <x:c r="A203" s="59" t="str">
        <x:v>docs/06_scoring_methodology.md</x:v>
      </x:c>
      <x:c r="B203" s="59" t="str">
        <x:v>Status Grid Connection Score</x:v>
      </x:c>
      <x:c r="C203"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04" ht="30" customHeight="1">
      <x:c r="A204" s="59" t="str">
        <x:v>docs/06_scoring_methodology.md</x:v>
      </x:c>
      <x:c r="B204" s="59" t="str">
        <x:v>Status Grid Connection Score</x:v>
      </x:c>
      <x:c r="C204" s="59" t="str">
        <x:v>Potencjalna zmienna / Stan dowodów</x:v>
      </x:c>
    </x:row>
    <x:row r="205" ht="30" customHeight="1">
      <x:c r="A205" s="59" t="str">
        <x:v>docs/06_scoring_methodology.md</x:v>
      </x:c>
      <x:c r="B205" s="59" t="str">
        <x:v>Status Grid Connection Score</x:v>
      </x:c>
      <x:c r="C205" s="59" t="str">
        <x:v>Raportowana dostępność kierunkowa / Dostępna dla określonych jednostek i założeń operatorów</x:v>
      </x:c>
    </x:row>
    <x:row r="206" ht="30" customHeight="1">
      <x:c r="A206" s="59" t="str">
        <x:v>docs/06_scoring_methodology.md</x:v>
      </x:c>
      <x:c r="B206" s="59" t="str">
        <x:v>Status Grid Connection Score</x:v>
      </x:c>
      <x:c r="C206" s="59" t="str">
        <x:v>Znany pipeline i etap / Częściowo dostępny; wymaga deduplikacji i relacji infrastrukturalnych</x:v>
      </x:c>
    </x:row>
    <x:row r="207" ht="30" customHeight="1">
      <x:c r="A207" s="59" t="str">
        <x:v>docs/06_scoring_methodology.md</x:v>
      </x:c>
      <x:c r="B207" s="59" t="str">
        <x:v>Status Grid Connection Score</x:v>
      </x:c>
      <x:c r="C207" s="59" t="str">
        <x:v>Planowane wzmocnienia / Dostępne dokumentacyjnie; terminy i realizacja nie są pewne</x:v>
      </x:c>
    </x:row>
    <x:row r="208" ht="30" customHeight="1">
      <x:c r="A208" s="59" t="str">
        <x:v>docs/06_scoring_methodology.md</x:v>
      </x:c>
      <x:c r="B208" s="59" t="str">
        <x:v>Status Grid Connection Score</x:v>
      </x:c>
      <x:c r="C208" s="59" t="str">
        <x:v>Napięcie i odległość / Dostępne/obliczalne przy znanym obiekcie i geometrii; sama odległość nie rozstrzyga</x:v>
      </x:c>
    </x:row>
    <x:row r="209" ht="30" customHeight="1">
      <x:c r="A209" s="59" t="str">
        <x:v>docs/06_scoring_methodology.md</x:v>
      </x:c>
      <x:c r="B209" s="59" t="str">
        <x:v>Status Grid Connection Score</x:v>
      </x:c>
      <x:c r="C209" s="59" t="str">
        <x:v>Obciążenia i topologia ruchowa / Brak pełnego publicznego pokrycia</x:v>
      </x:c>
    </x:row>
    <x:row r="210" ht="30" customHeight="1">
      <x:c r="A210" s="59" t="str">
        <x:v>docs/06_scoring_methodology.md</x:v>
      </x:c>
      <x:c r="B210" s="59" t="str">
        <x:v>Status Grid Connection Score</x:v>
      </x:c>
      <x:c r="C210" s="59" t="str">
        <x:v>Elastyczność BESS / Parametry kierunkowe częściowo dostępne; strategia pracy i akceptacja warunków często nieznane</x:v>
      </x:c>
    </x:row>
    <x:row r="211" ht="38" customHeight="1">
      <x:c r="A211" s="59" t="str">
        <x:v>docs/06_scoring_methodology.md</x:v>
      </x:c>
      <x:c r="B211" s="59" t="str">
        <x:v>Status Grid Connection Score</x:v>
      </x:c>
      <x:c r="C211" s="59" t="str">
        <x:v>Odmowy, curtailment i redysponowanie / Konieczny właściwy zakres przestrzenny i przyczyna; brak podstaw do automatycznej lokalnej kary</x:v>
      </x:c>
    </x:row>
    <x:row r="212" ht="52" customHeight="1">
      <x:c r="A212" s="59" t="str">
        <x:v>docs/06_scoring_methodology.md</x:v>
      </x:c>
      <x:c r="B212" s="59" t="str">
        <x:v>Status Grid Connection Score</x:v>
      </x:c>
      <x:c r="C212"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13" ht="52" customHeight="1">
      <x:c r="A213" s="59" t="str">
        <x:v>docs/06_scoring_methodology.md</x:v>
      </x:c>
      <x:c r="B213" s="59" t="str">
        <x:v>Status Grid Connection Score</x:v>
      </x:c>
      <x:c r="C213"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14" ht="38" customHeight="1">
      <x:c r="A214" s="59" t="str">
        <x:v>docs/07_data_quality.md</x:v>
      </x:c>
      <x:c r="B214" s="59" t="str">
        <x:v>Jakość danych — ustalenia i kontrola etapu 1</x:v>
      </x:c>
      <x:c r="C214" s="59" t="str">
        <x:v>10.09.2026. Autorytet źródła A–H według AGENTS.md jest oddzielony od kompletności, świeżości, pewności relacji i praw do wykorzystania. Katalog nie zawiera arbitralnych liczbowych ocen jakości.</x:v>
      </x:c>
    </x:row>
    <x:row r="215" ht="30" customHeight="1">
      <x:c r="A215" s="59" t="str">
        <x:v>docs/07_data_quality.md</x:v>
      </x:c>
      <x:c r="B215" s="59" t="str">
        <x:v>Znalezione przypadki wymagające ostrożności</x:v>
      </x:c>
      <x:c r="C215" s="59" t="str">
        <x:v>Przypadek / Dowód / Obsługa</x:v>
      </x:c>
    </x:row>
    <x:row r="216" ht="30" customHeight="1">
      <x:c r="A216" s="59" t="str">
        <x:v>docs/07_data_quality.md</x:v>
      </x:c>
      <x:c r="B216" s="59" t="str">
        <x:v>Znalezione przypadki wymagające ostrożności</x:v>
      </x:c>
      <x:c r="C216" s="59" t="str">
        <x:v>HTTP 200 bez danych / PGE: zachowany HTML odrzucenia, 346 bajtów / BLOCKED; nie sukces parsera</x:v>
      </x:c>
    </x:row>
    <x:row r="217" ht="30" customHeight="1">
      <x:c r="A217" s="59" t="str">
        <x:v>docs/07_data_quality.md</x:v>
      </x:c>
      <x:c r="B217" s="59" t="str">
        <x:v>Znalezione przypadki wymagające ostrożności</x:v>
      </x:c>
      <x:c r="C217" s="59" t="str">
        <x:v>Sprzeczne daty / Energa pipeline: nazwa 31.08, nagłówek i metadane 30.06 / Zachować konflikt, source_date nierozstrzygnięta</x:v>
      </x:c>
    </x:row>
    <x:row r="218" ht="30" customHeight="1">
      <x:c r="A218" s="59" t="str">
        <x:v>docs/07_data_quality.md</x:v>
      </x:c>
      <x:c r="B218" s="59" t="str">
        <x:v>Znalezione przypadki wymagające ostrożności</x:v>
      </x:c>
      <x:c r="C218" s="59" t="str">
        <x:v>Inna data strony i arkusza / PSE: aktualizacja strony 01.09, XLSX stan 31.07 / Dwa odrębne pola, bez „odmładzania” danych</x:v>
      </x:c>
    </x:row>
    <x:row r="219" ht="30" customHeight="1">
      <x:c r="A219" s="59" t="str">
        <x:v>docs/07_data_quality.md</x:v>
      </x:c>
      <x:c r="B219" s="59" t="str">
        <x:v>Znalezione przypadki wymagające ostrożności</x:v>
      </x:c>
      <x:c r="C219" s="59" t="str">
        <x:v>Przyszłe zamiast obecnych mocy / PSE: tabela importowa nowych planowanych stacji / FUTURE_GRID; nie bieżąca rezerwa</x:v>
      </x:c>
    </x:row>
    <x:row r="220" ht="38" customHeight="1">
      <x:c r="A220" s="59" t="str">
        <x:v>docs/07_data_quality.md</x:v>
      </x:c>
      <x:c r="B220" s="59" t="str">
        <x:v>Znalezione przypadki wymagające ostrożności</x:v>
      </x:c>
      <x:c r="C220" s="59" t="str">
        <x:v>Starsze wejścia w nowej publikacji / Stoen: część informacji o małych źródłach z IV kw.2025 / Wiek wejść odrębny od daty wydania</x:v>
      </x:c>
    </x:row>
    <x:row r="221" ht="30" customHeight="1">
      <x:c r="A221" s="59" t="str">
        <x:v>docs/07_data_quality.md</x:v>
      </x:c>
      <x:c r="B221" s="59" t="str">
        <x:v>Znalezione przypadki wymagające ostrożności</x:v>
      </x:c>
      <x:c r="C221" s="59" t="str">
        <x:v>Null w API / PSE poze-redoze: brak wartości w próbce / UNKNOWN, bez zamiany na 0</x:v>
      </x:c>
    </x:row>
    <x:row r="222" ht="30" customHeight="1">
      <x:c r="A222" s="59" t="str">
        <x:v>docs/07_data_quality.md</x:v>
      </x:c>
      <x:c r="B222" s="59" t="str">
        <x:v>Znalezione przypadki wymagające ostrożności</x:v>
      </x:c>
      <x:c r="C222" s="59" t="str">
        <x:v>Najstarsze wyniki bez filtra / PSE $first=2: obserwacje z 2024 / Próba interfejsu, nie snapshot bieżącego KSE</x:v>
      </x:c>
    </x:row>
    <x:row r="223" ht="30" customHeight="1">
      <x:c r="A223" s="59" t="str">
        <x:v>docs/07_data_quality.md</x:v>
      </x:c>
      <x:c r="B223" s="59" t="str">
        <x:v>Znalezione przypadki wymagające ostrożności</x:v>
      </x:c>
      <x:c r="C223" s="59" t="str">
        <x:v>Anonimizacja i nieustalone punkty / TAURON: wybrane wiersze próbki / Brak scalenia „Osoba prawna” do jednego inwestora</x:v>
      </x:c>
    </x:row>
    <x:row r="224" ht="30" customHeight="1">
      <x:c r="A224" s="59" t="str">
        <x:v>docs/07_data_quality.md</x:v>
      </x:c>
      <x:c r="B224" s="59" t="str">
        <x:v>Znalezione przypadki wymagające ostrożności</x:v>
      </x:c>
      <x:c r="C224" s="59" t="str">
        <x:v>Mapowy podgląd bez eksportu / ENEA Power BI / Nie deklarować działającego API danych</x:v>
      </x:c>
    </x:row>
    <x:row r="225" ht="66" customHeight="1">
      <x:c r="A225" s="59" t="str">
        <x:v>docs/07_data_quality.md</x:v>
      </x:c>
      <x:c r="B225" s="59" t="str">
        <x:v>Wykonana kontrola</x:v>
      </x:c>
      <x:c r="C225"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26" ht="52" customHeight="1">
      <x:c r="A226" s="59" t="str">
        <x:v>docs/07_data_quality.md</x:v>
      </x:c>
      <x:c r="B226" s="59" t="str">
        <x:v>Wykonana kontrola</x:v>
      </x:c>
      <x:c r="C226"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27" ht="66" customHeight="1">
      <x:c r="A227" s="59" t="str">
        <x:v>docs/07_data_quality.md</x:v>
      </x:c>
      <x:c r="B227" s="59" t="str">
        <x:v>Wykonana kontrola</x:v>
      </x:c>
      <x:c r="C227"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28" ht="66" customHeight="1">
      <x:c r="A228" s="59" t="str">
        <x:v>docs/07_data_quality.md</x:v>
      </x:c>
      <x:c r="B228" s="59" t="str">
        <x:v>Wymagania dla przyszłych parserów</x:v>
      </x:c>
      <x:c r="C228"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29" ht="52" customHeight="1">
      <x:c r="A229" s="59" t="str">
        <x:v>docs/07_data_quality.md</x:v>
      </x:c>
      <x:c r="B229" s="59" t="str">
        <x:v>Wymagania dla przyszłych parserów</x:v>
      </x:c>
      <x:c r="C229"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30" ht="30" customHeight="1">
      <x:c r="A230" s="59" t="str">
        <x:v>docs/08_roadmap.md</x:v>
      </x:c>
      <x:c r="B230" s="59" t="str">
        <x:v>Proponowane etapy po badaniu źródeł</x:v>
      </x:c>
      <x:c r="C230" s="59" t="str">
        <x:v>10.09.2026 — rekomendacja, nie rozpoczęta implementacja.</x:v>
      </x:c>
    </x:row>
    <x:row r="231" ht="30" customHeight="1">
      <x:c r="A231" s="59" t="str">
        <x:v>docs/08_roadmap.md</x:v>
      </x:c>
      <x:c r="B231" s="59" t="str">
        <x:v>Proponowane etapy po badaniu źródeł</x:v>
      </x:c>
      <x:c r="C231" s="59" t="str">
        <x:v>Etap / Wartość dla użytkownika / Warunki wejścia / zakończenia</x:v>
      </x:c>
    </x:row>
    <x:row r="232" ht="52" customHeight="1">
      <x:c r="A232" s="59" t="str">
        <x:v>docs/08_roadmap.md</x:v>
      </x:c>
      <x:c r="B232" s="59" t="str">
        <x:v>Proponowane etapy po badaniu źródeł</x:v>
      </x:c>
      <x:c r="C232"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33" ht="38" customHeight="1">
      <x:c r="A233" s="59" t="str">
        <x:v>docs/08_roadmap.md</x:v>
      </x:c>
      <x:c r="B233" s="59" t="str">
        <x:v>Proponowane etapy po badaniu źródeł</x:v>
      </x:c>
      <x:c r="C233" s="59" t="str">
        <x:v>V1 — rozszerzenie pokrycia / Kilku operatorów/obszarów, historia zmian, deduplikacja, konflikty, kontrola źródeł, podstawowa mapa dowodów / Mierzalna kompletność i poprawność na próbie referencyjnej; stabilna automatyzacja zgodna z warunkami</x:v>
      </x:c>
    </x:row>
    <x:row r="234" ht="38" customHeight="1">
      <x:c r="A234" s="59" t="str">
        <x:v>docs/08_roadmap.md</x:v>
      </x:c>
      <x:c r="B234" s="59" t="str">
        <x:v>Proponowane etapy po badaniu źródeł</x:v>
      </x:c>
      <x:c r="C234" s="59" t="str">
        <x:v>V2 — scenariusze i warunkowa analityka / Kandydaci przyłączenia, import/eksport BESS, ograniczenia PCC, warianty przyszłej sieci i trasy GIS / Zweryfikowane wejścia i zakres stosowalności; scoring tylko po osobnym opracowaniu i walidacji</x:v>
      </x:c>
    </x:row>
    <x:row r="235" ht="38" customHeight="1">
      <x:c r="A235" s="59" t="str">
        <x:v>docs/08_roadmap.md</x:v>
      </x:c>
      <x:c r="B235" s="59" t="str">
        <x:v>Proponowane etapy po badaniu źródeł</x:v>
      </x:c>
      <x:c r="C235" s="59" t="str">
        <x:v>LONG-TERM — model techniczny / Analizy elektryczne i lepsza kalibracja wyników dla uprawnionych obszarów / Dane operatora/inwestora: topologia, parametry, profile, zdarzenia N-1; referencyjne wyniki studiów</x:v>
      </x:c>
    </x:row>
    <x:row r="236" ht="52" customHeight="1">
      <x:c r="A236" s="59" t="str">
        <x:v>docs/08_roadmap.md</x:v>
      </x:c>
      <x:c r="B236" s="59" t="str">
        <x:v>Proponowane etapy po badaniu źródeł</x:v>
      </x:c>
      <x:c r="C236"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37" ht="38" customHeight="1">
      <x:c r="A237" s="59" t="str">
        <x:v>docs/08_roadmap.md</x:v>
      </x:c>
      <x:c r="B237" s="59" t="str">
        <x:v>Proponowane etapy po badaniu źródeł</x:v>
      </x:c>
      <x:c r="C237" s="59" t="str">
        <x:v>Rozbudowa UI następuje po wiarygodnym raporcie danych. Ogólnopolskie pokrycie nie jest warunkiem sukcesu pilota. Brak lokalnych danych elektrycznych może pozostać trwałą granicą produktu opartego wyłącznie na danych publicznych.</x:v>
      </x:c>
    </x:row>
    <x:row r="238" ht="66" customHeight="1">
      <x:c r="A238" s="59" t="str">
        <x:v>docs/08_roadmap.md</x:v>
      </x:c>
      <x:c r="B238" s="59" t="str">
        <x:v>Proponowane etapy po badaniu źródeł</x:v>
      </x:c>
      <x:c r="C238"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39" ht="38" customHeight="1">
      <x:c r="A239" s="59" t="str">
        <x:v>docs/gpz_pipeline.md</x:v>
      </x:c>
      <x:c r="B239" s="59" t="str">
        <x:v>Widok GPZ — projekty istniejące i pipeline</x:v>
      </x:c>
      <x:c r="C239" s="59" t="str">
        <x:v>Wymaganie użytkownika z 10.09.2026. Status: specyfikacja do pilota, bez wdrożonego interfejsu i bez wprowadzania danych projektowych.</x:v>
      </x:c>
    </x:row>
    <x:row r="240" ht="30" customHeight="1">
      <x:c r="A240" s="59" t="str">
        <x:v>docs/gpz_pipeline.md</x:v>
      </x:c>
      <x:c r="B240" s="59" t="str">
        <x:v>Widok GPZ — projekty istniejące i pipeline</x:v>
      </x:c>
      <x:c r="C240" s="59" t="str">
        <x:v>Po wybraniu GPZ użytkownik powinien zobaczyć projekty w trzech grupach, z datą stanu źródeł i możliwością obejrzenia dowodów:</x:v>
      </x:c>
    </x:row>
    <x:row r="241" ht="30" customHeight="1">
      <x:c r="A241" s="59" t="str">
        <x:v>docs/gpz_pipeline.md</x:v>
      </x:c>
      <x:c r="B241" s="59" t="str">
        <x:v>Widok GPZ — projekty istniejące i pipeline</x:v>
      </x:c>
      <x:c r="C241" s="59" t="str">
        <x:v>Grupa / Warunek zakwalifikowania / Szczegóły widoczne dla użytkownika</x:v>
      </x:c>
    </x:row>
    <x:row r="242" ht="38" customHeight="1">
      <x:c r="A242" s="59" t="str">
        <x:v>docs/gpz_pipeline.md</x:v>
      </x:c>
      <x:c r="B242" s="59" t="str">
        <x:v>Widok GPZ — projekty istniejące i pipeline</x:v>
      </x:c>
      <x:c r="C242" s="59" t="str">
        <x:v>A. Przyłączone / Źródło potwierdza wykonane przyłączenie do tej stacji / Data przyłączenia, status eksploatacji, jeśli osobno znany; sama umowa lub WP nie wystarcza</x:v>
      </x:c>
    </x:row>
    <x:row r="243" ht="38" customHeight="1">
      <x:c r="A243" s="59" t="str">
        <x:v>docs/gpz_pipeline.md</x:v>
      </x:c>
      <x:c r="B243" s="59" t="str">
        <x:v>Widok GPZ — projekty istniejące i pipeline</x:v>
      </x:c>
      <x:c r="C243" s="59" t="str">
        <x:v>B. Planowane do przyłączenia / Udokumentowane planowane przyłączenie, bez potwierdzenia wykonania / Osobno: plan wstępny, wydane WP, umowa, budowa; plan bez wniosku nie jest rezerwacją mocy</x:v>
      </x:c>
    </x:row>
    <x:row r="244" ht="38" customHeight="1">
      <x:c r="A244" s="59" t="str">
        <x:v>docs/gpz_pipeline.md</x:v>
      </x:c>
      <x:c r="B244" s="59" t="str">
        <x:v>Widok GPZ — projekty istniejące i pipeline</x:v>
      </x:c>
      <x:c r="C244"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45" ht="52" customHeight="1">
      <x:c r="A245" s="59" t="str">
        <x:v>docs/gpz_pipeline.md</x:v>
      </x:c>
      <x:c r="B245" s="59" t="str">
        <x:v>Widok GPZ — projekty istniejące i pipeline</x:v>
      </x:c>
      <x:c r="C245"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46" ht="52" customHeight="1">
      <x:c r="A246" s="59" t="str">
        <x:v>docs/gpz_pipeline.md</x:v>
      </x:c>
      <x:c r="B246" s="59" t="str">
        <x:v>Widok GPZ — projekty istniejące i pipeline</x:v>
      </x:c>
      <x:c r="C246"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47" ht="52" customHeight="1">
      <x:c r="A247" s="59" t="str">
        <x:v>docs/gpz_pipeline.md</x:v>
      </x:c>
      <x:c r="B247" s="59" t="str">
        <x:v>Powiązanie projektu ze stacją</x:v>
      </x:c>
      <x:c r="C247"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48" ht="52" customHeight="1">
      <x:c r="A248" s="59" t="str">
        <x:v>docs/gpz_pipeline.md</x:v>
      </x:c>
      <x:c r="B248" s="59" t="str">
        <x:v>Powiązanie projektu ze stacją</x:v>
      </x:c>
      <x:c r="C248"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49" ht="52" customHeight="1">
      <x:c r="A249" s="59" t="str">
        <x:v>docs/gpz_pipeline.md</x:v>
      </x:c>
      <x:c r="B249" s="59" t="str">
        <x:v>Informacje i podsumowania</x:v>
      </x:c>
      <x:c r="C249"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50" ht="52" customHeight="1">
      <x:c r="A250" s="59" t="str">
        <x:v>docs/gpz_pipeline.md</x:v>
      </x:c>
      <x:c r="B250" s="59" t="str">
        <x:v>Informacje i podsumowania</x:v>
      </x:c>
      <x:c r="C250"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51" ht="52" customHeight="1">
      <x:c r="A251" s="59" t="str">
        <x:v>docs/gpz_pipeline.md</x:v>
      </x:c>
      <x:c r="B251" s="59" t="str">
        <x:v>Informacje i podsumowania</x:v>
      </x:c>
      <x:c r="C251"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52" ht="52" customHeight="1">
      <x:c r="A252" s="59" t="str">
        <x:v>docs/gpz_pipeline.md</x:v>
      </x:c>
      <x:c r="B252" s="59" t="str">
        <x:v>Informacje i podsumowania</x:v>
      </x:c>
      <x:c r="C252"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53" ht="80" customHeight="1">
      <x:c r="A253" s="59" t="str">
        <x:v>docs/gpz_pipeline.md</x:v>
      </x:c>
      <x:c r="B253" s="59" t="str">
        <x:v>Warunki gotowości pilota</x:v>
      </x:c>
      <x:c r="C253"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54" ht="38" customHeight="1">
      <x:c r="A254" s="59" t="str">
        <x:v>docs/gpz_pipeline.md</x:v>
      </x:c>
      <x:c r="B254" s="59" t="str">
        <x:v>Warunki gotowości pilota</x:v>
      </x:c>
      <x:c r="C254" s="59" t="str">
        <x:v>Źródła kandydackie i ich ograniczenia są już opisane w katalogu (data_sources.md) oraz macierzy wykonalności (02_feasibility_matrix.md). Specyfikacja nie potwierdza kompletności takich list dla wszystkich GPZ w Polsce.</x:v>
      </x:c>
    </x:row>
    <x:row r="255" ht="80" customHeight="1">
      <x:c r="A255" s="59" t="str">
        <x:v>docs/decision_log.md</x:v>
      </x:c>
      <x:c r="B255" s="59" t="str">
        <x:v>2026-09-10 — Zakres etapu 1</x:v>
      </x:c>
      <x:c r="C255"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56" ht="80" customHeight="1">
      <x:c r="A256" s="59" t="str">
        <x:v>docs/decision_log.md</x:v>
      </x:c>
      <x:c r="B256" s="59" t="str">
        <x:v>2026-09-10 — Proweniencja i status weryfikacji</x:v>
      </x:c>
      <x:c r="C256"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57" ht="80" customHeight="1">
      <x:c r="A257" s="59" t="str">
        <x:v>docs/decision_log.md</x:v>
      </x:c>
      <x:c r="B257" s="59" t="str">
        <x:v>2026-09-10 — Brak sztucznej dokładności i scoringu</x:v>
      </x:c>
      <x:c r="C257"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58" ht="94" customHeight="1">
      <x:c r="A258" s="59" t="str">
        <x:v>docs/decision_log.md</x:v>
      </x:c>
      <x:c r="B258" s="59" t="str">
        <x:v>2026-09-10 — Daty i grupy raportowania są częścią danych</x:v>
      </x:c>
      <x:c r="C258"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59" ht="38" customHeight="1">
      <x:c r="A259" s="59" t="str">
        <x:v>docs/decision_log.md</x:v>
      </x:c>
      <x:c r="B259" s="59" t="str">
        <x:v>2026-09-10 — Daty i grupy raportowania są częścią danych</x:v>
      </x:c>
      <x:c r="C259" s="59" t="str">
        <x:v>Consequences: Rozstrzygnięcie konfliktu i interpretacja tabel są warunkami normalizacji.</x:v>
      </x:c>
    </x:row>
    <x:row r="260" ht="80" customHeight="1">
      <x:c r="A260" s="59" t="str">
        <x:v>docs/decision_log.md</x:v>
      </x:c>
      <x:c r="B260" s="59" t="str">
        <x:v>2026-09-10 — Architektura pozostaje propozycją</x:v>
      </x:c>
      <x:c r="C260"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61" ht="94" customHeight="1">
      <x:c r="A261" s="59" t="str">
        <x:v>docs/decision_log.md</x:v>
      </x:c>
      <x:c r="B261" s="59" t="str">
        <x:v>2026-09-10 — Git i odtwarzalne snapshoty</x:v>
      </x:c>
      <x:c r="C261"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62" ht="38" customHeight="1">
      <x:c r="A262" s="59" t="str">
        <x:v>docs/decision_log.md</x:v>
      </x:c>
      <x:c r="B262" s="59" t="str">
        <x:v>2026-09-10 — Git i odtwarzalne snapshoty</x:v>
      </x:c>
      <x:c r="C262" s="59" t="str">
        <x:v>ZIP; nie skonfigurowano zewnętrznego magazynu danych. Consequences: Autor z adresem GitHub noreply, lokalne commity po sprawdzeniu, push odrębny od zapisu lokalnego; zależności badawcze przypięte do wersji.</x:v>
      </x:c>
    </x:row>
    <x:row r="263" ht="30" customHeight="1">
      <x:c r="A263" s="59" t="str">
        <x:v>docs/decision_log.md</x:v>
      </x:c>
      <x:c r="B263" s="59" t="str">
        <x:v>2026-09-10 — Lokalne sekrety i widok pipeline GPZ</x:v>
      </x:c>
      <x:c r="C263" s="59" t="str">
        <x:v>Date: 2026-09-10</x:v>
      </x:c>
    </x:row>
    <x:row r="264" ht="30" customHeight="1">
      <x:c r="A264" s="59" t="str">
        <x:v>docs/decision_log.md</x:v>
      </x:c>
      <x:c r="B264" s="59" t="str">
        <x:v>2026-09-10 — Lokalne sekrety i widok pipeline GPZ</x:v>
      </x:c>
      <x:c r="C264" s="59" t="str">
        <x:v>Decision: Wykluczyć _secrets/ z Git i opisać trzy grupy projektów wybranego GPZ.</x:v>
      </x:c>
    </x:row>
    <x:row r="265" ht="38" customHeight="1">
      <x:c r="A265" s="59" t="str">
        <x:v>docs/decision_log.md</x:v>
      </x:c>
      <x:c r="B265" s="59" t="str">
        <x:v>2026-09-10 — Lokalne sekrety i widok pipeline GPZ</x:v>
      </x:c>
      <x:c r="C265" s="59" t="str">
        <x:v>Context: Użytkownik dodał lokalne poświadczenie ENTSO-E oraz wskazał potrzebę rozróżnienia projektów przyłączonych, planowanych i wniosków bez odpowiedzi.</x:v>
      </x:c>
    </x:row>
    <x:row r="266" ht="38" customHeight="1">
      <x:c r="A266" s="59" t="str">
        <x:v>docs/decision_log.md</x:v>
      </x:c>
      <x:c r="B266" s="59" t="str">
        <x:v>2026-09-10 — Lokalne sekrety i widok pipeline GPZ</x:v>
      </x:c>
      <x:c r="C266" s="59" t="str">
        <x:v>Options considered: Sam status projektu; odrębne wykonanie przyłączenia, eksploatacja i procedury wniosków. Interpretowanie pustej daty odpowiedzi jako oczekiwania albo jawne UNKNOWN.</x:v>
      </x:c>
    </x:row>
    <x:row r="267" ht="38" customHeight="1">
      <x:c r="A267" s="59" t="str">
        <x:v>docs/decision_log.md</x:v>
      </x:c>
      <x:c r="B267" s="59" t="str">
        <x:v>2026-09-10 — Lokalne sekrety i widok pipeline GPZ</x:v>
      </x:c>
      <x:c r="C267" s="59" t="str">
        <x:v>Selected option: Specyfikacja gpz_pipeline.md, odrębne wnioski i dowody statusu; brak potwierdzenia odpowiedzi nie jest potwierdzonym oczekiwaniem. Folder sekretów ignorowany rekurencyjnie, bez odczytu zawartości.</x:v>
      </x:c>
    </x:row>
    <x:row r="268" ht="30" customHeight="1">
      <x:c r="A268" s="59" t="str">
        <x:v>docs/decision_log.md</x:v>
      </x:c>
      <x:c r="B268" s="59" t="str">
        <x:v>2026-09-10 — Lokalne sekrety i widok pipeline GPZ</x:v>
      </x:c>
      <x:c r="C268" s="59" t="str">
        <x:v>Reason: Użyteczność raportu GPZ przy zachowaniu poprawnych statusów, deduplikacji i ochrony poświadczeń.</x:v>
      </x:c>
    </x:row>
    <x:row r="269" ht="30" customHeight="1">
      <x:c r="A269" s="59" t="str">
        <x:v>docs/decision_log.md</x:v>
      </x:c>
      <x:c r="B269" s="59" t="str">
        <x:v>2026-09-10 — Lokalne sekrety i widok pipeline GPZ</x:v>
      </x:c>
      <x:c r="C269" s="59" t="str">
        <x:v>Trade-offs: Nie każdy publiczny rekord pozwala wypełnić jedną z trzech grup; potrzebna kategoria nieznana/konfliktowa.</x:v>
      </x:c>
    </x:row>
    <x:row r="270" ht="30" customHeight="1">
      <x:c r="A270" s="59" t="str">
        <x:v>docs/decision_log.md</x:v>
      </x:c>
      <x:c r="B270" s="59" t="str">
        <x:v>2026-09-10 — Lokalne sekrety i widok pipeline GPZ</x:v>
      </x:c>
      <x:c r="C270" s="59" t="str">
        <x:v>Consequences: Rozszerzono wymagania pilota i modelu danych; nie wdrożono jeszcze funkcji ani nie użyto klucza API.</x:v>
      </x:c>
    </x:row>
    <x:row r="271" ht="30" customHeight="1">
      <x:c r="A271" s="59" t="str">
        <x:v>docs/decision_log.md</x:v>
      </x:c>
      <x:c r="B271" s="59" t="str">
        <x:v>2026-09-10 — Stały TODO i generowany raport Excel</x:v>
      </x:c>
      <x:c r="C271" s="59" t="str">
        <x:v>Date: 2026-09-10</x:v>
      </x:c>
    </x:row>
    <x:row r="272" ht="30" customHeight="1">
      <x:c r="A272" s="59" t="str">
        <x:v>docs/decision_log.md</x:v>
      </x:c>
      <x:c r="B272" s="59" t="str">
        <x:v>2026-09-10 — Stały TODO i generowany raport Excel</x:v>
      </x:c>
      <x:c r="C272" s="59" t="str">
        <x:v>Decision: Utrzymywać jeden strukturalny rejestr zadań i generować z plików projektu szczegółowy raport XLSX.</x:v>
      </x:c>
    </x:row>
    <x:row r="273" ht="30" customHeight="1">
      <x:c r="A273" s="59" t="str">
        <x:v>docs/decision_log.md</x:v>
      </x:c>
      <x:c r="B273" s="59" t="str">
        <x:v>2026-09-10 — Stały TODO i generowany raport Excel</x:v>
      </x:c>
      <x:c r="C273" s="59" t="str">
        <x:v>Context: Użytkownik poprosił o prowadzenie TODO oraz skrypt do pełnego raportowania projektu; wybrał szablon Project Tracker.</x:v>
      </x:c>
    </x:row>
    <x:row r="274" ht="38" customHeight="1">
      <x:c r="A274" s="59" t="str">
        <x:v>docs/decision_log.md</x:v>
      </x:c>
      <x:c r="B274" s="59" t="str">
        <x:v>2026-09-10 — Stały TODO i generowany raport Excel</x:v>
      </x:c>
      <x:c r="C274" s="59" t="str">
        <x:v>Options considered: Ręcznie aktualizowany Excel; osobne niesynchronizowane listy; JSON jako źródło i generowane widoki Markdown/Excel.</x:v>
      </x:c>
    </x:row>
    <x:row r="275" ht="38" customHeight="1">
      <x:c r="A275" s="59" t="str">
        <x:v>docs/decision_log.md</x:v>
      </x:c>
      <x:c r="B275" s="59" t="str">
        <x:v>2026-09-10 — Stały TODO i generowany raport Excel</x:v>
      </x:c>
      <x:c r="C275" s="59" t="str">
        <x:v>Selected option: data/project/todo.json, stałe ID, zależności i kryteria; generator Node.js z dołączonym artifact-tool oraz zachowanym szablonem. Pełny raport obejmuje wszystkie źródła, wykonalność, ryzyka, dokumentację i zapisane kontrole.</x:v>
      </x:c>
    </x:row>
    <x:row r="276" ht="38" customHeight="1">
      <x:c r="A276" s="59" t="str">
        <x:v>docs/decision_log.md</x:v>
      </x:c>
      <x:c r="B276" s="59" t="str">
        <x:v>2026-09-10 — Stały TODO i generowany raport Excel</x:v>
      </x:c>
      <x:c r="C276" s="59" t="str">
        <x:v>Reason: Utrzymanie historii w Git i odtwarzalnego powiązania raportu z konkretnymi wejściami. Brak podwójnej ręcznej edycji statusów.</x:v>
      </x:c>
    </x:row>
    <x:row r="277" ht="52" customHeight="1">
      <x:c r="A277" s="59" t="str">
        <x:v>docs/decision_log.md</x:v>
      </x:c>
      <x:c r="B277" s="59" t="str">
        <x:v>2026-09-10 — Stały TODO i generowany raport Excel</x:v>
      </x:c>
      <x:c r="C277"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278" ht="38" customHeight="1">
      <x:c r="A278" s="59" t="str">
        <x:v>docs/decision_log.md</x:v>
      </x:c>
      <x:c r="B278" s="59" t="str">
        <x:v>2026-09-10 — Stały TODO i generowany raport Excel</x:v>
      </x:c>
      <x:c r="C278" s="59" t="str">
        <x:v>Consequences: Dodano walidację zależności, dowodów zakończenia, schematu wykonalności oraz manifest raportu z hashami wejść. Sekrety pozostają poza raportem. Nie rozpoczęto implementacji analitycznej aplikacji.</x:v>
      </x:c>
    </x:row>
    <x:row r="279" ht="38" customHeight="1">
      <x:c r="A279" s="59" t="str">
        <x:v>docs/discovery_log.md</x:v>
      </x:c>
      <x:c r="B279" s="59" t="str">
        <x:v>Zakres odkrywania interfejsów — 10.09.2026</x:v>
      </x:c>
      <x:c r="C279" s="59" t="str">
        <x:v>Uzupełnienie raportu (01_data_research.md) i katalogu (data_sources.md). To macierz wyników pierwszego badania, nie certyfikat nieistnienia nieodnalezionego interfejsu.</x:v>
      </x:c>
    </x:row>
    <x:row r="280" ht="52" customHeight="1">
      <x:c r="A280" s="59" t="str">
        <x:v>docs/discovery_log.md</x:v>
      </x:c>
      <x:c r="B280" s="59" t="str">
        <x:v>Zakres odkrywania interfejsów — 10.09.2026</x:v>
      </x:c>
      <x:c r="C280"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281" ht="30" customHeight="1">
      <x:c r="A281" s="59" t="str">
        <x:v>docs/discovery_log.md</x:v>
      </x:c>
      <x:c r="B281" s="59" t="str">
        <x:v>Zakres odkrywania interfejsów — 10.09.2026</x:v>
      </x:c>
      <x:c r="C281" s="59" t="str">
        <x:v>Rodzina / API / dane strukturalne / GIS / Dokumenty / pozostałe / Dowód w katalogu</x:v>
      </x:c>
    </x:row>
    <x:row r="282" ht="38" customHeight="1">
      <x:c r="A282" s="59" t="str">
        <x:v>docs/discovery_log.md</x:v>
      </x:c>
      <x:c r="B282" s="59" t="str">
        <x:v>Zakres odkrywania interfejsów — 10.09.2026</x:v>
      </x:c>
      <x:c r="C282" s="59" t="str">
        <x:v>PSE / Działa API JSON, pobrano OpenAPI i XLSX / Nie potwierdzono publicznego operacyjnego WFS/ArcGIS ani pełnej topologii API / PDF mocy i planów; dokumentacja strukturalna B2B to odrębny zakres / PSE_API, PSE_PIPELINE, PSE_CAPACITY, PSE_STRUCT_B2B</x:v>
      </x:c>
    </x:row>
    <x:row r="283" ht="38" customHeight="1">
      <x:c r="A283" s="59" t="str">
        <x:v>docs/discovery_log.md</x:v>
      </x:c>
      <x:c r="B283" s="59" t="str">
        <x:v>Zakres odkrywania interfejsów — 10.09.2026</x:v>
      </x:c>
      <x:c r="C283" s="59" t="str">
        <x:v>PGE / Brak potwierdzenia; odczyt blokowany / Nie potwierdzono / Wskazania PDF; treść niepotwierdzona / PGE_LANDING, PGE_EXPORT_DISCOVERY, PGE_PLAN_DISCOVERY</x:v>
      </x:c>
    </x:row>
    <x:row r="284" ht="38" customHeight="1">
      <x:c r="A284" s="59" t="str">
        <x:v>docs/discovery_log.md</x:v>
      </x:c>
      <x:c r="B284" s="59" t="str">
        <x:v>Zakres odkrywania interfejsów — 10.09.2026</x:v>
      </x:c>
      <x:c r="C284" s="59" t="str">
        <x:v>ENEA / Nie potwierdzono publicznego API; Power BI w HTML / Viewer; nie potwierdzono WFS/WMS/GeoJSON do pobierania infrastruktury / Wykazy, kryteria SN, plan / ENEA_MAP, ENEA_PIPELINE, ENEA_PLAN</x:v>
      </x:c>
    </x:row>
    <x:row r="285" ht="38" customHeight="1">
      <x:c r="A285" s="59" t="str">
        <x:v>docs/discovery_log.md</x:v>
      </x:c>
      <x:c r="B285" s="59" t="str">
        <x:v>Zakres odkrywania interfejsów — 10.09.2026</x:v>
      </x:c>
      <x:c r="C285" s="59" t="str">
        <x:v>TAURON / Nie potwierdzono publicznego API portalu / Viewer dostępności; brak potwierdzonego eksportu topologii / Pobrany PDF wykazu, indeks planu / TAURON_PIPELINE, TAURON_MAP, TAURON_PLAN</x:v>
      </x:c>
    </x:row>
    <x:row r="286" ht="38" customHeight="1">
      <x:c r="A286" s="59" t="str">
        <x:v>docs/discovery_log.md</x:v>
      </x:c>
      <x:c r="B286" s="59" t="str">
        <x:v>Zakres odkrywania interfejsów — 10.09.2026</x:v>
      </x:c>
      <x:c r="C286" s="59" t="str">
        <x:v>Energa / Nie potwierdzono publicznego API badanych wykazów / Nie potwierdzono operacyjnej topologii GIS / Pobrane osobne PDF eksport/import/pipeline; plan / ENERGA_*</x:v>
      </x:c>
    </x:row>
    <x:row r="287" ht="38" customHeight="1">
      <x:c r="A287" s="59" t="str">
        <x:v>docs/discovery_log.md</x:v>
      </x:c>
      <x:c r="B287" s="59" t="str">
        <x:v>Zakres odkrywania interfejsów — 10.09.2026</x:v>
      </x:c>
      <x:c r="C287" s="59" t="str">
        <x:v>Stoen / Nie potwierdzono publicznego API / Nie potwierdzono operacyjnej topologii GIS / PDF kierunkowych mocy; linki rejestrów i planu / STOEN_*</x:v>
      </x:c>
    </x:row>
    <x:row r="288" ht="30" customHeight="1">
      <x:c r="A288" s="59" t="str">
        <x:v>docs/discovery_log.md</x:v>
      </x:c>
      <x:c r="B288" s="59" t="str">
        <x:v>Zakres odkrywania interfejsów — 10.09.2026</x:v>
      </x:c>
      <x:c r="C288" s="59" t="str">
        <x:v>KGHM OSDn / Linki do arkuszy; nie zwalidowano załączników / Nie potwierdzono / Publiczne informacje OSD i rejestry / KGHM_OSD</x:v>
      </x:c>
    </x:row>
    <x:row r="289" ht="38" customHeight="1">
      <x:c r="A289" s="59" t="str">
        <x:v>docs/discovery_log.md</x:v>
      </x:c>
      <x:c r="B289" s="59" t="str">
        <x:v>Zakres odkrywania interfejsów — 10.09.2026</x:v>
      </x:c>
      <x:c r="C289" s="59" t="str">
        <x:v>GUGiK / Pliki i GeoParquet; dokumentowane usługi / Potwierdzony WFS GetCapabilities EGiB; dokumentacja WMS/WMTS/WCS pozostałych produktów / Dane katastralne/topograficzne/terenowe, integracja MPZP / GUGIK_*</x:v>
      </x:c>
    </x:row>
    <x:row r="290" ht="30" customHeight="1">
      <x:c r="A290" s="59" t="str">
        <x:v>docs/discovery_log.md</x:v>
      </x:c>
      <x:c r="B290" s="59" t="str">
        <x:v>Zakres odkrywania interfejsów — 10.09.2026</x:v>
      </x:c>
      <x:c r="C290" s="59" t="str">
        <x:v>GDOŚ / OGC XML / Potwierdzony WFS GetCapabilities, opis WMS / Ochrona przyrody; akty prawne osobno / GDOS_GIS</x:v>
      </x:c>
    </x:row>
    <x:row r="291" ht="38" customHeight="1">
      <x:c r="A291" s="59" t="str">
        <x:v>docs/discovery_log.md</x:v>
      </x:c>
      <x:c r="B291" s="59" t="str">
        <x:v>Zakres odkrywania interfejsów — 10.09.2026</x:v>
      </x:c>
      <x:c r="C291" s="59" t="str">
        <x:v>Wody Polskie / BDL / Zależnie od produktu / Opis WMS i WFS/WMTS BDL, adresy usług ArcGIS; brak testu całego pobierania / Procedury udostępniania / WODY_SIGW, BDL_GIS</x:v>
      </x:c>
    </x:row>
    <x:row r="292" ht="38" customHeight="1">
      <x:c r="A292" s="59" t="str">
        <x:v>docs/discovery_log.md</x:v>
      </x:c>
      <x:c r="B292" s="59" t="str">
        <x:v>Zakres odkrywania interfejsów — 10.09.2026</x:v>
      </x:c>
      <x:c r="C292" s="59" t="str">
        <x:v>ENTSO-E / REST/XML z tokenem, nie wykonano zapytania / Mapa PDF nie jest API topologii / Warunki ponownego wykorzystania według datasetu / ENTSOE_TP, ENTSOE_MAP</x:v>
      </x:c>
    </x:row>
    <x:row r="293" ht="38" customHeight="1">
      <x:c r="A293" s="59" t="str">
        <x:v>docs/discovery_log.md</x:v>
      </x:c>
      <x:c r="B293" s="59" t="str">
        <x:v>Zakres odkrywania interfejsów — 10.09.2026</x:v>
      </x:c>
      <x:c r="C293" s="59" t="str">
        <x:v>OSM/OpenInfraMap / Regionalny PBF; Overpass jako wskazany kanał małych ekstraktów / Geometria społecznościowa, nie potwierdzone relacje operatora / ODbL; OpenInfraMap nie jest drugim źródłem / OSM_LICENSE, GEOFABRIK_PL, OPENINFRAMAP</x:v>
      </x:c>
    </x:row>
    <x:row r="294" ht="38" customHeight="1">
      <x:c r="A294" s="59" t="str">
        <x:v>docs/discovery_log.md</x:v>
      </x:c>
      <x:c r="B294" s="59" t="str">
        <x:v>Zakres odkrywania interfejsów — 10.09.2026</x:v>
      </x:c>
      <x:c r="C294" s="59" t="str">
        <x:v>Modele otwarte / Repozytoria GitHub i formaty modeli / Geometria i parametry mogą być inferowane / PyPSA-Eur i historyczny MATPOWER nie są aktualnym operacyjnym KSE / PYPSA_EUR, MATPOWER_POLAND</x:v>
      </x:c>
    </x:row>
    <x:row r="295" ht="52" customHeight="1">
      <x:c r="A295" s="59" t="str">
        <x:v>docs/discovery_log.md</x:v>
      </x:c>
      <x:c r="B295" s="59" t="str">
        <x:v>Zakres odkrywania interfejsów — 10.09.2026</x:v>
      </x:c>
      <x:c r="C295"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296" ht="94" customHeight="1">
      <x:c r="A296" s="59" t="str">
        <x:v>docs/discovery_log.md</x:v>
      </x:c>
      <x:c r="B296" s="59" t="str">
        <x:v>Otwarte działania po badaniu</x:v>
      </x:c>
      <x:c r="C296"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297" ht="38" customHeight="1">
      <x:c r="A297" s="59" t="str">
        <x:v>docs/discovery_log.md</x:v>
      </x:c>
      <x:c r="B297" s="59" t="str">
        <x:v>Otwarte działania po badaniu</x:v>
      </x:c>
      <x:c r="C297" s="59" t="str">
        <x:v>Nie traktować powyższej listy jako zaległej implementacji w etapie 1: są to ujawnione warunki wejścia do dalszych etapów. Źródła o niepotwierdzonej treści pozostają oznaczone jako niepotwierdzone.</x:v>
      </x:c>
    </x:row>
    <x:row r="298" ht="52" customHeight="1">
      <x:c r="A298" s="59" t="str">
        <x:v>docs/reproducibility.md</x:v>
      </x:c>
      <x:c r="B298" s="59" t="str">
        <x:v>Wersjonowanie i odtwarzalność</x:v>
      </x:c>
      <x:c r="C298"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299" ht="30" customHeight="1">
      <x:c r="A299" s="59" t="str">
        <x:v>docs/reproducibility.md</x:v>
      </x:c>
      <x:c r="B299" s="59" t="str">
        <x:v>Dwa elementy kopii projektu</x:v>
      </x:c>
      <x:c r="C299" s="59" t="str">
        <x:v>Element / Co zachowuje / Gdzie</x:v>
      </x:c>
    </x:row>
    <x:row r="300" ht="38" customHeight="1">
      <x:c r="A300" s="59" t="str">
        <x:v>docs/reproducibility.md</x:v>
      </x:c>
      <x:c r="B300" s="59" t="str">
        <x:v>Dwa elementy kopii projektu</x:v>
      </x:c>
      <x:c r="C300" s="59" t="str">
        <x:v>Historia Git / Dokumentacja, notatki źródłowe, skrypty, konfiguracja, wersje zależności, hash i lista próbek / Lokalnie .git, po push także prywatne GitHub</x:v>
      </x:c>
    </x:row>
    <x:row r="301" ht="30" customHeight="1">
      <x:c r="A301" s="59" t="str">
        <x:v>docs/reproducibility.md</x:v>
      </x:c>
      <x:c r="B301" s="59" t="str">
        <x:v>Dwa elementy kopii projektu</x:v>
      </x:c>
      <x:c r="C301" s="59" t="str">
        <x:v>Archiwum badania / Dokładne bajty pobranych plików i kontrolnych podglądów oraz manifesty / data/archives/, pomijane przez Git</x:v>
      </x:c>
    </x:row>
    <x:row r="302" ht="66" customHeight="1">
      <x:c r="A302" s="59" t="str">
        <x:v>docs/reproducibility.md</x:v>
      </x:c>
      <x:c r="B302" s="59" t="str">
        <x:v>Dwa elementy kopii projektu</x:v>
      </x:c>
      <x:c r="C302"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03" ht="38" customHeight="1">
      <x:c r="A303" s="59" t="str">
        <x:v>docs/reproducibility.md</x:v>
      </x:c>
      <x:c r="B303" s="59" t="str">
        <x:v>Dwa elementy kopii projektu</x:v>
      </x:c>
      <x:c r="C303" s="59" t="str">
        <x:v>URL pozwala ponowić pobranie, ale nie gwarantuje identycznej historycznej wersji. Gdy operator podmieni plik, nie wolno zastąpić starego snapshotu nową treścią i twierdzić, że odtworzono stare badanie. Dlatego zachowujemy osobne kopie oraz SHA-256.</x:v>
      </x:c>
    </x:row>
    <x:row r="304" ht="38" customHeight="1">
      <x:c r="A304" s="59" t="str">
        <x:v>docs/reproducibility.md</x:v>
      </x:c>
      <x:c r="B304" s="59" t="str">
        <x:v>Odtworzenie na komputerze z Pythonem</x:v>
      </x:c>
      <x:c r="C304" s="59" t="str">
        <x:v>Badanie sprawdzono na Pythonie 3.12.14. Dokładne użyte pakiety zapisano w requirements-research.txt. W PowerShell, w folderze repozytorium:</x:v>
      </x:c>
    </x:row>
    <x:row r="305" ht="52" customHeight="1">
      <x:c r="A305" s="59" t="str">
        <x:v>docs/reproducibility.md</x:v>
      </x:c>
      <x:c r="B305" s="59" t="str">
        <x:v>Odtworzenie na komputerze z Pythonem</x:v>
      </x:c>
      <x:c r="C305"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06" ht="52" customHeight="1">
      <x:c r="A306" s="59" t="str">
        <x:v>docs/reproducibility.md</x:v>
      </x:c>
      <x:c r="B306" s="59" t="str">
        <x:v>Odtworzenie na komputerze z Pythonem</x:v>
      </x:c>
      <x:c r="C306"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07" ht="52" customHeight="1">
      <x:c r="A307" s="59" t="str">
        <x:v>docs/reproducibility.md</x:v>
      </x:c>
      <x:c r="B307" s="59" t="str">
        <x:v>Odtworzenie na komputerze z Pythonem</x:v>
      </x:c>
      <x:c r="C307"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08" ht="66" customHeight="1">
      <x:c r="A308" s="59" t="str">
        <x:v>docs/reproducibility.md</x:v>
      </x:c>
      <x:c r="B308" s="59" t="str">
        <x:v>Test odtwarzania wykonany 10.09.2026</x:v>
      </x:c>
      <x:c r="C308"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09" ht="66" customHeight="1">
      <x:c r="A309" s="59" t="str">
        <x:v>docs/reproducibility.md</x:v>
      </x:c>
      <x:c r="B309" s="59" t="str">
        <x:v>Budowanie kolejnego archiwum</x:v>
      </x:c>
      <x:c r="C309"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10" ht="52" customHeight="1">
      <x:c r="A310" s="59" t="str">
        <x:v>docs/reproducibility.md</x:v>
      </x:c>
      <x:c r="B310" s="59" t="str">
        <x:v>Budowanie kolejnego archiwum</x:v>
      </x:c>
      <x:c r="C310"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11" ht="30" customHeight="1">
      <x:c r="A311" s="59" t="str">
        <x:v>docs/git_workflow.md</x:v>
      </x:c>
      <x:c r="B311" s="59" t="str">
        <x:v>Git i GitHub — instrukcja dla tego projektu</x:v>
      </x:c>
      <x:c r="C311" s="59" t="str">
        <x:v>Przygotowano 10.09.2026. Folder: C:\Users\woloo\Desktop\KSE. Repozytorium: woloo-del/KSE (https://github.com/woloo-del/KSE).</x:v>
      </x:c>
    </x:row>
    <x:row r="312" ht="38" customHeight="1">
      <x:c r="A312" s="59" t="str">
        <x:v>docs/git_workflow.md</x:v>
      </x:c>
      <x:c r="B312" s="59" t="str">
        <x:v>Git i GitHub — instrukcja dla tego projektu</x:v>
      </x:c>
      <x:c r="C312" s="59" t="str">
        <x:v>Git zapisuje wersje lokalnie. GitHub przechowuje wysłaną kopię historii. Commit to zapis wersji na komputerze; push wysyła zapisane commity na GitHub. Zapisanie pliku w edytorze samo nie wykonuje żadnej z tych operacji.</x:v>
      </x:c>
    </x:row>
    <x:row r="313" ht="94" customHeight="1">
      <x:c r="A313" s="59" t="str">
        <x:v>docs/git_workflow.md</x:v>
      </x:c>
      <x:c r="B313" s="59" t="str">
        <x:v>Co już skonfigurowano</x:v>
      </x:c>
      <x:c r="C313"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14" ht="30" customHeight="1">
      <x:c r="A314" s="59" t="str">
        <x:v>docs/git_workflow.md</x:v>
      </x:c>
      <x:c r="B314" s="59" t="str">
        <x:v>Co już skonfigurowano</x:v>
      </x:c>
      <x:c r="C314" s="59" t="str">
        <x:v>środowiska, cache i duże dane źródłowe. .gitattributes ustala końce linii plików tekstowych.</x:v>
      </x:c>
    </x:row>
    <x:row r="315" ht="30" customHeight="1">
      <x:c r="A315" s="59" t="str">
        <x:v>docs/git_workflow.md</x:v>
      </x:c>
      <x:c r="B315" s="59" t="str">
        <x:v>Pierwszy push</x:v>
      </x:c>
      <x:c r="C315" s="59" t="str">
        <x:v>Otwórz PowerShell i wpisz:</x:v>
      </x:c>
    </x:row>
    <x:row r="316" ht="30" customHeight="1">
      <x:c r="A316" s="59" t="str">
        <x:v>docs/git_workflow.md</x:v>
      </x:c>
      <x:c r="B316" s="59" t="str">
        <x:v>Pierwszy push</x:v>
      </x:c>
      <x:c r="C316" s="59" t="str">
        <x:v>Set-Location 'C:\Users\woloo\Desktop\KSE' git status git log -1 --oneline git push -u origin main</x:v>
      </x:c>
    </x:row>
    <x:row r="317" ht="52" customHeight="1">
      <x:c r="A317" s="59" t="str">
        <x:v>docs/git_workflow.md</x:v>
      </x:c>
      <x:c r="B317" s="59" t="str">
        <x:v>Pierwszy push</x:v>
      </x:c>
      <x:c r="C317"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18" ht="52" customHeight="1">
      <x:c r="A318" s="59" t="str">
        <x:v>docs/git_workflow.md</x:v>
      </x:c>
      <x:c r="B318" s="59" t="str">
        <x:v>Pierwszy push</x:v>
      </x:c>
      <x:c r="C318"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19" ht="30" customHeight="1">
      <x:c r="A319" s="59" t="str">
        <x:v>docs/git_workflow.md</x:v>
      </x:c>
      <x:c r="B319" s="59" t="str">
        <x:v>Kolejne zmiany — zwykły cykl</x:v>
      </x:c>
      <x:c r="C319" s="59" t="str">
        <x:v>Po zapisaniu plików i wykonaniu właściwych kontroli:</x:v>
      </x:c>
    </x:row>
    <x:row r="320" ht="38" customHeight="1">
      <x:c r="A320" s="59" t="str">
        <x:v>docs/git_workflow.md</x:v>
      </x:c>
      <x:c r="B320" s="59" t="str">
        <x:v>Kolejne zmiany — zwykły cykl</x:v>
      </x:c>
      <x:c r="C320" s="59" t="str">
        <x:v>git status git diff git add README.md docs scripts config data/catalog requirements-research.txt .gitignore .gitattributes AGENTS.md git diff --cached --stat git commit -m "Opisz konkretnie wykonana zmiane" git push</x:v>
      </x:c>
    </x:row>
    <x:row r="321" ht="52" customHeight="1">
      <x:c r="A321" s="59" t="str">
        <x:v>docs/git_workflow.md</x:v>
      </x:c>
      <x:c r="B321" s="59" t="str">
        <x:v>Kolejne zmiany — zwykły cykl</x:v>
      </x:c>
      <x:c r="C321"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22" ht="38" customHeight="1">
      <x:c r="A322" s="59" t="str">
        <x:v>docs/git_workflow.md</x:v>
      </x:c>
      <x:c r="B322" s="59" t="str">
        <x:v>Kolejne zmiany — zwykły cykl</x:v>
      </x:c>
      <x:c r="C322" s="59" t="str">
        <x:v>Gdy Codex informuje, że już wykonał commit, nie musisz ponownie robić add i commit; sprawdź git status, git log -1 --oneline, a następnie wykonaj git push.</x:v>
      </x:c>
    </x:row>
    <x:row r="323" ht="38" customHeight="1">
      <x:c r="A323" s="59" t="str">
        <x:v>docs/git_workflow.md</x:v>
      </x:c>
      <x:c r="B323" s="59" t="str">
        <x:v>Praca na drugim komputerze i zmiany na GitHub</x:v>
      </x:c>
      <x:c r="C323" s="59" t="str">
        <x:v>Na nowym komputerze pobierz repozytorium przez git clone https://github.com/woloo-del/KSE.git. Zależności i archiwum danych odtwórz według instrukcji odtwarzania (reproducibility.md).</x:v>
      </x:c>
    </x:row>
    <x:row r="324" ht="52" customHeight="1">
      <x:c r="A324" s="59" t="str">
        <x:v>docs/git_workflow.md</x:v>
      </x:c>
      <x:c r="B324" s="59" t="str">
        <x:v>Praca na drugim komputerze i zmiany na GitHub</x:v>
      </x:c>
      <x:c r="C324"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25" ht="30" customHeight="1">
      <x:c r="A325" s="59" t="str">
        <x:v>docs/git_workflow.md</x:v>
      </x:c>
      <x:c r="B325" s="59" t="str">
        <x:v>Co oznaczają typowe komunikaty</x:v>
      </x:c>
      <x:c r="C325" s="59" t="str">
        <x:v>Komunikat / Znaczenie / następny krok</x:v>
      </x:c>
    </x:row>
    <x:row r="326" ht="30" customHeight="1">
      <x:c r="A326" s="59" t="str">
        <x:v>docs/git_workflow.md</x:v>
      </x:c>
      <x:c r="B326" s="59" t="str">
        <x:v>Co oznaczają typowe komunikaty</x:v>
      </x:c>
      <x:c r="C326" s="59" t="str">
        <x:v>nothing to commit, working tree clean / Wszystkie śledzone zmiany zapisane lokalnie; nie dowodzi jeszcze wysłania</x:v>
      </x:c>
    </x:row>
    <x:row r="327" ht="30" customHeight="1">
      <x:c r="A327" s="59" t="str">
        <x:v>docs/git_workflow.md</x:v>
      </x:c>
      <x:c r="B327" s="59" t="str">
        <x:v>Co oznaczają typowe komunikaty</x:v>
      </x:c>
      <x:c r="C327" s="59" t="str">
        <x:v>Everything up-to-date / Brak nowych commitów do wysłania</x:v>
      </x:c>
    </x:row>
    <x:row r="328" ht="30" customHeight="1">
      <x:c r="A328" s="59" t="str">
        <x:v>docs/git_workflow.md</x:v>
      </x:c>
      <x:c r="B328" s="59" t="str">
        <x:v>Co oznaczają typowe komunikaty</x:v>
      </x:c>
      <x:c r="C328" s="59" t="str">
        <x:v>Your branch is ahead ... / Masz lokalne commity oczekujące na push</x:v>
      </x:c>
    </x:row>
    <x:row r="329" ht="30" customHeight="1">
      <x:c r="A329" s="59" t="str">
        <x:v>docs/git_workflow.md</x:v>
      </x:c>
      <x:c r="B329" s="59" t="str">
        <x:v>Co oznaczają typowe komunikaty</x:v>
      </x:c>
      <x:c r="C329" s="59" t="str">
        <x:v>Repository not found / Dla repo prywatnego sprawdź konto, dostęp i adres; nie musi oznaczać nieistnienia repo</x:v>
      </x:c>
    </x:row>
    <x:row r="330" ht="30" customHeight="1">
      <x:c r="A330" s="59" t="str">
        <x:v>docs/git_workflow.md</x:v>
      </x:c>
      <x:c r="B330" s="59" t="str">
        <x:v>Co oznaczają typowe komunikaty</x:v>
      </x:c>
      <x:c r="C330" s="59" t="str">
        <x:v>src refspec main does not match any / Zwykle brak pierwszego commita lub inna nazwa gałęzi</x:v>
      </x:c>
    </x:row>
    <x:row r="331" ht="30" customHeight="1">
      <x:c r="A331" s="59" t="str">
        <x:v>docs/git_workflow.md</x:v>
      </x:c>
      <x:c r="B331" s="59" t="str">
        <x:v>Co oznaczają typowe komunikaty</x:v>
      </x:c>
      <x:c r="C331" s="59" t="str">
        <x:v>non-fast-forward / fetch first / Na serwerze jest historia, której nie ma lokalnie; wymagana bezpieczna synchronizacja</x:v>
      </x:c>
    </x:row>
    <x:row r="332" ht="52" customHeight="1">
      <x:c r="A332" s="59" t="str">
        <x:v>docs/git_workflow.md</x:v>
      </x:c>
      <x:c r="B332" s="59" t="str">
        <x:v>Co oznaczają typowe komunikaty</x:v>
      </x:c>
      <x:c r="C332"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333" ht="52" customHeight="1">
      <x:c r="A333" s="59" t="str">
        <x:v>docs/project_reporting.md</x:v>
      </x:c>
      <x:c r="B333" s="59" t="str">
        <x:v>Rejestr TODO i raport projektu w Excelu</x:v>
      </x:c>
      <x:c r="C333"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334" ht="52" customHeight="1">
      <x:c r="A334" s="59" t="str">
        <x:v>docs/project_reporting.md</x:v>
      </x:c>
      <x:c r="B334" s="59" t="str">
        <x:v>Rejestr TODO i raport projektu w Excelu</x:v>
      </x:c>
      <x:c r="C334"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335" ht="30" customHeight="1">
      <x:c r="A335" s="59" t="str">
        <x:v>docs/project_reporting.md</x:v>
      </x:c>
      <x:c r="B335" s="59" t="str">
        <x:v>Generowanie</x:v>
      </x:c>
      <x:c r="C335" s="59" t="str">
        <x:v>W PowerShell, w folderze projektu:</x:v>
      </x:c>
    </x:row>
    <x:row r="336" ht="30" customHeight="1">
      <x:c r="A336" s="59" t="str">
        <x:v>docs/project_reporting.md</x:v>
      </x:c>
      <x:c r="B336" s="59" t="str">
        <x:v>Generowanie</x:v>
      </x:c>
      <x:c r="C336" s="59" t="str">
        <x:v>.\scripts\generate_project_report.ps1</x:v>
      </x:c>
    </x:row>
    <x:row r="337" ht="52" customHeight="1">
      <x:c r="A337" s="59" t="str">
        <x:v>docs/project_reporting.md</x:v>
      </x:c>
      <x:c r="B337" s="59" t="str">
        <x:v>Generowanie</x:v>
      </x:c>
      <x:c r="C337"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338" ht="80" customHeight="1">
      <x:c r="A338" s="59" t="str">
        <x:v>docs/project_reporting.md</x:v>
      </x:c>
      <x:c r="B338" s="59" t="str">
        <x:v>Generowanie</x:v>
      </x:c>
      <x:c r="C338"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339" ht="66" customHeight="1">
      <x:c r="A339" s="59" t="str">
        <x:v>docs/project_reporting.md</x:v>
      </x:c>
      <x:c r="B339" s="59" t="str">
        <x:v>Generowanie</x:v>
      </x:c>
      <x:c r="C339"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340" ht="66" customHeight="1">
      <x:c r="A340" s="59" t="str">
        <x:v>docs/project_reporting.md</x:v>
      </x:c>
      <x:c r="B340" s="59" t="str">
        <x:v>Zakres raportu</x:v>
      </x:c>
      <x:c r="C340"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341" ht="94" customHeight="1">
      <x:c r="A341" s="59" t="str">
        <x:v>docs/project_reporting.md</x:v>
      </x:c>
      <x:c r="B341" s="59" t="str">
        <x:v>Zakres raportu</x:v>
      </x:c>
      <x:c r="C341"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Macierz wykonalności, katalog wszystkich źródeł i szczegółowe karty pól, w tym daty, interfejsy, ograniczenia i licencje. - Rejestr ryzyk ze źródeł i zadań oraz komplet</x:v>
      </x:c>
    </x:row>
    <x:row r="342" ht="52" customHeight="1">
      <x:c r="A342" s="59" t="str">
        <x:v>docs/project_reporting.md</x:v>
      </x:c>
      <x:c r="B342" s="59" t="str">
        <x:v>Zakres raportu</x:v>
      </x:c>
      <x:c r="C342" s="59" t="str">
        <x:v>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343" ht="38" customHeight="1">
      <x:c r="A343" s="59" t="str">
        <x:v>docs/project_reporting.md</x:v>
      </x:c>
      <x:c r="B343" s="59" t="str">
        <x:v>Zakres raportu</x:v>
      </x:c>
      <x:c r="C343" s="59" t="str">
        <x:v>Raport jest snapshotem wiedzy projektowej. Nie zawiera nieistniejących wyników dla GPZ, sztucznych MW ani scoringu. Nie zastępuje szczegółowych surowych plików operatorów; ich lokalne archiwum i manifest pozostają osobno.</x:v>
      </x:c>
    </x:row>
    <x:row r="344" ht="52" customHeight="1">
      <x:c r="A344" s="59" t="str">
        <x:v>docs/project_reporting.md</x:v>
      </x:c>
      <x:c r="B344" s="59" t="str">
        <x:v>Bezpieczeństwo i aktualizacja</x:v>
      </x:c>
      <x:c r="C344"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345" ht="52" customHeight="1">
      <x:c r="A345" s="59" t="str">
        <x:v>docs/project_reporting.md</x:v>
      </x:c>
      <x:c r="B345" s="59" t="str">
        <x:v>Bezpieczeństwo i aktualizacja</x:v>
      </x:c>
      <x:c r="C345"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sheetData>
  <x:pageMargins left="0.7" right="0.7" top="0.75" bottom="0.75" header="0.3" footer="0.3"/>
  <x:tableParts count="1">
    <x:tablePart xmlns:r="http://schemas.openxmlformats.org/officeDocument/2006/relationships" r:id="R7b793b1d291f4123"/>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46275.657276921294</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probe_ids_unique</x:v>
      </x:c>
      <x:c r="C316" s="59" t="str">
        <x:v>PASS</x:v>
      </x:c>
    </x:row>
    <x:row r="317" ht="30" customHeight="1">
      <x:c r="A317" s="59" t="str">
        <x:v>Kontrola lokalna</x:v>
      </x:c>
      <x:c r="B317" s="59" t="str">
        <x:v>probe_references:PSE_API</x:v>
      </x:c>
      <x:c r="C317" s="59" t="str">
        <x:v>PASS</x:v>
      </x:c>
    </x:row>
    <x:row r="318" ht="30" customHeight="1">
      <x:c r="A318" s="59" t="str">
        <x:v>Kontrola lokalna</x:v>
      </x:c>
      <x:c r="B318" s="59" t="str">
        <x:v>probe_references:PSE_PIPELINE</x:v>
      </x:c>
      <x:c r="C318" s="59" t="str">
        <x:v>PASS</x:v>
      </x:c>
    </x:row>
    <x:row r="319" ht="30" customHeight="1">
      <x:c r="A319" s="59" t="str">
        <x:v>Kontrola lokalna</x:v>
      </x:c>
      <x:c r="B319" s="59" t="str">
        <x:v>probe_references:PSE_CAPACITY</x:v>
      </x:c>
      <x:c r="C319" s="59" t="str">
        <x:v>PASS</x:v>
      </x:c>
    </x:row>
    <x:row r="320" ht="30" customHeight="1">
      <x:c r="A320" s="59" t="str">
        <x:v>Kontrola lokalna</x:v>
      </x:c>
      <x:c r="B320" s="59" t="str">
        <x:v>probe_references:PSE_PLAN</x:v>
      </x:c>
      <x:c r="C320" s="59" t="str">
        <x:v>PASS</x:v>
      </x:c>
    </x:row>
    <x:row r="321" ht="30" customHeight="1">
      <x:c r="A321" s="59" t="str">
        <x:v>Kontrola lokalna</x:v>
      </x:c>
      <x:c r="B321" s="59" t="str">
        <x:v>probe_references:PSE_STRUCT_B2B</x:v>
      </x:c>
      <x:c r="C321" s="59" t="str">
        <x:v>PASS</x:v>
      </x:c>
    </x:row>
    <x:row r="322" ht="30" customHeight="1">
      <x:c r="A322" s="59" t="str">
        <x:v>Kontrola lokalna</x:v>
      </x:c>
      <x:c r="B322" s="59" t="str">
        <x:v>probe_references:ENERGA_LANDING</x:v>
      </x:c>
      <x:c r="C322" s="59" t="str">
        <x:v>PASS</x:v>
      </x:c>
    </x:row>
    <x:row r="323" ht="30" customHeight="1">
      <x:c r="A323" s="59" t="str">
        <x:v>Kontrola lokalna</x:v>
      </x:c>
      <x:c r="B323" s="59" t="str">
        <x:v>probe_references:ENERGA_EXPORT</x:v>
      </x:c>
      <x:c r="C323" s="59" t="str">
        <x:v>PASS</x:v>
      </x:c>
    </x:row>
    <x:row r="324" ht="30" customHeight="1">
      <x:c r="A324" s="59" t="str">
        <x:v>Kontrola lokalna</x:v>
      </x:c>
      <x:c r="B324" s="59" t="str">
        <x:v>probe_references:ENERGA_IMPORT</x:v>
      </x:c>
      <x:c r="C324" s="59" t="str">
        <x:v>PASS</x:v>
      </x:c>
    </x:row>
    <x:row r="325" ht="30" customHeight="1">
      <x:c r="A325" s="59" t="str">
        <x:v>Kontrola lokalna</x:v>
      </x:c>
      <x:c r="B325" s="59" t="str">
        <x:v>probe_references:ENERGA_PIPELINE</x:v>
      </x:c>
      <x:c r="C325" s="59" t="str">
        <x:v>PASS</x:v>
      </x:c>
    </x:row>
    <x:row r="326" ht="30" customHeight="1">
      <x:c r="A326" s="59" t="str">
        <x:v>Kontrola lokalna</x:v>
      </x:c>
      <x:c r="B326" s="59" t="str">
        <x:v>probe_references:ENERGA_PLAN</x:v>
      </x:c>
      <x:c r="C326" s="59" t="str">
        <x:v>PASS</x:v>
      </x:c>
    </x:row>
    <x:row r="327" ht="30" customHeight="1">
      <x:c r="A327" s="59" t="str">
        <x:v>Kontrola lokalna</x:v>
      </x:c>
      <x:c r="B327" s="59" t="str">
        <x:v>probe_references:ENEA_PIPELINE</x:v>
      </x:c>
      <x:c r="C327" s="59" t="str">
        <x:v>PASS</x:v>
      </x:c>
    </x:row>
    <x:row r="328" ht="30" customHeight="1">
      <x:c r="A328" s="59" t="str">
        <x:v>Kontrola lokalna</x:v>
      </x:c>
      <x:c r="B328" s="59" t="str">
        <x:v>probe_references:ENEA_MAP</x:v>
      </x:c>
      <x:c r="C328" s="59" t="str">
        <x:v>PASS</x:v>
      </x:c>
    </x:row>
    <x:row r="329" ht="30" customHeight="1">
      <x:c r="A329" s="59" t="str">
        <x:v>Kontrola lokalna</x:v>
      </x:c>
      <x:c r="B329" s="59" t="str">
        <x:v>probe_references:ENEA_PLAN</x:v>
      </x:c>
      <x:c r="C329" s="59" t="str">
        <x:v>PASS</x:v>
      </x:c>
    </x:row>
    <x:row r="330" ht="30" customHeight="1">
      <x:c r="A330" s="59" t="str">
        <x:v>Kontrola lokalna</x:v>
      </x:c>
      <x:c r="B330" s="59" t="str">
        <x:v>probe_references:TAURON_PIPELINE</x:v>
      </x:c>
      <x:c r="C330" s="59" t="str">
        <x:v>PASS</x:v>
      </x:c>
    </x:row>
    <x:row r="331" ht="30" customHeight="1">
      <x:c r="A331" s="59" t="str">
        <x:v>Kontrola lokalna</x:v>
      </x:c>
      <x:c r="B331" s="59" t="str">
        <x:v>probe_references:TAURON_MAP</x:v>
      </x:c>
      <x:c r="C331" s="59" t="str">
        <x:v>PASS</x:v>
      </x:c>
    </x:row>
    <x:row r="332" ht="30" customHeight="1">
      <x:c r="A332" s="59" t="str">
        <x:v>Kontrola lokalna</x:v>
      </x:c>
      <x:c r="B332" s="59" t="str">
        <x:v>probe_references:TAURON_PLAN</x:v>
      </x:c>
      <x:c r="C332" s="59" t="str">
        <x:v>PASS</x:v>
      </x:c>
    </x:row>
    <x:row r="333" ht="30" customHeight="1">
      <x:c r="A333" s="59" t="str">
        <x:v>Kontrola lokalna</x:v>
      </x:c>
      <x:c r="B333" s="59" t="str">
        <x:v>probe_references:STOEN_LANDING</x:v>
      </x:c>
      <x:c r="C333" s="59" t="str">
        <x:v>PASS</x:v>
      </x:c>
    </x:row>
    <x:row r="334" ht="30" customHeight="1">
      <x:c r="A334" s="59" t="str">
        <x:v>Kontrola lokalna</x:v>
      </x:c>
      <x:c r="B334" s="59" t="str">
        <x:v>probe_references:STOEN_EXPORT</x:v>
      </x:c>
      <x:c r="C334" s="59" t="str">
        <x:v>PASS</x:v>
      </x:c>
    </x:row>
    <x:row r="335" ht="30" customHeight="1">
      <x:c r="A335" s="59" t="str">
        <x:v>Kontrola lokalna</x:v>
      </x:c>
      <x:c r="B335" s="59" t="str">
        <x:v>probe_references:STOEN_IMPORT</x:v>
      </x:c>
      <x:c r="C335" s="59" t="str">
        <x:v>PASS</x:v>
      </x:c>
    </x:row>
    <x:row r="336" ht="30" customHeight="1">
      <x:c r="A336" s="59" t="str">
        <x:v>Kontrola lokalna</x:v>
      </x:c>
      <x:c r="B336" s="59" t="str">
        <x:v>probe_references:STOEN_PIPELINE</x:v>
      </x:c>
      <x:c r="C336" s="59" t="str">
        <x:v>PASS</x:v>
      </x:c>
    </x:row>
    <x:row r="337" ht="30" customHeight="1">
      <x:c r="A337" s="59" t="str">
        <x:v>Kontrola lokalna</x:v>
      </x:c>
      <x:c r="B337" s="59" t="str">
        <x:v>probe_references:STOEN_STORAGE</x:v>
      </x:c>
      <x:c r="C337" s="59" t="str">
        <x:v>PASS</x:v>
      </x:c>
    </x:row>
    <x:row r="338" ht="30" customHeight="1">
      <x:c r="A338" s="59" t="str">
        <x:v>Kontrola lokalna</x:v>
      </x:c>
      <x:c r="B338" s="59" t="str">
        <x:v>probe_references:STOEN_PLAN</x:v>
      </x:c>
      <x:c r="C338" s="59" t="str">
        <x:v>PASS</x:v>
      </x:c>
    </x:row>
    <x:row r="339" ht="30" customHeight="1">
      <x:c r="A339" s="59" t="str">
        <x:v>Kontrola lokalna</x:v>
      </x:c>
      <x:c r="B339" s="59" t="str">
        <x:v>probe_references:PGE_LANDING</x:v>
      </x:c>
      <x:c r="C339" s="59" t="str">
        <x:v>PASS</x:v>
      </x:c>
    </x:row>
    <x:row r="340" ht="30" customHeight="1">
      <x:c r="A340" s="59" t="str">
        <x:v>Kontrola lokalna</x:v>
      </x:c>
      <x:c r="B340" s="59" t="str">
        <x:v>probe_references:PGE_EXPORT_DISCOVERY</x:v>
      </x:c>
      <x:c r="C340" s="59" t="str">
        <x:v>PASS</x:v>
      </x:c>
    </x:row>
    <x:row r="341" ht="30" customHeight="1">
      <x:c r="A341" s="59" t="str">
        <x:v>Kontrola lokalna</x:v>
      </x:c>
      <x:c r="B341" s="59" t="str">
        <x:v>probe_references:PGE_PLAN_DISCOVERY</x:v>
      </x:c>
      <x:c r="C341" s="59" t="str">
        <x:v>PASS</x:v>
      </x:c>
    </x:row>
    <x:row r="342" ht="30" customHeight="1">
      <x:c r="A342" s="59" t="str">
        <x:v>Kontrola lokalna</x:v>
      </x:c>
      <x:c r="B342" s="59" t="str">
        <x:v>probe_references:KGHM_OSD</x:v>
      </x:c>
      <x:c r="C342" s="59" t="str">
        <x:v>PASS</x:v>
      </x:c>
    </x:row>
    <x:row r="343" ht="30" customHeight="1">
      <x:c r="A343" s="59" t="str">
        <x:v>Kontrola lokalna</x:v>
      </x:c>
      <x:c r="B343" s="59" t="str">
        <x:v>probe_references:URE_REGISTERS</x:v>
      </x:c>
      <x:c r="C343" s="59" t="str">
        <x:v>PASS</x:v>
      </x:c>
    </x:row>
    <x:row r="344" ht="30" customHeight="1">
      <x:c r="A344" s="59" t="str">
        <x:v>Kontrola lokalna</x:v>
      </x:c>
      <x:c r="B344" s="59" t="str">
        <x:v>probe_references:ENERGY_LAW_516</x:v>
      </x:c>
      <x:c r="C344" s="59" t="str">
        <x:v>PASS</x:v>
      </x:c>
    </x:row>
    <x:row r="345" ht="30" customHeight="1">
      <x:c r="A345" s="59" t="str">
        <x:v>Kontrola lokalna</x:v>
      </x:c>
      <x:c r="B345" s="59" t="str">
        <x:v>probe_references:BIP_ENV_DISCOVERY</x:v>
      </x:c>
      <x:c r="C345" s="59" t="str">
        <x:v>PASS</x:v>
      </x:c>
    </x:row>
    <x:row r="346" ht="30" customHeight="1">
      <x:c r="A346" s="59" t="str">
        <x:v>Kontrola lokalna</x:v>
      </x:c>
      <x:c r="B346" s="59" t="str">
        <x:v>probe_references:KRS_API_DOCS</x:v>
      </x:c>
      <x:c r="C346" s="59" t="str">
        <x:v>PASS</x:v>
      </x:c>
    </x:row>
    <x:row r="347" ht="30" customHeight="1">
      <x:c r="A347" s="59" t="str">
        <x:v>Kontrola lokalna</x:v>
      </x:c>
      <x:c r="B347" s="59" t="str">
        <x:v>probe_references:GUGIK_EGIB</x:v>
      </x:c>
      <x:c r="C347" s="59" t="str">
        <x:v>PASS</x:v>
      </x:c>
    </x:row>
    <x:row r="348" ht="30" customHeight="1">
      <x:c r="A348" s="59" t="str">
        <x:v>Kontrola lokalna</x:v>
      </x:c>
      <x:c r="B348" s="59" t="str">
        <x:v>probe_references:GUGIK_BDOT</x:v>
      </x:c>
      <x:c r="C348" s="59" t="str">
        <x:v>PASS</x:v>
      </x:c>
    </x:row>
    <x:row r="349" ht="30" customHeight="1">
      <x:c r="A349" s="59" t="str">
        <x:v>Kontrola lokalna</x:v>
      </x:c>
      <x:c r="B349" s="59" t="str">
        <x:v>probe_references:GUGIK_BDOT_PARQUET</x:v>
      </x:c>
      <x:c r="C349" s="59" t="str">
        <x:v>PASS</x:v>
      </x:c>
    </x:row>
    <x:row r="350" ht="30" customHeight="1">
      <x:c r="A350" s="59" t="str">
        <x:v>Kontrola lokalna</x:v>
      </x:c>
      <x:c r="B350" s="59" t="str">
        <x:v>probe_references:GUGIK_ORTHO</x:v>
      </x:c>
      <x:c r="C350" s="59" t="str">
        <x:v>PASS</x:v>
      </x:c>
    </x:row>
    <x:row r="351" ht="30" customHeight="1">
      <x:c r="A351" s="59" t="str">
        <x:v>Kontrola lokalna</x:v>
      </x:c>
      <x:c r="B351" s="59" t="str">
        <x:v>probe_references:GUGIK_NMT</x:v>
      </x:c>
      <x:c r="C351" s="59" t="str">
        <x:v>PASS</x:v>
      </x:c>
    </x:row>
    <x:row r="352" ht="30" customHeight="1">
      <x:c r="A352" s="59" t="str">
        <x:v>Kontrola lokalna</x:v>
      </x:c>
      <x:c r="B352" s="59" t="str">
        <x:v>probe_references:GUGIK_MPZP</x:v>
      </x:c>
      <x:c r="C352" s="59" t="str">
        <x:v>PASS</x:v>
      </x:c>
    </x:row>
    <x:row r="353" ht="30" customHeight="1">
      <x:c r="A353" s="59" t="str">
        <x:v>Kontrola lokalna</x:v>
      </x:c>
      <x:c r="B353" s="59" t="str">
        <x:v>probe_references:URBAN_REGISTER</x:v>
      </x:c>
      <x:c r="C353" s="59" t="str">
        <x:v>PASS</x:v>
      </x:c>
    </x:row>
    <x:row r="354" ht="30" customHeight="1">
      <x:c r="A354" s="59" t="str">
        <x:v>Kontrola lokalna</x:v>
      </x:c>
      <x:c r="B354" s="59" t="str">
        <x:v>probe_references:GDOS_GIS</x:v>
      </x:c>
      <x:c r="C354" s="59" t="str">
        <x:v>PASS</x:v>
      </x:c>
    </x:row>
    <x:row r="355" ht="30" customHeight="1">
      <x:c r="A355" s="59" t="str">
        <x:v>Kontrola lokalna</x:v>
      </x:c>
      <x:c r="B355" s="59" t="str">
        <x:v>probe_references:WODY_SIGW</x:v>
      </x:c>
      <x:c r="C355" s="59" t="str">
        <x:v>PASS</x:v>
      </x:c>
    </x:row>
    <x:row r="356" ht="30" customHeight="1">
      <x:c r="A356" s="59" t="str">
        <x:v>Kontrola lokalna</x:v>
      </x:c>
      <x:c r="B356" s="59" t="str">
        <x:v>probe_references:BDL_GIS</x:v>
      </x:c>
      <x:c r="C356" s="59" t="str">
        <x:v>PASS</x:v>
      </x:c>
    </x:row>
    <x:row r="357" ht="30" customHeight="1">
      <x:c r="A357" s="59" t="str">
        <x:v>Kontrola lokalna</x:v>
      </x:c>
      <x:c r="B357" s="59" t="str">
        <x:v>probe_references:ENTSOE_TP</x:v>
      </x:c>
      <x:c r="C357" s="59" t="str">
        <x:v>PASS</x:v>
      </x:c>
    </x:row>
    <x:row r="358" ht="30" customHeight="1">
      <x:c r="A358" s="59" t="str">
        <x:v>Kontrola lokalna</x:v>
      </x:c>
      <x:c r="B358" s="59" t="str">
        <x:v>probe_references:ENTSOE_MAP</x:v>
      </x:c>
      <x:c r="C358" s="59" t="str">
        <x:v>PASS</x:v>
      </x:c>
    </x:row>
    <x:row r="359" ht="30" customHeight="1">
      <x:c r="A359" s="59" t="str">
        <x:v>Kontrola lokalna</x:v>
      </x:c>
      <x:c r="B359" s="59" t="str">
        <x:v>probe_references:OSM_LICENSE</x:v>
      </x:c>
      <x:c r="C359" s="59" t="str">
        <x:v>PASS</x:v>
      </x:c>
    </x:row>
    <x:row r="360" ht="30" customHeight="1">
      <x:c r="A360" s="59" t="str">
        <x:v>Kontrola lokalna</x:v>
      </x:c>
      <x:c r="B360" s="59" t="str">
        <x:v>probe_references:GEOFABRIK_PL</x:v>
      </x:c>
      <x:c r="C360" s="59" t="str">
        <x:v>PASS</x:v>
      </x:c>
    </x:row>
    <x:row r="361" ht="30" customHeight="1">
      <x:c r="A361" s="59" t="str">
        <x:v>Kontrola lokalna</x:v>
      </x:c>
      <x:c r="B361" s="59" t="str">
        <x:v>probe_references:OPENINFRAMAP</x:v>
      </x:c>
      <x:c r="C361" s="59" t="str">
        <x:v>PASS</x:v>
      </x:c>
    </x:row>
    <x:row r="362" ht="30" customHeight="1">
      <x:c r="A362" s="59" t="str">
        <x:v>Kontrola lokalna</x:v>
      </x:c>
      <x:c r="B362" s="59" t="str">
        <x:v>probe_references:PYPSA_EUR</x:v>
      </x:c>
      <x:c r="C362" s="59" t="str">
        <x:v>PASS</x:v>
      </x:c>
    </x:row>
    <x:row r="363" ht="30" customHeight="1">
      <x:c r="A363" s="59" t="str">
        <x:v>Kontrola lokalna</x:v>
      </x:c>
      <x:c r="B363" s="59" t="str">
        <x:v>probe_references:MATPOWER_POLAND</x:v>
      </x:c>
      <x:c r="C363" s="59" t="str">
        <x:v>PASS</x:v>
      </x:c>
    </x:row>
    <x:row r="364" ht="30" customHeight="1">
      <x:c r="A364" s="59" t="str">
        <x:v>Kontrola lokalna</x:v>
      </x:c>
      <x:c r="B364" s="59" t="str">
        <x:v>probe_references:PANDAPOWER</x:v>
      </x:c>
      <x:c r="C364" s="59" t="str">
        <x:v>PASS</x:v>
      </x:c>
    </x:row>
    <x:row r="365" ht="30" customHeight="1">
      <x:c r="A365" s="59" t="str">
        <x:v>Kontrola lokalna</x:v>
      </x:c>
      <x:c r="B365" s="59" t="str">
        <x:v>probe_references:VERAGRID</x:v>
      </x:c>
      <x:c r="C365" s="59" t="str">
        <x:v>PASS</x:v>
      </x:c>
    </x:row>
    <x:row r="366" ht="30" customHeight="1">
      <x:c r="A366" s="59" t="str">
        <x:v>Kontrola lokalna</x:v>
      </x:c>
      <x:c r="B366" s="59" t="str">
        <x:v>probe_references:MATPOWER_LIBRARY</x:v>
      </x:c>
      <x:c r="C366" s="59" t="str">
        <x:v>PASS</x:v>
      </x:c>
    </x:row>
    <x:row r="367" ht="30" customHeight="1">
      <x:c r="A367" s="59" t="str">
        <x:v>Kontrola lokalna</x:v>
      </x:c>
      <x:c r="B367" s="59" t="str">
        <x:v>probe_references:POWERMODELS</x:v>
      </x:c>
      <x:c r="C367" s="59" t="str">
        <x:v>PASS</x:v>
      </x:c>
    </x:row>
    <x:row r="368" ht="30" customHeight="1">
      <x:c r="A368" s="59" t="str">
        <x:v>Kontrola lokalna</x:v>
      </x:c>
      <x:c r="B368" s="59" t="str">
        <x:v>probe_references:OPSD_TIMESERIES</x:v>
      </x:c>
      <x:c r="C368" s="59" t="str">
        <x:v>PASS</x:v>
      </x:c>
    </x:row>
    <x:row r="369" ht="30" customHeight="1">
      <x:c r="A369" s="59" t="str">
        <x:v>Kontrola lokalna</x:v>
      </x:c>
      <x:c r="B369" s="59" t="str">
        <x:v>probe_references:ENERGY_CHARTS</x:v>
      </x:c>
      <x:c r="C369" s="59" t="str">
        <x:v>PASS</x:v>
      </x:c>
    </x:row>
    <x:row r="370" ht="30" customHeight="1">
      <x:c r="A370" s="59" t="str">
        <x:v>Kontrola lokalna</x:v>
      </x:c>
      <x:c r="B370" s="59" t="str">
        <x:v>probe_references:EMBER_API</x:v>
      </x:c>
      <x:c r="C370" s="59" t="str">
        <x:v>PASS</x:v>
      </x:c>
    </x:row>
    <x:row r="371" ht="30" customHeight="1">
      <x:c r="A371" s="59" t="str">
        <x:v>Kontrola lokalna</x:v>
      </x:c>
      <x:c r="B371" s="59" t="str">
        <x:v>probe_references:JRC_IDEES</x:v>
      </x:c>
      <x:c r="C371" s="59" t="str">
        <x:v>PASS</x:v>
      </x:c>
    </x:row>
    <x:row r="372" ht="30" customHeight="1">
      <x:c r="A372" s="59" t="str">
        <x:v>Kontrola lokalna</x:v>
      </x:c>
      <x:c r="B372" s="59" t="str">
        <x:v>probe_references:COPERNICUS</x:v>
      </x:c>
      <x:c r="C372" s="59" t="str">
        <x:v>PASS</x:v>
      </x:c>
    </x:row>
    <x:row r="373" ht="30" customHeight="1">
      <x:c r="A373" s="59" t="str">
        <x:v>Kontrola lokalna</x:v>
      </x:c>
      <x:c r="B373" s="59" t="str">
        <x:v>snapshot_within_raw:PSE_API_DOCS</x:v>
      </x:c>
      <x:c r="C373" s="59" t="str">
        <x:v>PASS</x:v>
      </x:c>
    </x:row>
    <x:row r="374" ht="30" customHeight="1">
      <x:c r="A374" s="59" t="str">
        <x:v>Kontrola lokalna</x:v>
      </x:c>
      <x:c r="B374" s="59" t="str">
        <x:v>snapshot_exists:PSE_API_DOCS</x:v>
      </x:c>
      <x:c r="C374" s="59" t="str">
        <x:v>PASS</x:v>
      </x:c>
    </x:row>
    <x:row r="375" ht="30" customHeight="1">
      <x:c r="A375" s="59" t="str">
        <x:v>Kontrola lokalna</x:v>
      </x:c>
      <x:c r="B375" s="59" t="str">
        <x:v>snapshot_bytes:PSE_API_DOCS</x:v>
      </x:c>
      <x:c r="C375" s="59" t="str">
        <x:v>PASS</x:v>
      </x:c>
    </x:row>
    <x:row r="376" ht="30" customHeight="1">
      <x:c r="A376" s="59" t="str">
        <x:v>Kontrola lokalna</x:v>
      </x:c>
      <x:c r="B376" s="59" t="str">
        <x:v>snapshot_sha256:PSE_API_DOCS</x:v>
      </x:c>
      <x:c r="C376" s="59" t="str">
        <x:v>PASS</x:v>
      </x:c>
    </x:row>
    <x:row r="377" ht="30" customHeight="1">
      <x:c r="A377" s="59" t="str">
        <x:v>Kontrola lokalna</x:v>
      </x:c>
      <x:c r="B377" s="59" t="str">
        <x:v>snapshot_within_raw:PSE_CAPACITY</x:v>
      </x:c>
      <x:c r="C377" s="59" t="str">
        <x:v>PASS</x:v>
      </x:c>
    </x:row>
    <x:row r="378" ht="30" customHeight="1">
      <x:c r="A378" s="59" t="str">
        <x:v>Kontrola lokalna</x:v>
      </x:c>
      <x:c r="B378" s="59" t="str">
        <x:v>snapshot_exists:PSE_CAPACITY</x:v>
      </x:c>
      <x:c r="C378" s="59" t="str">
        <x:v>PASS</x:v>
      </x:c>
    </x:row>
    <x:row r="379" ht="30" customHeight="1">
      <x:c r="A379" s="59" t="str">
        <x:v>Kontrola lokalna</x:v>
      </x:c>
      <x:c r="B379" s="59" t="str">
        <x:v>snapshot_bytes:PSE_CAPACITY</x:v>
      </x:c>
      <x:c r="C379" s="59" t="str">
        <x:v>PASS</x:v>
      </x:c>
    </x:row>
    <x:row r="380" ht="30" customHeight="1">
      <x:c r="A380" s="59" t="str">
        <x:v>Kontrola lokalna</x:v>
      </x:c>
      <x:c r="B380" s="59" t="str">
        <x:v>snapshot_sha256:PSE_CAPACITY</x:v>
      </x:c>
      <x:c r="C380" s="59" t="str">
        <x:v>PASS</x:v>
      </x:c>
    </x:row>
    <x:row r="381" ht="30" customHeight="1">
      <x:c r="A381" s="59" t="str">
        <x:v>Kontrola lokalna</x:v>
      </x:c>
      <x:c r="B381" s="59" t="str">
        <x:v>snapshot_within_raw:ENERGA_PIPELINE</x:v>
      </x:c>
      <x:c r="C381" s="59" t="str">
        <x:v>PASS</x:v>
      </x:c>
    </x:row>
    <x:row r="382" ht="30" customHeight="1">
      <x:c r="A382" s="59" t="str">
        <x:v>Kontrola lokalna</x:v>
      </x:c>
      <x:c r="B382" s="59" t="str">
        <x:v>snapshot_exists:ENERGA_PIPELINE</x:v>
      </x:c>
      <x:c r="C382" s="59" t="str">
        <x:v>PASS</x:v>
      </x:c>
    </x:row>
    <x:row r="383" ht="30" customHeight="1">
      <x:c r="A383" s="59" t="str">
        <x:v>Kontrola lokalna</x:v>
      </x:c>
      <x:c r="B383" s="59" t="str">
        <x:v>snapshot_bytes:ENERGA_PIPELINE</x:v>
      </x:c>
      <x:c r="C383" s="59" t="str">
        <x:v>PASS</x:v>
      </x:c>
    </x:row>
    <x:row r="384" ht="30" customHeight="1">
      <x:c r="A384" s="59" t="str">
        <x:v>Kontrola lokalna</x:v>
      </x:c>
      <x:c r="B384" s="59" t="str">
        <x:v>snapshot_sha256:ENERGA_PIPELINE</x:v>
      </x:c>
      <x:c r="C384" s="59" t="str">
        <x:v>PASS</x:v>
      </x:c>
    </x:row>
    <x:row r="385" ht="30" customHeight="1">
      <x:c r="A385" s="59" t="str">
        <x:v>Kontrola lokalna</x:v>
      </x:c>
      <x:c r="B385" s="59" t="str">
        <x:v>snapshot_within_raw:ENERGA_IMPORT</x:v>
      </x:c>
      <x:c r="C385" s="59" t="str">
        <x:v>PASS</x:v>
      </x:c>
    </x:row>
    <x:row r="386" ht="30" customHeight="1">
      <x:c r="A386" s="59" t="str">
        <x:v>Kontrola lokalna</x:v>
      </x:c>
      <x:c r="B386" s="59" t="str">
        <x:v>snapshot_exists:ENERGA_IMPORT</x:v>
      </x:c>
      <x:c r="C386" s="59" t="str">
        <x:v>PASS</x:v>
      </x:c>
    </x:row>
    <x:row r="387" ht="30" customHeight="1">
      <x:c r="A387" s="59" t="str">
        <x:v>Kontrola lokalna</x:v>
      </x:c>
      <x:c r="B387" s="59" t="str">
        <x:v>snapshot_bytes:ENERGA_IMPORT</x:v>
      </x:c>
      <x:c r="C387" s="59" t="str">
        <x:v>PASS</x:v>
      </x:c>
    </x:row>
    <x:row r="388" ht="30" customHeight="1">
      <x:c r="A388" s="59" t="str">
        <x:v>Kontrola lokalna</x:v>
      </x:c>
      <x:c r="B388" s="59" t="str">
        <x:v>snapshot_sha256:ENERGA_IMPORT</x:v>
      </x:c>
      <x:c r="C388" s="59" t="str">
        <x:v>PASS</x:v>
      </x:c>
    </x:row>
    <x:row r="389" ht="30" customHeight="1">
      <x:c r="A389" s="59" t="str">
        <x:v>Kontrola lokalna</x:v>
      </x:c>
      <x:c r="B389" s="59" t="str">
        <x:v>snapshot_within_raw:ENERGA_EXPORT</x:v>
      </x:c>
      <x:c r="C389" s="59" t="str">
        <x:v>PASS</x:v>
      </x:c>
    </x:row>
    <x:row r="390" ht="30" customHeight="1">
      <x:c r="A390" s="59" t="str">
        <x:v>Kontrola lokalna</x:v>
      </x:c>
      <x:c r="B390" s="59" t="str">
        <x:v>snapshot_exists:ENERGA_EXPORT</x:v>
      </x:c>
      <x:c r="C390" s="59" t="str">
        <x:v>PASS</x:v>
      </x:c>
    </x:row>
    <x:row r="391" ht="30" customHeight="1">
      <x:c r="A391" s="59" t="str">
        <x:v>Kontrola lokalna</x:v>
      </x:c>
      <x:c r="B391" s="59" t="str">
        <x:v>snapshot_bytes:ENERGA_EXPORT</x:v>
      </x:c>
      <x:c r="C391" s="59" t="str">
        <x:v>PASS</x:v>
      </x:c>
    </x:row>
    <x:row r="392" ht="30" customHeight="1">
      <x:c r="A392" s="59" t="str">
        <x:v>Kontrola lokalna</x:v>
      </x:c>
      <x:c r="B392" s="59" t="str">
        <x:v>snapshot_sha256:ENERGA_EXPORT</x:v>
      </x:c>
      <x:c r="C392" s="59" t="str">
        <x:v>PASS</x:v>
      </x:c>
    </x:row>
    <x:row r="393" ht="30" customHeight="1">
      <x:c r="A393" s="59" t="str">
        <x:v>Kontrola lokalna</x:v>
      </x:c>
      <x:c r="B393" s="59" t="str">
        <x:v>snapshot_within_raw:PGE_LANDING</x:v>
      </x:c>
      <x:c r="C393" s="59" t="str">
        <x:v>PASS</x:v>
      </x:c>
    </x:row>
    <x:row r="394" ht="30" customHeight="1">
      <x:c r="A394" s="59" t="str">
        <x:v>Kontrola lokalna</x:v>
      </x:c>
      <x:c r="B394" s="59" t="str">
        <x:v>snapshot_exists:PGE_LANDING</x:v>
      </x:c>
      <x:c r="C394" s="59" t="str">
        <x:v>PASS</x:v>
      </x:c>
    </x:row>
    <x:row r="395" ht="30" customHeight="1">
      <x:c r="A395" s="59" t="str">
        <x:v>Kontrola lokalna</x:v>
      </x:c>
      <x:c r="B395" s="59" t="str">
        <x:v>snapshot_bytes:PGE_LANDING</x:v>
      </x:c>
      <x:c r="C395" s="59" t="str">
        <x:v>PASS</x:v>
      </x:c>
    </x:row>
    <x:row r="396" ht="30" customHeight="1">
      <x:c r="A396" s="59" t="str">
        <x:v>Kontrola lokalna</x:v>
      </x:c>
      <x:c r="B396" s="59" t="str">
        <x:v>snapshot_sha256:PGE_LANDING</x:v>
      </x:c>
      <x:c r="C396" s="59" t="str">
        <x:v>PASS</x:v>
      </x:c>
    </x:row>
    <x:row r="397" ht="30" customHeight="1">
      <x:c r="A397" s="59" t="str">
        <x:v>Kontrola lokalna</x:v>
      </x:c>
      <x:c r="B397" s="59" t="str">
        <x:v>snapshot_within_raw:TAURON_PIPELINE</x:v>
      </x:c>
      <x:c r="C397" s="59" t="str">
        <x:v>PASS</x:v>
      </x:c>
    </x:row>
    <x:row r="398" ht="30" customHeight="1">
      <x:c r="A398" s="59" t="str">
        <x:v>Kontrola lokalna</x:v>
      </x:c>
      <x:c r="B398" s="59" t="str">
        <x:v>snapshot_exists:TAURON_PIPELINE</x:v>
      </x:c>
      <x:c r="C398" s="59" t="str">
        <x:v>PASS</x:v>
      </x:c>
    </x:row>
    <x:row r="399" ht="30" customHeight="1">
      <x:c r="A399" s="59" t="str">
        <x:v>Kontrola lokalna</x:v>
      </x:c>
      <x:c r="B399" s="59" t="str">
        <x:v>snapshot_bytes:TAURON_PIPELINE</x:v>
      </x:c>
      <x:c r="C399" s="59" t="str">
        <x:v>PASS</x:v>
      </x:c>
    </x:row>
    <x:row r="400" ht="30" customHeight="1">
      <x:c r="A400" s="59" t="str">
        <x:v>Kontrola lokalna</x:v>
      </x:c>
      <x:c r="B400" s="59" t="str">
        <x:v>snapshot_sha256:TAURON_PIPELINE</x:v>
      </x:c>
      <x:c r="C400" s="59" t="str">
        <x:v>PASS</x:v>
      </x:c>
    </x:row>
    <x:row r="401" ht="30" customHeight="1">
      <x:c r="A401" s="59" t="str">
        <x:v>Kontrola lokalna</x:v>
      </x:c>
      <x:c r="B401" s="59" t="str">
        <x:v>snapshot_within_raw:ENERGA_LANDING</x:v>
      </x:c>
      <x:c r="C401" s="59" t="str">
        <x:v>PASS</x:v>
      </x:c>
    </x:row>
    <x:row r="402" ht="30" customHeight="1">
      <x:c r="A402" s="59" t="str">
        <x:v>Kontrola lokalna</x:v>
      </x:c>
      <x:c r="B402" s="59" t="str">
        <x:v>snapshot_exists:ENERGA_LANDING</x:v>
      </x:c>
      <x:c r="C402" s="59" t="str">
        <x:v>PASS</x:v>
      </x:c>
    </x:row>
    <x:row r="403" ht="30" customHeight="1">
      <x:c r="A403" s="59" t="str">
        <x:v>Kontrola lokalna</x:v>
      </x:c>
      <x:c r="B403" s="59" t="str">
        <x:v>snapshot_bytes:ENERGA_LANDING</x:v>
      </x:c>
      <x:c r="C403" s="59" t="str">
        <x:v>PASS</x:v>
      </x:c>
    </x:row>
    <x:row r="404" ht="30" customHeight="1">
      <x:c r="A404" s="59" t="str">
        <x:v>Kontrola lokalna</x:v>
      </x:c>
      <x:c r="B404" s="59" t="str">
        <x:v>snapshot_sha256:ENERGA_LANDING</x:v>
      </x:c>
      <x:c r="C404" s="59" t="str">
        <x:v>PASS</x:v>
      </x:c>
    </x:row>
    <x:row r="405" ht="30" customHeight="1">
      <x:c r="A405" s="59" t="str">
        <x:v>Kontrola lokalna</x:v>
      </x:c>
      <x:c r="B405" s="59" t="str">
        <x:v>snapshot_within_raw:GUGIK_EGIB_CAPABILITIES</x:v>
      </x:c>
      <x:c r="C405" s="59" t="str">
        <x:v>PASS</x:v>
      </x:c>
    </x:row>
    <x:row r="406" ht="30" customHeight="1">
      <x:c r="A406" s="59" t="str">
        <x:v>Kontrola lokalna</x:v>
      </x:c>
      <x:c r="B406" s="59" t="str">
        <x:v>snapshot_exists:GUGIK_EGIB_CAPABILITIES</x:v>
      </x:c>
      <x:c r="C406" s="59" t="str">
        <x:v>PASS</x:v>
      </x:c>
    </x:row>
    <x:row r="407" ht="30" customHeight="1">
      <x:c r="A407" s="59" t="str">
        <x:v>Kontrola lokalna</x:v>
      </x:c>
      <x:c r="B407" s="59" t="str">
        <x:v>snapshot_bytes:GUGIK_EGIB_CAPABILITIES</x:v>
      </x:c>
      <x:c r="C407" s="59" t="str">
        <x:v>PASS</x:v>
      </x:c>
    </x:row>
    <x:row r="408" ht="30" customHeight="1">
      <x:c r="A408" s="59" t="str">
        <x:v>Kontrola lokalna</x:v>
      </x:c>
      <x:c r="B408" s="59" t="str">
        <x:v>snapshot_sha256:GUGIK_EGIB_CAPABILITIES</x:v>
      </x:c>
      <x:c r="C408" s="59" t="str">
        <x:v>PASS</x:v>
      </x:c>
    </x:row>
    <x:row r="409" ht="30" customHeight="1">
      <x:c r="A409" s="59" t="str">
        <x:v>Kontrola lokalna</x:v>
      </x:c>
      <x:c r="B409" s="59" t="str">
        <x:v>snapshot_within_raw:GDOS_CAPABILITIES</x:v>
      </x:c>
      <x:c r="C409" s="59" t="str">
        <x:v>PASS</x:v>
      </x:c>
    </x:row>
    <x:row r="410" ht="30" customHeight="1">
      <x:c r="A410" s="59" t="str">
        <x:v>Kontrola lokalna</x:v>
      </x:c>
      <x:c r="B410" s="59" t="str">
        <x:v>snapshot_exists:GDOS_CAPABILITIES</x:v>
      </x:c>
      <x:c r="C410" s="59" t="str">
        <x:v>PASS</x:v>
      </x:c>
    </x:row>
    <x:row r="411" ht="30" customHeight="1">
      <x:c r="A411" s="59" t="str">
        <x:v>Kontrola lokalna</x:v>
      </x:c>
      <x:c r="B411" s="59" t="str">
        <x:v>snapshot_bytes:GDOS_CAPABILITIES</x:v>
      </x:c>
      <x:c r="C411" s="59" t="str">
        <x:v>PASS</x:v>
      </x:c>
    </x:row>
    <x:row r="412" ht="30" customHeight="1">
      <x:c r="A412" s="59" t="str">
        <x:v>Kontrola lokalna</x:v>
      </x:c>
      <x:c r="B412" s="59" t="str">
        <x:v>snapshot_sha256:GDOS_CAPABILITIES</x:v>
      </x:c>
      <x:c r="C412" s="59" t="str">
        <x:v>PASS</x:v>
      </x:c>
    </x:row>
    <x:row r="413" ht="30" customHeight="1">
      <x:c r="A413" s="59" t="str">
        <x:v>Kontrola lokalna</x:v>
      </x:c>
      <x:c r="B413" s="59" t="str">
        <x:v>snapshot_within_raw:ENERGY_CHARTS_DOCS</x:v>
      </x:c>
      <x:c r="C413" s="59" t="str">
        <x:v>PASS</x:v>
      </x:c>
    </x:row>
    <x:row r="414" ht="30" customHeight="1">
      <x:c r="A414" s="59" t="str">
        <x:v>Kontrola lokalna</x:v>
      </x:c>
      <x:c r="B414" s="59" t="str">
        <x:v>snapshot_exists:ENERGY_CHARTS_DOCS</x:v>
      </x:c>
      <x:c r="C414" s="59" t="str">
        <x:v>PASS</x:v>
      </x:c>
    </x:row>
    <x:row r="415" ht="30" customHeight="1">
      <x:c r="A415" s="59" t="str">
        <x:v>Kontrola lokalna</x:v>
      </x:c>
      <x:c r="B415" s="59" t="str">
        <x:v>snapshot_bytes:ENERGY_CHARTS_DOCS</x:v>
      </x:c>
      <x:c r="C415" s="59" t="str">
        <x:v>PASS</x:v>
      </x:c>
    </x:row>
    <x:row r="416" ht="30" customHeight="1">
      <x:c r="A416" s="59" t="str">
        <x:v>Kontrola lokalna</x:v>
      </x:c>
      <x:c r="B416" s="59" t="str">
        <x:v>snapshot_sha256:ENERGY_CHARTS_DOCS</x:v>
      </x:c>
      <x:c r="C416" s="59" t="str">
        <x:v>PASS</x:v>
      </x:c>
    </x:row>
    <x:row r="417" ht="30" customHeight="1">
      <x:c r="A417" s="59" t="str">
        <x:v>Kontrola lokalna</x:v>
      </x:c>
      <x:c r="B417" s="59" t="str">
        <x:v>snapshot_within_raw:PSE_API_JS</x:v>
      </x:c>
      <x:c r="C417" s="59" t="str">
        <x:v>PASS</x:v>
      </x:c>
    </x:row>
    <x:row r="418" ht="30" customHeight="1">
      <x:c r="A418" s="59" t="str">
        <x:v>Kontrola lokalna</x:v>
      </x:c>
      <x:c r="B418" s="59" t="str">
        <x:v>snapshot_exists:PSE_API_JS</x:v>
      </x:c>
      <x:c r="C418" s="59" t="str">
        <x:v>PASS</x:v>
      </x:c>
    </x:row>
    <x:row r="419" ht="30" customHeight="1">
      <x:c r="A419" s="59" t="str">
        <x:v>Kontrola lokalna</x:v>
      </x:c>
      <x:c r="B419" s="59" t="str">
        <x:v>snapshot_bytes:PSE_API_JS</x:v>
      </x:c>
      <x:c r="C419" s="59" t="str">
        <x:v>PASS</x:v>
      </x:c>
    </x:row>
    <x:row r="420" ht="30" customHeight="1">
      <x:c r="A420" s="59" t="str">
        <x:v>Kontrola lokalna</x:v>
      </x:c>
      <x:c r="B420" s="59" t="str">
        <x:v>snapshot_sha256:PSE_API_JS</x:v>
      </x:c>
      <x:c r="C420" s="59" t="str">
        <x:v>PASS</x:v>
      </x:c>
    </x:row>
    <x:row r="421" ht="30" customHeight="1">
      <x:c r="A421" s="59" t="str">
        <x:v>Kontrola lokalna</x:v>
      </x:c>
      <x:c r="B421" s="59" t="str">
        <x:v>snapshot_within_raw:ENERGY_CHARTS_OPENAPI</x:v>
      </x:c>
      <x:c r="C421" s="59" t="str">
        <x:v>PASS</x:v>
      </x:c>
    </x:row>
    <x:row r="422" ht="30" customHeight="1">
      <x:c r="A422" s="59" t="str">
        <x:v>Kontrola lokalna</x:v>
      </x:c>
      <x:c r="B422" s="59" t="str">
        <x:v>snapshot_exists:ENERGY_CHARTS_OPENAPI</x:v>
      </x:c>
      <x:c r="C422" s="59" t="str">
        <x:v>PASS</x:v>
      </x:c>
    </x:row>
    <x:row r="423" ht="30" customHeight="1">
      <x:c r="A423" s="59" t="str">
        <x:v>Kontrola lokalna</x:v>
      </x:c>
      <x:c r="B423" s="59" t="str">
        <x:v>snapshot_bytes:ENERGY_CHARTS_OPENAPI</x:v>
      </x:c>
      <x:c r="C423" s="59" t="str">
        <x:v>PASS</x:v>
      </x:c>
    </x:row>
    <x:row r="424" ht="30" customHeight="1">
      <x:c r="A424" s="59" t="str">
        <x:v>Kontrola lokalna</x:v>
      </x:c>
      <x:c r="B424" s="59" t="str">
        <x:v>snapshot_sha256:ENERGY_CHARTS_OPENAPI</x:v>
      </x:c>
      <x:c r="C424" s="59" t="str">
        <x:v>PASS</x:v>
      </x:c>
    </x:row>
    <x:row r="425" ht="30" customHeight="1">
      <x:c r="A425" s="59" t="str">
        <x:v>Kontrola lokalna</x:v>
      </x:c>
      <x:c r="B425" s="59" t="str">
        <x:v>snapshot_within_raw:TAURON_PIPELINE_PDF</x:v>
      </x:c>
      <x:c r="C425" s="59" t="str">
        <x:v>PASS</x:v>
      </x:c>
    </x:row>
    <x:row r="426" ht="30" customHeight="1">
      <x:c r="A426" s="59" t="str">
        <x:v>Kontrola lokalna</x:v>
      </x:c>
      <x:c r="B426" s="59" t="str">
        <x:v>snapshot_exists:TAURON_PIPELINE_PDF</x:v>
      </x:c>
      <x:c r="C426" s="59" t="str">
        <x:v>PASS</x:v>
      </x:c>
    </x:row>
    <x:row r="427" ht="30" customHeight="1">
      <x:c r="A427" s="59" t="str">
        <x:v>Kontrola lokalna</x:v>
      </x:c>
      <x:c r="B427" s="59" t="str">
        <x:v>snapshot_bytes:TAURON_PIPELINE_PDF</x:v>
      </x:c>
      <x:c r="C427" s="59" t="str">
        <x:v>PASS</x:v>
      </x:c>
    </x:row>
    <x:row r="428" ht="30" customHeight="1">
      <x:c r="A428" s="59" t="str">
        <x:v>Kontrola lokalna</x:v>
      </x:c>
      <x:c r="B428" s="59" t="str">
        <x:v>snapshot_sha256:TAURON_PIPELINE_PDF</x:v>
      </x:c>
      <x:c r="C428" s="59" t="str">
        <x:v>PASS</x:v>
      </x:c>
    </x:row>
    <x:row r="429" ht="30" customHeight="1">
      <x:c r="A429" s="59" t="str">
        <x:v>Kontrola lokalna</x:v>
      </x:c>
      <x:c r="B429" s="59" t="str">
        <x:v>snapshot_within_raw:STOEN_NETWORK_HTML</x:v>
      </x:c>
      <x:c r="C429" s="59" t="str">
        <x:v>PASS</x:v>
      </x:c>
    </x:row>
    <x:row r="430" ht="30" customHeight="1">
      <x:c r="A430" s="59" t="str">
        <x:v>Kontrola lokalna</x:v>
      </x:c>
      <x:c r="B430" s="59" t="str">
        <x:v>snapshot_exists:STOEN_NETWORK_HTML</x:v>
      </x:c>
      <x:c r="C430" s="59" t="str">
        <x:v>PASS</x:v>
      </x:c>
    </x:row>
    <x:row r="431" ht="30" customHeight="1">
      <x:c r="A431" s="59" t="str">
        <x:v>Kontrola lokalna</x:v>
      </x:c>
      <x:c r="B431" s="59" t="str">
        <x:v>snapshot_bytes:STOEN_NETWORK_HTML</x:v>
      </x:c>
      <x:c r="C431" s="59" t="str">
        <x:v>PASS</x:v>
      </x:c>
    </x:row>
    <x:row r="432" ht="30" customHeight="1">
      <x:c r="A432" s="59" t="str">
        <x:v>Kontrola lokalna</x:v>
      </x:c>
      <x:c r="B432" s="59" t="str">
        <x:v>snapshot_sha256:STOEN_NETWORK_HTML</x:v>
      </x:c>
      <x:c r="C432" s="59" t="str">
        <x:v>PASS</x:v>
      </x:c>
    </x:row>
    <x:row r="433" ht="30" customHeight="1">
      <x:c r="A433" s="59" t="str">
        <x:v>Kontrola lokalna</x:v>
      </x:c>
      <x:c r="B433" s="59" t="str">
        <x:v>snapshot_within_raw:ENEA_PIPELINE_HTML</x:v>
      </x:c>
      <x:c r="C433" s="59" t="str">
        <x:v>PASS</x:v>
      </x:c>
    </x:row>
    <x:row r="434" ht="30" customHeight="1">
      <x:c r="A434" s="59" t="str">
        <x:v>Kontrola lokalna</x:v>
      </x:c>
      <x:c r="B434" s="59" t="str">
        <x:v>snapshot_exists:ENEA_PIPELINE_HTML</x:v>
      </x:c>
      <x:c r="C434" s="59" t="str">
        <x:v>PASS</x:v>
      </x:c>
    </x:row>
    <x:row r="435" ht="30" customHeight="1">
      <x:c r="A435" s="59" t="str">
        <x:v>Kontrola lokalna</x:v>
      </x:c>
      <x:c r="B435" s="59" t="str">
        <x:v>snapshot_bytes:ENEA_PIPELINE_HTML</x:v>
      </x:c>
      <x:c r="C435" s="59" t="str">
        <x:v>PASS</x:v>
      </x:c>
    </x:row>
    <x:row r="436" ht="30" customHeight="1">
      <x:c r="A436" s="59" t="str">
        <x:v>Kontrola lokalna</x:v>
      </x:c>
      <x:c r="B436" s="59" t="str">
        <x:v>snapshot_sha256:ENEA_PIPELINE_HTML</x:v>
      </x:c>
      <x:c r="C436" s="59" t="str">
        <x:v>PASS</x:v>
      </x:c>
    </x:row>
    <x:row r="437" ht="30" customHeight="1">
      <x:c r="A437" s="59" t="str">
        <x:v>Kontrola lokalna</x:v>
      </x:c>
      <x:c r="B437" s="59" t="str">
        <x:v>snapshot_within_raw:PSE_PIPELINE_HTML</x:v>
      </x:c>
      <x:c r="C437" s="59" t="str">
        <x:v>PASS</x:v>
      </x:c>
    </x:row>
    <x:row r="438" ht="30" customHeight="1">
      <x:c r="A438" s="59" t="str">
        <x:v>Kontrola lokalna</x:v>
      </x:c>
      <x:c r="B438" s="59" t="str">
        <x:v>snapshot_exists:PSE_PIPELINE_HTML</x:v>
      </x:c>
      <x:c r="C438" s="59" t="str">
        <x:v>PASS</x:v>
      </x:c>
    </x:row>
    <x:row r="439" ht="30" customHeight="1">
      <x:c r="A439" s="59" t="str">
        <x:v>Kontrola lokalna</x:v>
      </x:c>
      <x:c r="B439" s="59" t="str">
        <x:v>snapshot_bytes:PSE_PIPELINE_HTML</x:v>
      </x:c>
      <x:c r="C439" s="59" t="str">
        <x:v>PASS</x:v>
      </x:c>
    </x:row>
    <x:row r="440" ht="30" customHeight="1">
      <x:c r="A440" s="59" t="str">
        <x:v>Kontrola lokalna</x:v>
      </x:c>
      <x:c r="B440" s="59" t="str">
        <x:v>snapshot_sha256:PSE_PIPELINE_HTML</x:v>
      </x:c>
      <x:c r="C440" s="59" t="str">
        <x:v>PASS</x:v>
      </x:c>
    </x:row>
    <x:row r="441" ht="30" customHeight="1">
      <x:c r="A441" s="59" t="str">
        <x:v>Kontrola lokalna</x:v>
      </x:c>
      <x:c r="B441" s="59" t="str">
        <x:v>snapshot_within_raw:PSE_OPENAPI</x:v>
      </x:c>
      <x:c r="C441" s="59" t="str">
        <x:v>PASS</x:v>
      </x:c>
    </x:row>
    <x:row r="442" ht="30" customHeight="1">
      <x:c r="A442" s="59" t="str">
        <x:v>Kontrola lokalna</x:v>
      </x:c>
      <x:c r="B442" s="59" t="str">
        <x:v>snapshot_exists:PSE_OPENAPI</x:v>
      </x:c>
      <x:c r="C442" s="59" t="str">
        <x:v>PASS</x:v>
      </x:c>
    </x:row>
    <x:row r="443" ht="30" customHeight="1">
      <x:c r="A443" s="59" t="str">
        <x:v>Kontrola lokalna</x:v>
      </x:c>
      <x:c r="B443" s="59" t="str">
        <x:v>snapshot_bytes:PSE_OPENAPI</x:v>
      </x:c>
      <x:c r="C443" s="59" t="str">
        <x:v>PASS</x:v>
      </x:c>
    </x:row>
    <x:row r="444" ht="30" customHeight="1">
      <x:c r="A444" s="59" t="str">
        <x:v>Kontrola lokalna</x:v>
      </x:c>
      <x:c r="B444" s="59" t="str">
        <x:v>snapshot_sha256:PSE_OPENAPI</x:v>
      </x:c>
      <x:c r="C444" s="59" t="str">
        <x:v>PASS</x:v>
      </x:c>
    </x:row>
    <x:row r="445" ht="30" customHeight="1">
      <x:c r="A445" s="59" t="str">
        <x:v>Kontrola lokalna</x:v>
      </x:c>
      <x:c r="B445" s="59" t="str">
        <x:v>snapshot_within_raw:PSE_PIPELINE_XLSX</x:v>
      </x:c>
      <x:c r="C445" s="59" t="str">
        <x:v>PASS</x:v>
      </x:c>
    </x:row>
    <x:row r="446" ht="30" customHeight="1">
      <x:c r="A446" s="59" t="str">
        <x:v>Kontrola lokalna</x:v>
      </x:c>
      <x:c r="B446" s="59" t="str">
        <x:v>snapshot_exists:PSE_PIPELINE_XLSX</x:v>
      </x:c>
      <x:c r="C446" s="59" t="str">
        <x:v>PASS</x:v>
      </x:c>
    </x:row>
    <x:row r="447" ht="30" customHeight="1">
      <x:c r="A447" s="59" t="str">
        <x:v>Kontrola lokalna</x:v>
      </x:c>
      <x:c r="B447" s="59" t="str">
        <x:v>snapshot_bytes:PSE_PIPELINE_XLSX</x:v>
      </x:c>
      <x:c r="C447" s="59" t="str">
        <x:v>PASS</x:v>
      </x:c>
    </x:row>
    <x:row r="448" ht="30" customHeight="1">
      <x:c r="A448" s="59" t="str">
        <x:v>Kontrola lokalna</x:v>
      </x:c>
      <x:c r="B448" s="59" t="str">
        <x:v>snapshot_sha256:PSE_PIPELINE_XLSX</x:v>
      </x:c>
      <x:c r="C448" s="59" t="str">
        <x:v>PASS</x:v>
      </x:c>
    </x:row>
    <x:row r="449" ht="30" customHeight="1">
      <x:c r="A449" s="59" t="str">
        <x:v>Kontrola lokalna</x:v>
      </x:c>
      <x:c r="B449" s="59" t="str">
        <x:v>snapshot_within_raw:ENEA_MAP</x:v>
      </x:c>
      <x:c r="C449" s="59" t="str">
        <x:v>PASS</x:v>
      </x:c>
    </x:row>
    <x:row r="450" ht="30" customHeight="1">
      <x:c r="A450" s="59" t="str">
        <x:v>Kontrola lokalna</x:v>
      </x:c>
      <x:c r="B450" s="59" t="str">
        <x:v>snapshot_exists:ENEA_MAP</x:v>
      </x:c>
      <x:c r="C450" s="59" t="str">
        <x:v>PASS</x:v>
      </x:c>
    </x:row>
    <x:row r="451" ht="30" customHeight="1">
      <x:c r="A451" s="59" t="str">
        <x:v>Kontrola lokalna</x:v>
      </x:c>
      <x:c r="B451" s="59" t="str">
        <x:v>snapshot_bytes:ENEA_MAP</x:v>
      </x:c>
      <x:c r="C451" s="59" t="str">
        <x:v>PASS</x:v>
      </x:c>
    </x:row>
    <x:row r="452" ht="30" customHeight="1">
      <x:c r="A452" s="59" t="str">
        <x:v>Kontrola lokalna</x:v>
      </x:c>
      <x:c r="B452" s="59" t="str">
        <x:v>snapshot_sha256:ENEA_MAP</x:v>
      </x:c>
      <x:c r="C452" s="59" t="str">
        <x:v>PASS</x:v>
      </x:c>
    </x:row>
    <x:row r="453" ht="30" customHeight="1">
      <x:c r="A453" s="59" t="str">
        <x:v>Kontrola lokalna</x:v>
      </x:c>
      <x:c r="B453" s="59" t="str">
        <x:v>snapshot_within_raw:ENEA_PLAN</x:v>
      </x:c>
      <x:c r="C453" s="59" t="str">
        <x:v>PASS</x:v>
      </x:c>
    </x:row>
    <x:row r="454" ht="30" customHeight="1">
      <x:c r="A454" s="59" t="str">
        <x:v>Kontrola lokalna</x:v>
      </x:c>
      <x:c r="B454" s="59" t="str">
        <x:v>snapshot_exists:ENEA_PLAN</x:v>
      </x:c>
      <x:c r="C454" s="59" t="str">
        <x:v>PASS</x:v>
      </x:c>
    </x:row>
    <x:row r="455" ht="30" customHeight="1">
      <x:c r="A455" s="59" t="str">
        <x:v>Kontrola lokalna</x:v>
      </x:c>
      <x:c r="B455" s="59" t="str">
        <x:v>snapshot_bytes:ENEA_PLAN</x:v>
      </x:c>
      <x:c r="C455" s="59" t="str">
        <x:v>PASS</x:v>
      </x:c>
    </x:row>
    <x:row r="456" ht="30" customHeight="1">
      <x:c r="A456" s="59" t="str">
        <x:v>Kontrola lokalna</x:v>
      </x:c>
      <x:c r="B456" s="59" t="str">
        <x:v>snapshot_sha256:ENEA_PLAN</x:v>
      </x:c>
      <x:c r="C456" s="59" t="str">
        <x:v>PASS</x:v>
      </x:c>
    </x:row>
    <x:row r="457" ht="30" customHeight="1">
      <x:c r="A457" s="59" t="str">
        <x:v>Kontrola lokalna</x:v>
      </x:c>
      <x:c r="B457" s="59" t="str">
        <x:v>snapshot_within_raw:STOEN_EXPORT</x:v>
      </x:c>
      <x:c r="C457" s="59" t="str">
        <x:v>PASS</x:v>
      </x:c>
    </x:row>
    <x:row r="458" ht="30" customHeight="1">
      <x:c r="A458" s="59" t="str">
        <x:v>Kontrola lokalna</x:v>
      </x:c>
      <x:c r="B458" s="59" t="str">
        <x:v>snapshot_exists:STOEN_EXPORT</x:v>
      </x:c>
      <x:c r="C458" s="59" t="str">
        <x:v>PASS</x:v>
      </x:c>
    </x:row>
    <x:row r="459" ht="30" customHeight="1">
      <x:c r="A459" s="59" t="str">
        <x:v>Kontrola lokalna</x:v>
      </x:c>
      <x:c r="B459" s="59" t="str">
        <x:v>snapshot_bytes:STOEN_EXPORT</x:v>
      </x:c>
      <x:c r="C459" s="59" t="str">
        <x:v>PASS</x:v>
      </x:c>
    </x:row>
    <x:row r="460" ht="30" customHeight="1">
      <x:c r="A460" s="59" t="str">
        <x:v>Kontrola lokalna</x:v>
      </x:c>
      <x:c r="B460" s="59" t="str">
        <x:v>snapshot_sha256:STOEN_EXPORT</x:v>
      </x:c>
      <x:c r="C460" s="59" t="str">
        <x:v>PASS</x:v>
      </x:c>
    </x:row>
    <x:row r="461" ht="30" customHeight="1">
      <x:c r="A461" s="59" t="str">
        <x:v>Kontrola lokalna</x:v>
      </x:c>
      <x:c r="B461" s="59" t="str">
        <x:v>snapshot_within_raw:STOEN_IMPORT</x:v>
      </x:c>
      <x:c r="C461" s="59" t="str">
        <x:v>PASS</x:v>
      </x:c>
    </x:row>
    <x:row r="462" ht="30" customHeight="1">
      <x:c r="A462" s="59" t="str">
        <x:v>Kontrola lokalna</x:v>
      </x:c>
      <x:c r="B462" s="59" t="str">
        <x:v>snapshot_exists:STOEN_IMPORT</x:v>
      </x:c>
      <x:c r="C462" s="59" t="str">
        <x:v>PASS</x:v>
      </x:c>
    </x:row>
    <x:row r="463" ht="30" customHeight="1">
      <x:c r="A463" s="59" t="str">
        <x:v>Kontrola lokalna</x:v>
      </x:c>
      <x:c r="B463" s="59" t="str">
        <x:v>snapshot_bytes:STOEN_IMPORT</x:v>
      </x:c>
      <x:c r="C463" s="59" t="str">
        <x:v>PASS</x:v>
      </x:c>
    </x:row>
    <x:row r="464" ht="30" customHeight="1">
      <x:c r="A464" s="59" t="str">
        <x:v>Kontrola lokalna</x:v>
      </x:c>
      <x:c r="B464" s="59" t="str">
        <x:v>snapshot_sha256:STOEN_IMPORT</x:v>
      </x:c>
      <x:c r="C464" s="59" t="str">
        <x:v>PASS</x:v>
      </x:c>
    </x:row>
    <x:row r="465" ht="30" customHeight="1">
      <x:c r="A465" s="59" t="str">
        <x:v>Kontrola lokalna</x:v>
      </x:c>
      <x:c r="B465" s="59" t="str">
        <x:v>snapshot_within_raw:LAW_2026_516</x:v>
      </x:c>
      <x:c r="C465" s="59" t="str">
        <x:v>PASS</x:v>
      </x:c>
    </x:row>
    <x:row r="466" ht="30" customHeight="1">
      <x:c r="A466" s="59" t="str">
        <x:v>Kontrola lokalna</x:v>
      </x:c>
      <x:c r="B466" s="59" t="str">
        <x:v>snapshot_exists:LAW_2026_516</x:v>
      </x:c>
      <x:c r="C466" s="59" t="str">
        <x:v>PASS</x:v>
      </x:c>
    </x:row>
    <x:row r="467" ht="30" customHeight="1">
      <x:c r="A467" s="59" t="str">
        <x:v>Kontrola lokalna</x:v>
      </x:c>
      <x:c r="B467" s="59" t="str">
        <x:v>snapshot_bytes:LAW_2026_516</x:v>
      </x:c>
      <x:c r="C467" s="59" t="str">
        <x:v>PASS</x:v>
      </x:c>
    </x:row>
    <x:row r="468" ht="30" customHeight="1">
      <x:c r="A468" s="59" t="str">
        <x:v>Kontrola lokalna</x:v>
      </x:c>
      <x:c r="B468" s="59" t="str">
        <x:v>snapshot_sha256:LAW_2026_516</x:v>
      </x:c>
      <x:c r="C468" s="59" t="str">
        <x:v>PASS</x:v>
      </x:c>
    </x:row>
    <x:row r="469" ht="30" customHeight="1">
      <x:c r="A469" s="59" t="str">
        <x:v>Kontrola lokalna</x:v>
      </x:c>
      <x:c r="B469" s="59" t="str">
        <x:v>snapshot_within_raw:PSE_NODES_SAMPLE</x:v>
      </x:c>
      <x:c r="C469" s="59" t="str">
        <x:v>PASS</x:v>
      </x:c>
    </x:row>
    <x:row r="470" ht="30" customHeight="1">
      <x:c r="A470" s="59" t="str">
        <x:v>Kontrola lokalna</x:v>
      </x:c>
      <x:c r="B470" s="59" t="str">
        <x:v>snapshot_exists:PSE_NODES_SAMPLE</x:v>
      </x:c>
      <x:c r="C470" s="59" t="str">
        <x:v>PASS</x:v>
      </x:c>
    </x:row>
    <x:row r="471" ht="30" customHeight="1">
      <x:c r="A471" s="59" t="str">
        <x:v>Kontrola lokalna</x:v>
      </x:c>
      <x:c r="B471" s="59" t="str">
        <x:v>snapshot_bytes:PSE_NODES_SAMPLE</x:v>
      </x:c>
      <x:c r="C471" s="59" t="str">
        <x:v>PASS</x:v>
      </x:c>
    </x:row>
    <x:row r="472" ht="30" customHeight="1">
      <x:c r="A472" s="59" t="str">
        <x:v>Kontrola lokalna</x:v>
      </x:c>
      <x:c r="B472" s="59" t="str">
        <x:v>snapshot_sha256:PSE_NODES_SAMPLE</x:v>
      </x:c>
      <x:c r="C472" s="59" t="str">
        <x:v>PASS</x:v>
      </x:c>
    </x:row>
    <x:row r="473" ht="30" customHeight="1">
      <x:c r="A473" s="59" t="str">
        <x:v>Kontrola lokalna</x:v>
      </x:c>
      <x:c r="B473" s="59" t="str">
        <x:v>snapshot_within_raw:PSE_REDISPATCH_SAMPLE</x:v>
      </x:c>
      <x:c r="C473" s="59" t="str">
        <x:v>PASS</x:v>
      </x:c>
    </x:row>
    <x:row r="474" ht="30" customHeight="1">
      <x:c r="A474" s="59" t="str">
        <x:v>Kontrola lokalna</x:v>
      </x:c>
      <x:c r="B474" s="59" t="str">
        <x:v>snapshot_exists:PSE_REDISPATCH_SAMPLE</x:v>
      </x:c>
      <x:c r="C474" s="59" t="str">
        <x:v>PASS</x:v>
      </x:c>
    </x:row>
    <x:row r="475" ht="30" customHeight="1">
      <x:c r="A475" s="59" t="str">
        <x:v>Kontrola lokalna</x:v>
      </x:c>
      <x:c r="B475" s="59" t="str">
        <x:v>snapshot_bytes:PSE_REDISPATCH_SAMPLE</x:v>
      </x:c>
      <x:c r="C475" s="59" t="str">
        <x:v>PASS</x:v>
      </x:c>
    </x:row>
    <x:row r="476" ht="30" customHeight="1">
      <x:c r="A476" s="59" t="str">
        <x:v>Kontrola lokalna</x:v>
      </x:c>
      <x:c r="B476" s="59" t="str">
        <x:v>snapshot_sha256:PSE_REDISPATCH_SAMPLE</x:v>
      </x:c>
      <x:c r="C476" s="59" t="str">
        <x:v>PASS</x:v>
      </x:c>
    </x:row>
    <x:row r="477" ht="30" customHeight="1">
      <x:c r="A477" s="59" t="str">
        <x:v>Kontrola lokalna</x:v>
      </x:c>
      <x:c r="B477" s="59" t="str">
        <x:v>snapshot_within_raw:PSE_FLOWS_SAMPLE</x:v>
      </x:c>
      <x:c r="C477" s="59" t="str">
        <x:v>PASS</x:v>
      </x:c>
    </x:row>
    <x:row r="478" ht="30" customHeight="1">
      <x:c r="A478" s="59" t="str">
        <x:v>Kontrola lokalna</x:v>
      </x:c>
      <x:c r="B478" s="59" t="str">
        <x:v>snapshot_exists:PSE_FLOWS_SAMPLE</x:v>
      </x:c>
      <x:c r="C478" s="59" t="str">
        <x:v>PASS</x:v>
      </x:c>
    </x:row>
    <x:row r="479" ht="30" customHeight="1">
      <x:c r="A479" s="59" t="str">
        <x:v>Kontrola lokalna</x:v>
      </x:c>
      <x:c r="B479" s="59" t="str">
        <x:v>snapshot_bytes:PSE_FLOWS_SAMPLE</x:v>
      </x:c>
      <x:c r="C479" s="59" t="str">
        <x:v>PASS</x:v>
      </x:c>
    </x:row>
    <x:row r="480" ht="30" customHeight="1">
      <x:c r="A480" s="59" t="str">
        <x:v>Kontrola lokalna</x:v>
      </x:c>
      <x:c r="B480" s="59" t="str">
        <x:v>snapshot_sha256:PSE_FLOWS_SAMPLE</x:v>
      </x:c>
      <x:c r="C480" s="59" t="str">
        <x:v>PASS</x:v>
      </x:c>
    </x:row>
    <x:row r="481" ht="30" customHeight="1">
      <x:c r="A481" s="59" t="str">
        <x:v>Kontrola lokalna</x:v>
      </x:c>
      <x:c r="B481" s="59" t="str">
        <x:v>snapshot_within_raw:ENERGY_CHARTS_SAMPLE</x:v>
      </x:c>
      <x:c r="C481" s="59" t="str">
        <x:v>PASS</x:v>
      </x:c>
    </x:row>
    <x:row r="482" ht="30" customHeight="1">
      <x:c r="A482" s="59" t="str">
        <x:v>Kontrola lokalna</x:v>
      </x:c>
      <x:c r="B482" s="59" t="str">
        <x:v>snapshot_exists:ENERGY_CHARTS_SAMPLE</x:v>
      </x:c>
      <x:c r="C482" s="59" t="str">
        <x:v>PASS</x:v>
      </x:c>
    </x:row>
    <x:row r="483" ht="30" customHeight="1">
      <x:c r="A483" s="59" t="str">
        <x:v>Kontrola lokalna</x:v>
      </x:c>
      <x:c r="B483" s="59" t="str">
        <x:v>snapshot_bytes:ENERGY_CHARTS_SAMPLE</x:v>
      </x:c>
      <x:c r="C483" s="59" t="str">
        <x:v>PASS</x:v>
      </x:c>
    </x:row>
    <x:row r="484" ht="30" customHeight="1">
      <x:c r="A484" s="59" t="str">
        <x:v>Kontrola lokalna</x:v>
      </x:c>
      <x:c r="B484" s="59" t="str">
        <x:v>snapshot_sha256:ENERGY_CHARTS_SAMPLE</x:v>
      </x:c>
      <x:c r="C484" s="59" t="str">
        <x:v>PASS</x:v>
      </x:c>
    </x:row>
    <x:row r="485" ht="30" customHeight="1">
      <x:c r="A485" s="59" t="str">
        <x:v>Kontrola lokalna</x:v>
      </x:c>
      <x:c r="B485" s="59" t="str">
        <x:v>all_raw_files_have_manifests</x:v>
      </x:c>
      <x:c r="C485" s="59" t="str">
        <x:v>PASS</x:v>
      </x:c>
    </x:row>
    <x:row r="486" ht="30" customHeight="1">
      <x:c r="A486" s="59" t="str">
        <x:v>Kontrola lokalna</x:v>
      </x:c>
      <x:c r="B486" s="59" t="str">
        <x:v>format_readable:enea_maps.html</x:v>
      </x:c>
      <x:c r="C486" s="59" t="str">
        <x:v>PASS</x:v>
      </x:c>
    </x:row>
    <x:row r="487" ht="30" customHeight="1">
      <x:c r="A487" s="59" t="str">
        <x:v>Kontrola lokalna</x:v>
      </x:c>
      <x:c r="B487" s="59" t="str">
        <x:v>format_readable:enea_pipeline_landing.html</x:v>
      </x:c>
      <x:c r="C487" s="59" t="str">
        <x:v>PASS</x:v>
      </x:c>
    </x:row>
    <x:row r="488" ht="30" customHeight="1">
      <x:c r="A488" s="59" t="str">
        <x:v>Kontrola lokalna</x:v>
      </x:c>
      <x:c r="B488" s="59" t="str">
        <x:v>format_readable:enea_plan_landing.html</x:v>
      </x:c>
      <x:c r="C488" s="59" t="str">
        <x:v>PASS</x:v>
      </x:c>
    </x:row>
    <x:row r="489" ht="30" customHeight="1">
      <x:c r="A489" s="59" t="str">
        <x:v>Kontrola lokalna</x:v>
      </x:c>
      <x:c r="B489" s="59" t="str">
        <x:v>pdf_text_layer:energa_export_2026-08-31.pdf</x:v>
      </x:c>
      <x:c r="C489" s="59" t="str">
        <x:v>PASS</x:v>
      </x:c>
    </x:row>
    <x:row r="490" ht="30" customHeight="1">
      <x:c r="A490" s="59" t="str">
        <x:v>Kontrola lokalna</x:v>
      </x:c>
      <x:c r="B490" s="59" t="str">
        <x:v>format_readable:energa_export_2026-08-31.pdf</x:v>
      </x:c>
      <x:c r="C490" s="59" t="str">
        <x:v>PASS</x:v>
      </x:c>
    </x:row>
    <x:row r="491" ht="30" customHeight="1">
      <x:c r="A491" s="59" t="str">
        <x:v>Kontrola lokalna</x:v>
      </x:c>
      <x:c r="B491" s="59" t="str">
        <x:v>pdf_text_layer:energa_import_2026-08-31.pdf</x:v>
      </x:c>
      <x:c r="C491" s="59" t="str">
        <x:v>PASS</x:v>
      </x:c>
    </x:row>
    <x:row r="492" ht="30" customHeight="1">
      <x:c r="A492" s="59" t="str">
        <x:v>Kontrola lokalna</x:v>
      </x:c>
      <x:c r="B492" s="59" t="str">
        <x:v>format_readable:energa_import_2026-08-31.pdf</x:v>
      </x:c>
      <x:c r="C492" s="59" t="str">
        <x:v>PASS</x:v>
      </x:c>
    </x:row>
    <x:row r="493" ht="30" customHeight="1">
      <x:c r="A493" s="59" t="str">
        <x:v>Kontrola lokalna</x:v>
      </x:c>
      <x:c r="B493" s="59" t="str">
        <x:v>format_readable:energa_landing.html</x:v>
      </x:c>
      <x:c r="C493" s="59" t="str">
        <x:v>PASS</x:v>
      </x:c>
    </x:row>
    <x:row r="494" ht="30" customHeight="1">
      <x:c r="A494" s="59" t="str">
        <x:v>Kontrola lokalna</x:v>
      </x:c>
      <x:c r="B494" s="59" t="str">
        <x:v>pdf_text_layer:energa_pipeline_2026-08-31.pdf</x:v>
      </x:c>
      <x:c r="C494" s="59" t="str">
        <x:v>PASS</x:v>
      </x:c>
    </x:row>
    <x:row r="495" ht="30" customHeight="1">
      <x:c r="A495" s="59" t="str">
        <x:v>Kontrola lokalna</x:v>
      </x:c>
      <x:c r="B495" s="59" t="str">
        <x:v>format_readable:energa_pipeline_2026-08-31.pdf</x:v>
      </x:c>
      <x:c r="C495" s="59" t="str">
        <x:v>PASS</x:v>
      </x:c>
    </x:row>
    <x:row r="496" ht="30" customHeight="1">
      <x:c r="A496" s="59" t="str">
        <x:v>Kontrola lokalna</x:v>
      </x:c>
      <x:c r="B496" s="59" t="str">
        <x:v>format_readable:energy_charts_index.html</x:v>
      </x:c>
      <x:c r="C496" s="59" t="str">
        <x:v>PASS</x:v>
      </x:c>
    </x:row>
    <x:row r="497" ht="30" customHeight="1">
      <x:c r="A497" s="59" t="str">
        <x:v>Kontrola lokalna</x:v>
      </x:c>
      <x:c r="B497" s="59" t="str">
        <x:v>format_readable:energy_charts_openapi.json</x:v>
      </x:c>
      <x:c r="C497" s="59" t="str">
        <x:v>PASS</x:v>
      </x:c>
    </x:row>
    <x:row r="498" ht="30" customHeight="1">
      <x:c r="A498" s="59" t="str">
        <x:v>Kontrola lokalna</x:v>
      </x:c>
      <x:c r="B498" s="59" t="str">
        <x:v>format_readable:energy_charts_pl_sample.json</x:v>
      </x:c>
      <x:c r="C498" s="59" t="str">
        <x:v>PASS</x:v>
      </x:c>
    </x:row>
    <x:row r="499" ht="30" customHeight="1">
      <x:c r="A499" s="59" t="str">
        <x:v>Kontrola lokalna</x:v>
      </x:c>
      <x:c r="B499" s="59" t="str">
        <x:v>wfs_capabilities:gdos_capabilities.xml</x:v>
      </x:c>
      <x:c r="C499" s="59" t="str">
        <x:v>PASS: "2.0.0"</x:v>
      </x:c>
    </x:row>
    <x:row r="500" ht="30" customHeight="1">
      <x:c r="A500" s="59" t="str">
        <x:v>Kontrola lokalna</x:v>
      </x:c>
      <x:c r="B500" s="59" t="str">
        <x:v>format_readable:gdos_capabilities.xml</x:v>
      </x:c>
      <x:c r="C500" s="59" t="str">
        <x:v>PASS</x:v>
      </x:c>
    </x:row>
    <x:row r="501" ht="30" customHeight="1">
      <x:c r="A501" s="59" t="str">
        <x:v>Kontrola lokalna</x:v>
      </x:c>
      <x:c r="B501" s="59" t="str">
        <x:v>wfs_capabilities:gugik_egib_capabilities.xml</x:v>
      </x:c>
      <x:c r="C501" s="59" t="str">
        <x:v>PASS: "2.0.0"</x:v>
      </x:c>
    </x:row>
    <x:row r="502" ht="30" customHeight="1">
      <x:c r="A502" s="59" t="str">
        <x:v>Kontrola lokalna</x:v>
      </x:c>
      <x:c r="B502" s="59" t="str">
        <x:v>format_readable:gugik_egib_capabilities.xml</x:v>
      </x:c>
      <x:c r="C502" s="59" t="str">
        <x:v>PASS</x:v>
      </x:c>
    </x:row>
    <x:row r="503" ht="30" customHeight="1">
      <x:c r="A503" s="59" t="str">
        <x:v>Kontrola lokalna</x:v>
      </x:c>
      <x:c r="B503" s="59" t="str">
        <x:v>format_readable:pge_capacity_landing.html</x:v>
      </x:c>
      <x:c r="C503" s="59" t="str">
        <x:v>PASS</x:v>
      </x:c>
    </x:row>
    <x:row r="504" ht="30" customHeight="1">
      <x:c r="A504" s="59" t="str">
        <x:v>Kontrola lokalna</x:v>
      </x:c>
      <x:c r="B504" s="59" t="str">
        <x:v>pdf_text_layer:prawo_energetyczne_zmiana_2026_516.pdf</x:v>
      </x:c>
      <x:c r="C504" s="59" t="str">
        <x:v>PASS</x:v>
      </x:c>
    </x:row>
    <x:row r="505" ht="30" customHeight="1">
      <x:c r="A505" s="59" t="str">
        <x:v>Kontrola lokalna</x:v>
      </x:c>
      <x:c r="B505" s="59" t="str">
        <x:v>format_readable:prawo_energetyczne_zmiana_2026_516.pdf</x:v>
      </x:c>
      <x:c r="C505" s="59" t="str">
        <x:v>PASS</x:v>
      </x:c>
    </x:row>
    <x:row r="506" ht="30" customHeight="1">
      <x:c r="A506" s="59" t="str">
        <x:v>Kontrola lokalna</x:v>
      </x:c>
      <x:c r="B506" s="59" t="str">
        <x:v>format_readable:pse_api_frontend.js</x:v>
      </x:c>
      <x:c r="C506" s="59" t="str">
        <x:v>PASS</x:v>
      </x:c>
    </x:row>
    <x:row r="507" ht="30" customHeight="1">
      <x:c r="A507" s="59" t="str">
        <x:v>Kontrola lokalna</x:v>
      </x:c>
      <x:c r="B507" s="59" t="str">
        <x:v>format_readable:pse_api_index.html</x:v>
      </x:c>
      <x:c r="C507" s="59" t="str">
        <x:v>PASS</x:v>
      </x:c>
    </x:row>
    <x:row r="508" ht="30" customHeight="1">
      <x:c r="A508" s="59" t="str">
        <x:v>Kontrola lokalna</x:v>
      </x:c>
      <x:c r="B508" s="59" t="str">
        <x:v>pdf_text_layer:pse_capacity_retrieved_2026-09-10.pdf</x:v>
      </x:c>
      <x:c r="C508" s="59" t="str">
        <x:v>PASS</x:v>
      </x:c>
    </x:row>
    <x:row r="509" ht="30" customHeight="1">
      <x:c r="A509" s="59" t="str">
        <x:v>Kontrola lokalna</x:v>
      </x:c>
      <x:c r="B509" s="59" t="str">
        <x:v>format_readable:pse_capacity_retrieved_2026-09-10.pdf</x:v>
      </x:c>
      <x:c r="C509" s="59" t="str">
        <x:v>PASS</x:v>
      </x:c>
    </x:row>
    <x:row r="510" ht="30" customHeight="1">
      <x:c r="A510" s="59" t="str">
        <x:v>Kontrola lokalna</x:v>
      </x:c>
      <x:c r="B510" s="59" t="str">
        <x:v>format_readable:pse_flows_sample.json</x:v>
      </x:c>
      <x:c r="C510" s="59" t="str">
        <x:v>PASS</x:v>
      </x:c>
    </x:row>
    <x:row r="511" ht="30" customHeight="1">
      <x:c r="A511" s="59" t="str">
        <x:v>Kontrola lokalna</x:v>
      </x:c>
      <x:c r="B511" s="59" t="str">
        <x:v>format_readable:pse_nodes_sample.json</x:v>
      </x:c>
      <x:c r="C511" s="59" t="str">
        <x:v>PASS</x:v>
      </x:c>
    </x:row>
    <x:row r="512" ht="30" customHeight="1">
      <x:c r="A512" s="59" t="str">
        <x:v>Kontrola lokalna</x:v>
      </x:c>
      <x:c r="B512" s="59" t="str">
        <x:v>format_readable:pse_openapi.json</x:v>
      </x:c>
      <x:c r="C512" s="59" t="str">
        <x:v>PASS</x:v>
      </x:c>
    </x:row>
    <x:row r="513" ht="30" customHeight="1">
      <x:c r="A513" s="59" t="str">
        <x:v>Kontrola lokalna</x:v>
      </x:c>
      <x:c r="B513" s="59" t="str">
        <x:v>format_readable:pse_pipeline_landing.html</x:v>
      </x:c>
      <x:c r="C513" s="59" t="str">
        <x:v>PASS</x:v>
      </x:c>
    </x:row>
    <x:row r="514" ht="30" customHeight="1">
      <x:c r="A514" s="59" t="str">
        <x:v>Kontrola lokalna</x:v>
      </x:c>
      <x:c r="B514" s="59" t="str">
        <x:v>pse_xlsx_expected_sheet</x:v>
      </x:c>
      <x:c r="C514" s="59" t="str">
        <x:v>PASS</x:v>
      </x:c>
    </x:row>
    <x:row r="515" ht="30" customHeight="1">
      <x:c r="A515" s="59" t="str">
        <x:v>Kontrola lokalna</x:v>
      </x:c>
      <x:c r="B515" s="59" t="str">
        <x:v>pse_xlsx_snapshot_date</x:v>
      </x:c>
      <x:c r="C515" s="59" t="str">
        <x:v>PASS: "Header date, not retrieval date"</x:v>
      </x:c>
    </x:row>
    <x:row r="516" ht="30" customHeight="1">
      <x:c r="A516" s="59" t="str">
        <x:v>Kontrola lokalna</x:v>
      </x:c>
      <x:c r="B516" s="59" t="str">
        <x:v>pse_xlsx_direction_fields</x:v>
      </x:c>
      <x:c r="C516" s="59" t="str">
        <x:v>PASS</x:v>
      </x:c>
    </x:row>
    <x:row r="517" ht="30" customHeight="1">
      <x:c r="A517" s="59" t="str">
        <x:v>Kontrola lokalna</x:v>
      </x:c>
      <x:c r="B517" s="59" t="str">
        <x:v>format_readable:pse_pipeline_url_2026-07-31.xlsx</x:v>
      </x:c>
      <x:c r="C517" s="59" t="str">
        <x:v>PASS</x:v>
      </x:c>
    </x:row>
    <x:row r="518" ht="30" customHeight="1">
      <x:c r="A518" s="59" t="str">
        <x:v>Kontrola lokalna</x:v>
      </x:c>
      <x:c r="B518" s="59" t="str">
        <x:v>format_readable:pse_redispatch_sample.json</x:v>
      </x:c>
      <x:c r="C518" s="59" t="str">
        <x:v>PASS</x:v>
      </x:c>
    </x:row>
    <x:row r="519" ht="30" customHeight="1">
      <x:c r="A519" s="59" t="str">
        <x:v>Kontrola lokalna</x:v>
      </x:c>
      <x:c r="B519" s="59" t="str">
        <x:v>pdf_text_layer:stoen_export_2026_q3.pdf</x:v>
      </x:c>
      <x:c r="C519" s="59" t="str">
        <x:v>PASS</x:v>
      </x:c>
    </x:row>
    <x:row r="520" ht="30" customHeight="1">
      <x:c r="A520" s="59" t="str">
        <x:v>Kontrola lokalna</x:v>
      </x:c>
      <x:c r="B520" s="59" t="str">
        <x:v>format_readable:stoen_export_2026_q3.pdf</x:v>
      </x:c>
      <x:c r="C520" s="59" t="str">
        <x:v>PASS</x:v>
      </x:c>
    </x:row>
    <x:row r="521" ht="30" customHeight="1">
      <x:c r="A521" s="59" t="str">
        <x:v>Kontrola lokalna</x:v>
      </x:c>
      <x:c r="B521" s="59" t="str">
        <x:v>pdf_text_layer:stoen_import_2026-08-31.pdf</x:v>
      </x:c>
      <x:c r="C521" s="59" t="str">
        <x:v>PASS</x:v>
      </x:c>
    </x:row>
    <x:row r="522" ht="30" customHeight="1">
      <x:c r="A522" s="59" t="str">
        <x:v>Kontrola lokalna</x:v>
      </x:c>
      <x:c r="B522" s="59" t="str">
        <x:v>format_readable:stoen_import_2026-08-31.pdf</x:v>
      </x:c>
      <x:c r="C522" s="59" t="str">
        <x:v>PASS</x:v>
      </x:c>
    </x:row>
    <x:row r="523" ht="30" customHeight="1">
      <x:c r="A523" s="59" t="str">
        <x:v>Kontrola lokalna</x:v>
      </x:c>
      <x:c r="B523" s="59" t="str">
        <x:v>format_readable:stoen_network_landing.html</x:v>
      </x:c>
      <x:c r="C523" s="59" t="str">
        <x:v>PASS</x:v>
      </x:c>
    </x:row>
    <x:row r="524" ht="30" customHeight="1">
      <x:c r="A524" s="59" t="str">
        <x:v>Kontrola lokalna</x:v>
      </x:c>
      <x:c r="B524" s="59" t="str">
        <x:v>format_readable:tauron_pipeline_landing.html</x:v>
      </x:c>
      <x:c r="C524" s="59" t="str">
        <x:v>PASS</x:v>
      </x:c>
    </x:row>
    <x:row r="525" ht="30" customHeight="1">
      <x:c r="A525" s="59" t="str">
        <x:v>Kontrola lokalna</x:v>
      </x:c>
      <x:c r="B525" s="59" t="str">
        <x:v>pdf_text_layer:tauron_pipeline_retrieved_2026-09-10.pdf</x:v>
      </x:c>
      <x:c r="C525" s="59" t="str">
        <x:v>PASS</x:v>
      </x:c>
    </x:row>
    <x:row r="526" ht="30" customHeight="1">
      <x:c r="A526" s="59" t="str">
        <x:v>Kontrola lokalna</x:v>
      </x:c>
      <x:c r="B526" s="59" t="str">
        <x:v>format_readable:tauron_pipeline_retrieved_2026-09-10.pdf</x:v>
      </x:c>
      <x:c r="C526" s="59" t="str">
        <x:v>PASS</x:v>
      </x:c>
    </x:row>
    <x:row r="527" ht="30" customHeight="1">
      <x:c r="A527" s="59" t="str">
        <x:v>Kontrola lokalna</x:v>
      </x:c>
      <x:c r="B527" s="59" t="str">
        <x:v>pge_block_body_identified</x:v>
      </x:c>
      <x:c r="C527" s="59" t="str">
        <x:v>PASS</x:v>
      </x:c>
    </x:row>
    <x:row r="528" ht="30" customHeight="1">
      <x:c r="A528" s="59" t="str">
        <x:v>Kontrola lokalna</x:v>
      </x:c>
      <x:c r="B528" s="59" t="str">
        <x:v>pge_catalog_not_data_success</x:v>
      </x:c>
      <x:c r="C528" s="59" t="str">
        <x:v>PASS</x:v>
      </x:c>
    </x:row>
    <x:row r="529" ht="30" customHeight="1">
      <x:c r="A529" s="59" t="str">
        <x:v>Kontrola lokalna</x:v>
      </x:c>
      <x:c r="B529" s="59" t="str">
        <x:v>energa_header_june_date</x:v>
      </x:c>
      <x:c r="C529" s="59" t="str">
        <x:v>PASS</x:v>
      </x:c>
    </x:row>
    <x:row r="530" ht="30" customHeight="1">
      <x:c r="A530" s="59" t="str">
        <x:v>Kontrola lokalna</x:v>
      </x:c>
      <x:c r="B530" s="59" t="str">
        <x:v>energa_conflict_preserved</x:v>
      </x:c>
      <x:c r="C530" s="59" t="str">
        <x:v>PASS</x:v>
      </x:c>
    </x:row>
    <x:row r="531" ht="30" customHeight="1">
      <x:c r="A531" s="59" t="str">
        <x:v>Kontrola lokalna</x:v>
      </x:c>
      <x:c r="B531" s="59" t="str">
        <x:v>pse_nodes_shape</x:v>
      </x:c>
      <x:c r="C531" s="59" t="str">
        <x:v>PASS</x:v>
      </x:c>
    </x:row>
    <x:row r="532" ht="30" customHeight="1">
      <x:c r="A532" s="59" t="str">
        <x:v>Kontrola lokalna</x:v>
      </x:c>
      <x:c r="B532" s="59" t="str">
        <x:v>pse_nodes_pagination</x:v>
      </x:c>
      <x:c r="C532" s="59" t="str">
        <x:v>PASS</x:v>
      </x:c>
    </x:row>
    <x:row r="533" ht="30" customHeight="1">
      <x:c r="A533" s="59" t="str">
        <x:v>Kontrola lokalna</x:v>
      </x:c>
      <x:c r="B533" s="59" t="str">
        <x:v>pse_redispatch_causes</x:v>
      </x:c>
      <x:c r="C533" s="59" t="str">
        <x:v>PASS</x:v>
      </x:c>
    </x:row>
    <x:row r="534" ht="30" customHeight="1">
      <x:c r="A534" s="59" t="str">
        <x:v>Kontrola lokalna</x:v>
      </x:c>
      <x:c r="B534" s="59" t="str">
        <x:v>pse_redispatch_null_preserved</x:v>
      </x:c>
      <x:c r="C534" s="59" t="str">
        <x:v>PASS</x:v>
      </x:c>
    </x:row>
    <x:row r="535" ht="30" customHeight="1">
      <x:c r="A535" s="59" t="str">
        <x:v>Kontrola lokalna</x:v>
      </x:c>
      <x:c r="B535" s="59" t="str">
        <x:v>pse_flows_sections</x:v>
      </x:c>
      <x:c r="C535" s="59" t="str">
        <x:v>PASS</x:v>
      </x:c>
    </x:row>
    <x:row r="536" ht="30" customHeight="1">
      <x:c r="A536" s="59" t="str">
        <x:v>Kontrola lokalna</x:v>
      </x:c>
      <x:c r="B536" s="59" t="str">
        <x:v>energy_charts_v2_timeseries_shape</x:v>
      </x:c>
      <x:c r="C536" s="59" t="str">
        <x:v>PASS</x:v>
      </x:c>
    </x:row>
    <x:row r="537" ht="30" customHeight="1">
      <x:c r="A537" s="59" t="str">
        <x:v>Kontrola lokalna</x:v>
      </x:c>
      <x:c r="B537" s="59" t="str">
        <x:v>energy_charts_v2_series_keys</x:v>
      </x:c>
      <x:c r="C537" s="59" t="str">
        <x:v>PASS</x:v>
      </x:c>
    </x:row>
    <x:row r="538" ht="30" customHeight="1">
      <x:c r="A538" s="59" t="str">
        <x:v>Kontrola lokalna</x:v>
      </x:c>
      <x:c r="B538" s="59" t="str">
        <x:v>energy_charts_v2_country_unit</x:v>
      </x:c>
      <x:c r="C538" s="59" t="str">
        <x:v>PASS</x:v>
      </x:c>
    </x:row>
    <x:row r="539" ht="30" customHeight="1">
      <x:c r="A539" s="59" t="str">
        <x:v>Kontrola lokalna</x:v>
      </x:c>
      <x:c r="B539" s="59" t="str">
        <x:v>energy_charts_v2_license_metadata</x:v>
      </x:c>
      <x:c r="C539" s="59" t="str">
        <x:v>PASS</x:v>
      </x:c>
    </x:row>
    <x:row r="540" ht="30" customHeight="1">
      <x:c r="A540" s="59" t="str">
        <x:v>Kontrola lokalna</x:v>
      </x:c>
      <x:c r="B540" s="59" t="str">
        <x:v>openapi_contract:pse_openapi.json</x:v>
      </x:c>
      <x:c r="C540" s="59" t="str">
        <x:v>PASS</x:v>
      </x:c>
    </x:row>
    <x:row r="541" ht="30" customHeight="1">
      <x:c r="A541" s="59" t="str">
        <x:v>Kontrola lokalna</x:v>
      </x:c>
      <x:c r="B541" s="59" t="str">
        <x:v>openapi_contract:energy_charts_openapi.json</x:v>
      </x:c>
      <x:c r="C541" s="59" t="str">
        <x:v>PASS</x:v>
      </x:c>
    </x:row>
    <x:row r="542" ht="30" customHeight="1">
      <x:c r="A542" s="59" t="str">
        <x:v>Kontrola lokalna</x:v>
      </x:c>
      <x:c r="B542" s="59" t="str">
        <x:v>local_link:README.md:docs/01_data_research.md</x:v>
      </x:c>
      <x:c r="C542" s="59" t="str">
        <x:v>PASS</x:v>
      </x:c>
    </x:row>
    <x:row r="543" ht="30" customHeight="1">
      <x:c r="A543" s="59" t="str">
        <x:v>Kontrola lokalna</x:v>
      </x:c>
      <x:c r="B543" s="59" t="str">
        <x:v>local_link:README.md:docs/data_sources.md</x:v>
      </x:c>
      <x:c r="C543" s="59" t="str">
        <x:v>PASS</x:v>
      </x:c>
    </x:row>
    <x:row r="544" ht="30" customHeight="1">
      <x:c r="A544" s="59" t="str">
        <x:v>Kontrola lokalna</x:v>
      </x:c>
      <x:c r="B544" s="59" t="str">
        <x:v>local_link:README.md:data/catalog/data_sources.json</x:v>
      </x:c>
      <x:c r="C544" s="59" t="str">
        <x:v>PASS</x:v>
      </x:c>
    </x:row>
    <x:row r="545" ht="30" customHeight="1">
      <x:c r="A545" s="59" t="str">
        <x:v>Kontrola lokalna</x:v>
      </x:c>
      <x:c r="B545" s="59" t="str">
        <x:v>local_link:README.md:docs/02_feasibility_matrix.md</x:v>
      </x:c>
      <x:c r="C545" s="59" t="str">
        <x:v>PASS</x:v>
      </x:c>
    </x:row>
    <x:row r="546" ht="30" customHeight="1">
      <x:c r="A546" s="59" t="str">
        <x:v>Kontrola lokalna</x:v>
      </x:c>
      <x:c r="B546" s="59" t="str">
        <x:v>local_link:README.md:docs/03_system_architecture.md</x:v>
      </x:c>
      <x:c r="C546" s="59" t="str">
        <x:v>PASS</x:v>
      </x:c>
    </x:row>
    <x:row r="547" ht="30" customHeight="1">
      <x:c r="A547" s="59" t="str">
        <x:v>Kontrola lokalna</x:v>
      </x:c>
      <x:c r="B547" s="59" t="str">
        <x:v>local_link:README.md:docs/04_data_model.md</x:v>
      </x:c>
      <x:c r="C547" s="59" t="str">
        <x:v>PASS</x:v>
      </x:c>
    </x:row>
    <x:row r="548" ht="30" customHeight="1">
      <x:c r="A548" s="59" t="str">
        <x:v>Kontrola lokalna</x:v>
      </x:c>
      <x:c r="B548" s="59" t="str">
        <x:v>local_link:README.md:docs/05_grid_capacity_methodology.md</x:v>
      </x:c>
      <x:c r="C548" s="59" t="str">
        <x:v>PASS</x:v>
      </x:c>
    </x:row>
    <x:row r="549" ht="30" customHeight="1">
      <x:c r="A549" s="59" t="str">
        <x:v>Kontrola lokalna</x:v>
      </x:c>
      <x:c r="B549" s="59" t="str">
        <x:v>local_link:README.md:docs/06_scoring_methodology.md</x:v>
      </x:c>
      <x:c r="C549" s="59" t="str">
        <x:v>PASS</x:v>
      </x:c>
    </x:row>
    <x:row r="550" ht="30" customHeight="1">
      <x:c r="A550" s="59" t="str">
        <x:v>Kontrola lokalna</x:v>
      </x:c>
      <x:c r="B550" s="59" t="str">
        <x:v>local_link:README.md:docs/07_data_quality.md</x:v>
      </x:c>
      <x:c r="C550" s="59" t="str">
        <x:v>PASS</x:v>
      </x:c>
    </x:row>
    <x:row r="551" ht="30" customHeight="1">
      <x:c r="A551" s="59" t="str">
        <x:v>Kontrola lokalna</x:v>
      </x:c>
      <x:c r="B551" s="59" t="str">
        <x:v>local_link:README.md:docs/08_roadmap.md</x:v>
      </x:c>
      <x:c r="C551" s="59" t="str">
        <x:v>PASS</x:v>
      </x:c>
    </x:row>
    <x:row r="552" ht="30" customHeight="1">
      <x:c r="A552" s="59" t="str">
        <x:v>Kontrola lokalna</x:v>
      </x:c>
      <x:c r="B552" s="59" t="str">
        <x:v>local_link:README.md:docs/decision_log.md</x:v>
      </x:c>
      <x:c r="C552" s="59" t="str">
        <x:v>PASS</x:v>
      </x:c>
    </x:row>
    <x:row r="553" ht="30" customHeight="1">
      <x:c r="A553" s="59" t="str">
        <x:v>Kontrola lokalna</x:v>
      </x:c>
      <x:c r="B553" s="59" t="str">
        <x:v>local_link:README.md:docs/git_workflow.md</x:v>
      </x:c>
      <x:c r="C553" s="59" t="str">
        <x:v>PASS</x:v>
      </x:c>
    </x:row>
    <x:row r="554" ht="30" customHeight="1">
      <x:c r="A554" s="59" t="str">
        <x:v>Kontrola lokalna</x:v>
      </x:c>
      <x:c r="B554" s="59" t="str">
        <x:v>local_link:README.md:docs/reproducibility.md</x:v>
      </x:c>
      <x:c r="C554" s="59" t="str">
        <x:v>PASS</x:v>
      </x:c>
    </x:row>
    <x:row r="555" ht="30" customHeight="1">
      <x:c r="A555" s="59" t="str">
        <x:v>Kontrola lokalna</x:v>
      </x:c>
      <x:c r="B555" s="59" t="str">
        <x:v>local_link:01_data_research.md:data_sources.md</x:v>
      </x:c>
      <x:c r="C555" s="59" t="str">
        <x:v>PASS</x:v>
      </x:c>
    </x:row>
    <x:row r="556" ht="30" customHeight="1">
      <x:c r="A556" s="59" t="str">
        <x:v>Kontrola lokalna</x:v>
      </x:c>
      <x:c r="B556" s="59" t="str">
        <x:v>local_link:01_data_research.md:02_feasibility_matrix.md</x:v>
      </x:c>
      <x:c r="C556" s="59" t="str">
        <x:v>PASS</x:v>
      </x:c>
    </x:row>
    <x:row r="557" ht="30" customHeight="1">
      <x:c r="A557" s="59" t="str">
        <x:v>Kontrola lokalna</x:v>
      </x:c>
      <x:c r="B557" s="59" t="str">
        <x:v>local_link:02_feasibility_matrix.md:01_data_research.md</x:v>
      </x:c>
      <x:c r="C557" s="59" t="str">
        <x:v>PASS</x:v>
      </x:c>
    </x:row>
    <x:row r="558" ht="30" customHeight="1">
      <x:c r="A558" s="59" t="str">
        <x:v>Kontrola lokalna</x:v>
      </x:c>
      <x:c r="B558" s="59" t="str">
        <x:v>local_link:02_feasibility_matrix.md:data_sources.md</x:v>
      </x:c>
      <x:c r="C558" s="59" t="str">
        <x:v>PASS</x:v>
      </x:c>
    </x:row>
    <x:row r="559" ht="30" customHeight="1">
      <x:c r="A559" s="59" t="str">
        <x:v>Kontrola lokalna</x:v>
      </x:c>
      <x:c r="B559" s="59" t="str">
        <x:v>local_link:05_grid_capacity_methodology.md:01_data_research.md</x:v>
      </x:c>
      <x:c r="C559" s="59" t="str">
        <x:v>PASS</x:v>
      </x:c>
    </x:row>
    <x:row r="560" ht="30" customHeight="1">
      <x:c r="A560" s="59" t="str">
        <x:v>Kontrola lokalna</x:v>
      </x:c>
      <x:c r="B560" s="59" t="str">
        <x:v>local_link:data_sources.md:01_data_research.md</x:v>
      </x:c>
      <x:c r="C560" s="59" t="str">
        <x:v>PASS</x:v>
      </x:c>
    </x:row>
    <x:row r="561" ht="30" customHeight="1">
      <x:c r="A561" s="59" t="str">
        <x:v>Kontrola lokalna</x:v>
      </x:c>
      <x:c r="B561" s="59" t="str">
        <x:v>local_link:discovery_log.md:01_data_research.md</x:v>
      </x:c>
      <x:c r="C561" s="59" t="str">
        <x:v>PASS</x:v>
      </x:c>
    </x:row>
    <x:row r="562" ht="30" customHeight="1">
      <x:c r="A562" s="59" t="str">
        <x:v>Kontrola lokalna</x:v>
      </x:c>
      <x:c r="B562" s="59" t="str">
        <x:v>local_link:discovery_log.md:data_sources.md</x:v>
      </x:c>
      <x:c r="C562" s="59" t="str">
        <x:v>PASS</x:v>
      </x:c>
    </x:row>
    <x:row r="563" ht="30" customHeight="1">
      <x:c r="A563" s="59" t="str">
        <x:v>Kontrola lokalna</x:v>
      </x:c>
      <x:c r="B563" s="59" t="str">
        <x:v>local_link:git_workflow.md:reproducibility.md</x:v>
      </x:c>
      <x:c r="C563" s="59" t="str">
        <x:v>PASS</x:v>
      </x:c>
    </x:row>
    <x:row r="564" ht="30" customHeight="1">
      <x:c r="A564" s="59" t="str">
        <x:v>Kontrola lokalna</x:v>
      </x:c>
      <x:c r="B564" s="59" t="str">
        <x:v>local_link:reproducibility.md:../data/catalog/archive_manifest.json</x:v>
      </x:c>
      <x:c r="C564" s="59" t="str">
        <x:v>PASS</x:v>
      </x:c>
    </x:row>
    <x:row r="565" ht="30" customHeight="1">
      <x:c r="A565" s="59" t="str">
        <x:v>Kontrola lokalna</x:v>
      </x:c>
      <x:c r="B565" s="59" t="str">
        <x:v>python_syntax:build_research_catalog.py</x:v>
      </x:c>
      <x:c r="C565" s="59" t="str">
        <x:v>PASS</x:v>
      </x:c>
    </x:row>
    <x:row r="566" ht="30" customHeight="1">
      <x:c r="A566" s="59" t="str">
        <x:v>Kontrola lokalna</x:v>
      </x:c>
      <x:c r="B566" s="59" t="str">
        <x:v>python_syntax:research_archive.py</x:v>
      </x:c>
      <x:c r="C566" s="59" t="str">
        <x:v>PASS</x:v>
      </x:c>
    </x:row>
    <x:row r="567" ht="30" customHeight="1">
      <x:c r="A567" s="59" t="str">
        <x:v>Kontrola lokalna</x:v>
      </x:c>
      <x:c r="B567" s="59" t="str">
        <x:v>python_syntax:validate_research.py</x:v>
      </x:c>
      <x:c r="C567" s="59" t="str">
        <x:v>PASS</x:v>
      </x:c>
    </x:row>
  </x:sheetData>
  <x:pageMargins left="0.7" right="0.7" top="0.75" bottom="0.75" header="0.3" footer="0.3"/>
  <x:tableParts count="1">
    <x:tablePart xmlns:r="http://schemas.openxmlformats.org/officeDocument/2006/relationships" r:id="Re134da0dcae54f17"/>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46276.27486377315</x:v>
      </x:c>
    </x:row>
    <x:row r="8" ht="30" customHeight="1">
      <x:c r="A8" s="59" t="str">
        <x:v>Stan rejestru TODO</x:v>
      </x:c>
      <x:c r="B8" s="60" t="n">
        <x:v>46276</x:v>
      </x:c>
    </x:row>
    <x:row r="9" ht="30" customHeight="1">
      <x:c r="A9" s="59" t="str">
        <x:v>Commit widoczny przy generowaniu</x:v>
      </x:c>
      <x:c r="B9" s="59" t="str">
        <x:v>fe9b1af70104ef3f12824a2380690917cae269f3</x:v>
      </x:c>
    </x:row>
    <x:row r="10" ht="30" customHeight="1">
      <x:c r="A10" s="59" t="str">
        <x:v>SHA-256 zestawu wejść</x:v>
      </x:c>
      <x:c r="B10" s="59" t="str">
        <x:v>e65431c91879b3dc45fd40e517e8423860517aea7def3278ff37af3d7c7b58b2</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1bf85052a7de785604b0f457525931b10f0dc6a2983e13b5cdb2018c0cf253a9; 17080 bajtów</x:v>
      </x:c>
    </x:row>
    <x:row r="22" ht="30" customHeight="1">
      <x:c r="A22" s="59" t="str">
        <x:v>data/catalog/data_sources.json</x:v>
      </x:c>
      <x:c r="B22" s="59" t="str">
        <x:v>SHA-256 9361113ae13909f685025689a6eddbb4b0db1eb8df714f1fdfa50bfb8043d626; 158512 bajtów</x:v>
      </x:c>
    </x:row>
    <x:row r="23" ht="30" customHeight="1">
      <x:c r="A23" s="59" t="str">
        <x:v>data/catalog/research_validation.json</x:v>
      </x:c>
      <x:c r="B23" s="59" t="str">
        <x:v>SHA-256 426aa4d4c6591f1fc5e6e09b4b79ccc1050d4b81c93809d10521d0b3a1f0d4ba; 61214 bajtów</x:v>
      </x:c>
    </x:row>
    <x:row r="24" ht="30" customHeight="1">
      <x:c r="A24" s="59" t="str">
        <x:v>data/catalog/archive_manifest.json</x:v>
      </x:c>
      <x:c r="B24" s="59" t="str">
        <x:v>SHA-256 db9d4a636e3ecfd47b4bfb690a61d61b8a6853fef35dcb945a671d99d1f16d48; 6867 bajtów</x:v>
      </x:c>
    </x:row>
    <x:row r="25" ht="30" customHeight="1">
      <x:c r="A25" s="59" t="str">
        <x:v>README.md</x:v>
      </x:c>
      <x:c r="B25" s="59" t="str">
        <x:v>SHA-256 b1acc5195c0be4a9c6d1e9e4e3ce1d7c6977297b0225ec455c1abffb83a743e6; 3249 bajtów</x:v>
      </x:c>
    </x:row>
    <x:row r="26" ht="30" customHeight="1">
      <x:c r="A26" s="59" t="str">
        <x:v>docs/01_data_research.md</x:v>
      </x:c>
      <x:c r="B26" s="59" t="str">
        <x:v>SHA-256 387b5cb257d3482fab5ea3f1f66ecbd96a6f2746acd2df0c24df2849d918470d; 39526 bajtów</x:v>
      </x:c>
    </x:row>
    <x:row r="27" ht="30" customHeight="1">
      <x:c r="A27" s="59" t="str">
        <x:v>docs/02_feasibility_matrix.md</x:v>
      </x:c>
      <x:c r="B27" s="59" t="str">
        <x:v>SHA-256 adbf7284bd5e5793a2334f71956a5cdca52e583dfc4ffb3cb04b7c02d491d3b0; 6602 bajtów</x:v>
      </x:c>
    </x:row>
    <x:row r="28" ht="30" customHeight="1">
      <x:c r="A28" s="59" t="str">
        <x:v>docs/03_system_architecture.md</x:v>
      </x:c>
      <x:c r="B28" s="59" t="str">
        <x:v>SHA-256 84c4a3b458e65fac551238e50d54a4e05de61e66316fc2292af7a0f95eb5e0b8; 3000 bajtów</x:v>
      </x:c>
    </x:row>
    <x:row r="29" ht="30" customHeight="1">
      <x:c r="A29" s="59" t="str">
        <x:v>docs/04_data_model.md</x:v>
      </x:c>
      <x:c r="B29" s="59" t="str">
        <x:v>SHA-256 617b66fd6e2902c20dc4bca65e7f442845ab40c71a0ab17b6ec39b097212957d; 2740 bajtów</x:v>
      </x:c>
    </x:row>
    <x:row r="30" ht="30" customHeight="1">
      <x:c r="A30" s="59" t="str">
        <x:v>docs/05_grid_capacity_methodology.md</x:v>
      </x:c>
      <x:c r="B30" s="59" t="str">
        <x:v>SHA-256 bb567d9f754aafbd1b71a174b574e50c5bdbbd783d73ad8a67641e8659db0d82; 1787 bajtów</x:v>
      </x:c>
    </x:row>
    <x:row r="31" ht="30" customHeight="1">
      <x:c r="A31" s="59" t="str">
        <x:v>docs/06_scoring_methodology.md</x:v>
      </x:c>
      <x:c r="B31" s="59" t="str">
        <x:v>SHA-256 eb1cc874f964a8968ea08d9cef93ec8e02081a8b2b37836042426c940b351d7d; 1857 bajtów</x:v>
      </x:c>
    </x:row>
    <x:row r="32" ht="30" customHeight="1">
      <x:c r="A32" s="59" t="str">
        <x:v>docs/07_data_quality.md</x:v>
      </x:c>
      <x:c r="B32" s="59" t="str">
        <x:v>SHA-256 67a6aee9b0b3911790b9c1124e7c3efd7e0fb8ca2bf4119a6440b9d1a348dda6; 3359 bajtów</x:v>
      </x:c>
    </x:row>
    <x:row r="33" ht="30" customHeight="1">
      <x:c r="A33" s="59" t="str">
        <x:v>docs/08_roadmap.md</x:v>
      </x:c>
      <x:c r="B33" s="59" t="str">
        <x:v>SHA-256 e0a7ed406410c129fff6df65be213addcc1f254601336d6e9ec01c2d69a8852e; 2244 bajtów</x:v>
      </x:c>
    </x:row>
    <x:row r="34" ht="30" customHeight="1">
      <x:c r="A34" s="59" t="str">
        <x:v>docs/gpz_pipeline.md</x:v>
      </x:c>
      <x:c r="B34" s="59" t="str">
        <x:v>SHA-256 73277e2a8be6353fd8d8ab6f8c61fdb67fa6feb9428c7a9be8813dbc51171b40; 4669 bajtów</x:v>
      </x:c>
    </x:row>
    <x:row r="35" ht="30" customHeight="1">
      <x:c r="A35" s="59" t="str">
        <x:v>docs/decision_log.md</x:v>
      </x:c>
      <x:c r="B35" s="59" t="str">
        <x:v>SHA-256 9657337f2dde30d2bb5e62857d1d36bba79c07841438a3525756364580d35133; 7116 bajtów</x:v>
      </x:c>
    </x:row>
    <x:row r="36" ht="30" customHeight="1">
      <x:c r="A36" s="59" t="str">
        <x:v>docs/discovery_log.md</x:v>
      </x:c>
      <x:c r="B36" s="59" t="str">
        <x:v>SHA-256 e1049cda6e471993bb574f4a6ff8c95479402f653f43b24a9605041cf86eafbc; 4217 bajtów</x:v>
      </x:c>
    </x:row>
    <x:row r="37" ht="30" customHeight="1">
      <x:c r="A37" s="59" t="str">
        <x:v>docs/reproducibility.md</x:v>
      </x:c>
      <x:c r="B37" s="59" t="str">
        <x:v>SHA-256 c6ce73214c90ecd2f6da759331507f05c6231d3ecebc0517c56f4992916d604c; 3864 bajtów</x:v>
      </x:c>
    </x:row>
    <x:row r="38" ht="30" customHeight="1">
      <x:c r="A38" s="59" t="str">
        <x:v>docs/git_workflow.md</x:v>
      </x:c>
      <x:c r="B38" s="59" t="str">
        <x:v>SHA-256 5f3a11ae855ab526329ecaeb5e311ed9a86342114be5f29e72e214476d51a72b; 4545 bajtów</x:v>
      </x:c>
    </x:row>
    <x:row r="39" ht="30" customHeight="1">
      <x:c r="A39" s="59" t="str">
        <x:v>docs/project_reporting.md</x:v>
      </x:c>
      <x:c r="B39" s="59" t="str">
        <x:v>SHA-256 40a09cd6957e08c6e9c38369eb6cce85f17bf63a355303975f4f376bb50f9b83; 4645 bajtów</x:v>
      </x:c>
    </x:row>
    <x:row r="40" ht="30" customHeight="1">
      <x:c r="A40" s="59" t="str">
        <x:v>scripts/report_data.mjs</x:v>
      </x:c>
      <x:c r="B40" s="59" t="str">
        <x:v>SHA-256 5022de71ffd662b6c982540a8a57373f679a5e09883ab42e00903214bd11a3ce; 7435 bajtów</x:v>
      </x:c>
    </x:row>
    <x:row r="41" ht="30" customHeight="1">
      <x:c r="A41" s="59" t="str">
        <x:v>scripts/generate_project_report.mjs</x:v>
      </x:c>
      <x:c r="B41" s="59" t="str">
        <x:v>SHA-256 50318cf8c052dd544e96d76a3f28adf8d0fdc7711f66a7cb4d0cfb6e906a0963; 17888 bajtów</x:v>
      </x:c>
    </x:row>
    <x:row r="42" ht="30" customHeight="1">
      <x:c r="A42" s="59" t="str">
        <x:v>scripts/generate_project_report.ps1</x:v>
      </x:c>
      <x:c r="B42" s="59" t="str">
        <x:v>SHA-256 18664ffdf769acf42dce0d589a54a313d2f16e5732617b6bf8e31a0545b0ca4d; 1950 bajtów</x:v>
      </x:c>
    </x:row>
    <x:row r="43" ht="30" customHeight="1">
      <x:c r="A43" s="59" t="str">
        <x:v>scripts/validate_project_report.py</x:v>
      </x:c>
      <x:c r="B43" s="59" t="str">
        <x:v>SHA-256 6754de75cbb11913da1dcba4f01f3c898f5069a7c31d8046572094fd43c13581; 3949 bajtów</x:v>
      </x:c>
    </x:row>
    <x:row r="44" ht="30" customHeight="1">
      <x:c r="A44" s="59" t="str">
        <x:v>data/reference/project_tracker_template.xlsx</x:v>
      </x:c>
      <x:c r="B44"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e36bef0045374cca"/>
  </x:tableParts>
</x:worksheet>
</file>