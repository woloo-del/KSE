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99eaf7aa1f455d" /></Relationships>
</file>

<file path=xl/workbook.xml><?xml version="1.0" encoding="utf-8"?>
<x:workbook xmlns:x="http://schemas.openxmlformats.org/spreadsheetml/2006/main">
  <x:sheets>
    <x:sheet xmlns:r="http://schemas.openxmlformats.org/officeDocument/2006/relationships" name="Project Plan" sheetId="1" r:id="Re5a2b08305eb40e5"/>
    <x:sheet xmlns:r="http://schemas.openxmlformats.org/officeDocument/2006/relationships" name="Podsumowanie" sheetId="2" r:id="Rb57ba93043e54252"/>
    <x:sheet xmlns:r="http://schemas.openxmlformats.org/officeDocument/2006/relationships" name="Potrzebne informacje" sheetId="3" r:id="Rc8c4cb8d2e894956"/>
    <x:sheet xmlns:r="http://schemas.openxmlformats.org/officeDocument/2006/relationships" name="TODO" sheetId="4" r:id="Rf95239db1975492f"/>
    <x:sheet xmlns:r="http://schemas.openxmlformats.org/officeDocument/2006/relationships" name="Wykonalność" sheetId="5" r:id="R91f42542c5894177"/>
    <x:sheet xmlns:r="http://schemas.openxmlformats.org/officeDocument/2006/relationships" name="Źródła" sheetId="6" r:id="R5b6025ec2bf94c39"/>
    <x:sheet xmlns:r="http://schemas.openxmlformats.org/officeDocument/2006/relationships" name="Źródła szczegóły" sheetId="7" r:id="R1aae44bd01c04a42"/>
    <x:sheet xmlns:r="http://schemas.openxmlformats.org/officeDocument/2006/relationships" name="Ryzyka" sheetId="8" r:id="Ra70ab2872f1d4104"/>
    <x:sheet xmlns:r="http://schemas.openxmlformats.org/officeDocument/2006/relationships" name="Dokumentacja" sheetId="9" r:id="R9be5c3f3031e40b3"/>
    <x:sheet xmlns:r="http://schemas.openxmlformats.org/officeDocument/2006/relationships" name="Audyt" sheetId="10" r:id="R4ebd472550a94b76"/>
    <x:sheet xmlns:r="http://schemas.openxmlformats.org/officeDocument/2006/relationships" name="Odtwarzanie" sheetId="11" r:id="R2e7b8d5f11f24bb7"/>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<x:sst xmlns:x="http://schemas.openxmlformats.org/spreadsheetml/2006/main">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</x:sst>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5e32cf87ce4890" /><Relationship Type="http://schemas.openxmlformats.org/officeDocument/2006/relationships/theme" Target="/xl/theme/theme1.xml" Id="Rbf14e297ad1b4595" /><Relationship Type="http://schemas.openxmlformats.org/officeDocument/2006/relationships/sharedStrings" Target="/xl/sharedStrings.xml" Id="R2d6c26c24e6240c9" /><Relationship Type="http://schemas.openxmlformats.org/officeDocument/2006/relationships/worksheet" Target="/xl/worksheets/sheet1.xml" Id="Re5a2b08305eb40e5" /><Relationship Type="http://schemas.openxmlformats.org/officeDocument/2006/relationships/worksheet" Target="/xl/worksheets/sheet2.xml" Id="Rb57ba93043e54252" /><Relationship Type="http://schemas.openxmlformats.org/officeDocument/2006/relationships/worksheet" Target="/xl/worksheets/sheet3.xml" Id="Rc8c4cb8d2e894956" /><Relationship Type="http://schemas.openxmlformats.org/officeDocument/2006/relationships/worksheet" Target="/xl/worksheets/sheet4.xml" Id="Rf95239db1975492f" /><Relationship Type="http://schemas.openxmlformats.org/officeDocument/2006/relationships/worksheet" Target="/xl/worksheets/sheet5.xml" Id="R91f42542c5894177" /><Relationship Type="http://schemas.openxmlformats.org/officeDocument/2006/relationships/worksheet" Target="/xl/worksheets/sheet6.xml" Id="R5b6025ec2bf94c39" /><Relationship Type="http://schemas.openxmlformats.org/officeDocument/2006/relationships/worksheet" Target="/xl/worksheets/sheet7.xml" Id="R1aae44bd01c04a42" /><Relationship Type="http://schemas.openxmlformats.org/officeDocument/2006/relationships/worksheet" Target="/xl/worksheets/sheet8.xml" Id="Ra70ab2872f1d4104" /><Relationship Type="http://schemas.openxmlformats.org/officeDocument/2006/relationships/worksheet" Target="/xl/worksheets/sheet9.xml" Id="R9be5c3f3031e40b3" /><Relationship Type="http://schemas.openxmlformats.org/officeDocument/2006/relationships/worksheet" Target="/xl/worksheets/sheet10.xml" Id="R4ebd472550a94b76" /><Relationship Type="http://schemas.openxmlformats.org/officeDocument/2006/relationships/worksheet" Target="/xl/worksheets/sheet11.xml" Id="R2e7b8d5f11f24bb7"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9" headerRowCount="1" totalsRowCount="0" totalsRowShown="0">
  <x:autoFilter ref="A6:L19"/>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2" headerRowCount="1" totalsRowCount="0" totalsRowShown="0">
  <x:autoFilter ref="A6:N42"/>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9" headerRowCount="1" totalsRowCount="0" totalsRowShown="0">
  <x:autoFilter ref="A6:E79"/>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98" headerRowCount="1" totalsRowCount="0" totalsRowShown="0">
  <x:autoFilter ref="A6:C598"/>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325ca48bf840f5" /></Relationships>
</file>

<file path=xl/worksheets/_rels/sheet3.xml.rels>&#65279;<?xml version="1.0" encoding="utf-8"?><Relationships xmlns="http://schemas.openxmlformats.org/package/2006/relationships"><Relationship Type="http://schemas.openxmlformats.org/officeDocument/2006/relationships/table" Target="/xl/tables/table2.xml" Id="Rf5cbab055cbd4a71" /></Relationships>
</file>

<file path=xl/worksheets/_rels/sheet4.xml.rels>&#65279;<?xml version="1.0" encoding="utf-8"?><Relationships xmlns="http://schemas.openxmlformats.org/package/2006/relationships"><Relationship Type="http://schemas.openxmlformats.org/officeDocument/2006/relationships/table" Target="/xl/tables/table3.xml" Id="R2e3077cfc3cc4275" /></Relationships>
</file>

<file path=xl/worksheets/_rels/sheet5.xml.rels>&#65279;<?xml version="1.0" encoding="utf-8"?><Relationships xmlns="http://schemas.openxmlformats.org/package/2006/relationships"><Relationship Type="http://schemas.openxmlformats.org/officeDocument/2006/relationships/table" Target="/xl/tables/table4.xml" Id="R3660c816679e4ded" /></Relationships>
</file>

<file path=xl/worksheets/_rels/sheet6.xml.rels>&#65279;<?xml version="1.0" encoding="utf-8"?><Relationships xmlns="http://schemas.openxmlformats.org/package/2006/relationships"><Relationship Type="http://schemas.openxmlformats.org/officeDocument/2006/relationships/table" Target="/xl/tables/table5.xml" Id="R95c0a24ca0954085" /></Relationships>
</file>

<file path=xl/worksheets/_rels/sheet7.xml.rels>&#65279;<?xml version="1.0" encoding="utf-8"?><Relationships xmlns="http://schemas.openxmlformats.org/package/2006/relationships"><Relationship Type="http://schemas.openxmlformats.org/officeDocument/2006/relationships/table" Target="/xl/tables/table6.xml" Id="R22ff12131b234952" /></Relationships>
</file>

<file path=xl/worksheets/_rels/sheet8.xml.rels>&#65279;<?xml version="1.0" encoding="utf-8"?><Relationships xmlns="http://schemas.openxmlformats.org/package/2006/relationships"><Relationship Type="http://schemas.openxmlformats.org/officeDocument/2006/relationships/table" Target="/xl/tables/table7.xml" Id="R1e66bd505bcb4500" /></Relationships>
</file>

<file path=xl/worksheets/_rels/sheet9.xml.rels>&#65279;<?xml version="1.0" encoding="utf-8"?><Relationships xmlns="http://schemas.openxmlformats.org/package/2006/relationships"><Relationship Type="http://schemas.openxmlformats.org/officeDocument/2006/relationships/table" Target="/xl/tables/table8.xml" Id="Rcbf8227d4ce4421e" /></Relationships>
</file>

<file path=xl/worksheets/_rels/sheet10.xml.rels>&#65279;<?xml version="1.0" encoding="utf-8"?><Relationships xmlns="http://schemas.openxmlformats.org/package/2006/relationships"><Relationship Type="http://schemas.openxmlformats.org/officeDocument/2006/relationships/table" Target="/xl/tables/table9.xml" Id="R16dc927884274cab" /></Relationships>
</file>

<file path=xl/worksheets/_rels/sheet11.xml.rels>&#65279;<?xml version="1.0" encoding="utf-8"?><Relationships xmlns="http://schemas.openxmlformats.org/package/2006/relationships"><Relationship Type="http://schemas.openxmlformats.org/officeDocument/2006/relationships/table" Target="/xl/tables/table10.xml" Id="Rd54abb5ddb4a4e5f"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COUNTA('TODO'!A7:A42)</x:f>
        <x:v>36</x:v>
      </x:c>
      <x:c r="L6" s="43"/>
      <x:c r="M6" s="43"/>
      <x:c r="N6" s="44"/>
      <x:c r="O6" s="45" t="n">
        <x:f>COUNTIFS('TODO'!C7:C42,"Complete")</x:f>
        <x:v>12</x:v>
      </x:c>
      <x:c r="P6" s="46"/>
      <x:c r="Q6" s="46"/>
      <x:c r="R6" s="47"/>
      <x:c r="S6" s="35" t="n">
        <x:f>COUNTIFS('TODO'!C7:C42,"In Progress")</x:f>
        <x:v>3</x:v>
      </x:c>
      <x:c r="T6" s="36"/>
      <x:c r="U6" s="36"/>
      <x:c r="V6" s="37"/>
      <x:c r="W6" s="38" t="n">
        <x:f>COUNTIFS('TODO'!C7:C42,"At Risk")</x:f>
        <x:v>1</x:v>
      </x:c>
      <x:c r="X6" s="39"/>
      <x:c r="Y6" s="39"/>
      <x:c r="Z6" s="40"/>
      <x:c r="AA6" s="38" t="n">
        <x:f>COUNTIFS('TODO'!D7:D42,"P0")</x:f>
        <x:v>25</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36</x:v>
      </x:c>
      <x:c r="C8" s="59" t="str">
        <x:v>Pełna lista, także zakończone i dalsze etapy.</x:v>
      </x:c>
    </x:row>
    <x:row r="9" ht="30" customHeight="1">
      <x:c r="A9" s="59" t="str">
        <x:v>Zakończone zadania</x:v>
      </x:c>
      <x:c r="B9" s="59" t="n">
        <x:f>'Project Plan'!O6</x:f>
        <x:v>12</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13</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80325ca48bf840f5"/>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sheetData>
  <x:pageMargins left="0.7" right="0.7" top="0.75" bottom="0.75" header="0.3" footer="0.3"/>
  <x:tableParts count="1">
    <x:tablePart xmlns:r="http://schemas.openxmlformats.org/officeDocument/2006/relationships" r:id="Rf5cbab055cbd4a71"/>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Zweryfikować kandydatów przypisań wielogrupowych oraz rozbieżności eksportów względem pierwotnych publikacji i legend; ustalić prawa wykorzystania. Kontrola kolejności opisów i spójności grup w kompilacji wykonana.</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sheetData>
  <x:conditionalFormatting sqref="C7:C42">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2">
      <x:formula1>"Not Started,In Progress,At Risk,Complete"</x:formula1>
    </x:dataValidation>
  </x:dataValidations>
  <x:pageMargins left="0.7" right="0.7" top="0.75" bottom="0.75" header="0.3" footer="0.3"/>
  <x:tableParts count="1">
    <x:tablePart xmlns:r="http://schemas.openxmlformats.org/officeDocument/2006/relationships" r:id="R2e3077cfc3cc4275"/>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3660c816679e4ded"/>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95c0a24ca0954085"/>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22ff12131b23495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Uwzględnić prywatny przegląd schematów i etapów, rozstrzygnąć rewizje oraz przypisania pól (NEED-013). Nie przenosić relacji projektowych do bieżącego modelu bez dowodu wykonania.</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row r="78" ht="38" customHeight="1">
      <x:c r="A78" s="59" t="str">
        <x:v>KSE-035</x:v>
      </x:c>
      <x:c r="B78" s="59" t="str">
        <x:v>Zadanie</x:v>
      </x:c>
      <x:c r="C78" s="59" t="str">
        <x:v>Zrobione</x:v>
      </x:c>
      <x:c r="D78" s="59" t="str">
        <x:v>Nie jest pełnym audytem wykonawczym, CAD, geometrii GIS ani praw wykorzystania.</x:v>
      </x:c>
      <x:c r="E78" s="59" t="str">
        <x:v>Rozstrzygnąć rewizje i pochodzenie; kontynuować weryfikację szczegółową, bez automatycznego importu do publicznego pilota.</x:v>
      </x:c>
    </x:row>
    <x:row r="79" ht="66" customHeight="1">
      <x:c r="A79" s="59" t="str">
        <x:v>KSE-036</x:v>
      </x:c>
      <x:c r="B79" s="59" t="str">
        <x:v>Zadanie</x:v>
      </x:c>
      <x:c r="C79" s="59" t="str">
        <x:v>W toku</x:v>
      </x:c>
      <x:c r="D79" s="59" t="str">
        <x:v>Publiczne źródła składowe nie potwierdzają dokładności i licencji całego opracowania.</x:v>
      </x:c>
      <x:c r="E79" s="59" t="str">
        <x:v>Zweryfikować kandydatów przypisań wielogrupowych oraz rozbieżności eksportów względem pierwotnych publikacji i legend; ustalić prawa wykorzystania. Kontrola kolejności opisów i spójności grup w kompilacji wykonana.</x:v>
      </x:c>
    </x:row>
  </x:sheetData>
  <x:pageMargins left="0.7" right="0.7" top="0.75" bottom="0.75" header="0.3" footer="0.3"/>
  <x:tableParts count="1">
    <x:tablePart xmlns:r="http://schemas.openxmlformats.org/officeDocument/2006/relationships" r:id="R1e66bd505bcb4500"/>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94" customHeight="1">
      <x:c r="A347" s="59" t="str">
        <x:v>docs/decision_log.md</x:v>
      </x:c>
      <x:c r="B347" s="59" t="str">
        <x:v>2026-09-16 — lokalna kontrola geometrii i pól historycznych</x:v>
      </x:c>
      <x:c r="C347"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48" ht="66" customHeight="1">
      <x:c r="A348" s="59" t="str">
        <x:v>docs/decision_log.md</x:v>
      </x:c>
      <x:c r="B348" s="59" t="str">
        <x:v>2026-09-16 — lokalna kontrola geometrii i pól historycznych</x:v>
      </x:c>
      <x:c r="C348"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49" ht="38" customHeight="1">
      <x:c r="A349" s="59" t="str">
        <x:v>docs/discovery_log.md</x:v>
      </x:c>
      <x:c r="B349" s="59" t="str">
        <x:v>Zakres odkrywania interfejsów — 10.09.2026</x:v>
      </x:c>
      <x:c r="C349" s="59" t="str">
        <x:v>Uzupełnienie raportu (01_data_research.md) i katalogu (data_sources.md). To macierz wyników pierwszego badania, nie certyfikat nieistnienia nieodnalezionego interfejsu.</x:v>
      </x:c>
    </x:row>
    <x:row r="350" ht="52" customHeight="1">
      <x:c r="A350" s="59" t="str">
        <x:v>docs/discovery_log.md</x:v>
      </x:c>
      <x:c r="B350" s="59" t="str">
        <x:v>Zakres odkrywania interfejsów — 10.09.2026</x:v>
      </x:c>
      <x:c r="C350"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1" ht="30" customHeight="1">
      <x:c r="A351" s="59" t="str">
        <x:v>docs/discovery_log.md</x:v>
      </x:c>
      <x:c r="B351" s="59" t="str">
        <x:v>Zakres odkrywania interfejsów — 10.09.2026</x:v>
      </x:c>
      <x:c r="C351" s="59" t="str">
        <x:v>Rodzina / API / dane strukturalne / GIS / Dokumenty / pozostałe / Dowód w katalogu</x:v>
      </x:c>
    </x:row>
    <x:row r="352" ht="38" customHeight="1">
      <x:c r="A352" s="59" t="str">
        <x:v>docs/discovery_log.md</x:v>
      </x:c>
      <x:c r="B352" s="59" t="str">
        <x:v>Zakres odkrywania interfejsów — 10.09.2026</x:v>
      </x:c>
      <x:c r="C352" s="59" t="str">
        <x:v>PSE / Działa API JSON, pobrano OpenAPI i XLSX / Nie potwierdzono publicznego operacyjnego WFS/ArcGIS ani pełnej topologii API / PDF mocy i planów; dokumentacja strukturalna B2B to odrębny zakres / PSE_API, PSE_PIPELINE, PSE_CAPACITY, PSE_STRUCT_B2B</x:v>
      </x:c>
    </x:row>
    <x:row r="353" ht="38" customHeight="1">
      <x:c r="A353" s="59" t="str">
        <x:v>docs/discovery_log.md</x:v>
      </x:c>
      <x:c r="B353" s="59" t="str">
        <x:v>Zakres odkrywania interfejsów — 10.09.2026</x:v>
      </x:c>
      <x:c r="C353" s="59" t="str">
        <x:v>PGE / Brak potwierdzenia; odczyt blokowany / Nie potwierdzono / Wskazania PDF; treść niepotwierdzona / PGE_LANDING, PGE_EXPORT_DISCOVERY, PGE_PLAN_DISCOVERY</x:v>
      </x:c>
    </x:row>
    <x:row r="354" ht="38" customHeight="1">
      <x:c r="A354" s="59" t="str">
        <x:v>docs/discovery_log.md</x:v>
      </x:c>
      <x:c r="B354" s="59" t="str">
        <x:v>Zakres odkrywania interfejsów — 10.09.2026</x:v>
      </x:c>
      <x:c r="C354" s="59" t="str">
        <x:v>ENEA / Nie potwierdzono publicznego API; Power BI w HTML / Viewer; nie potwierdzono WFS/WMS/GeoJSON do pobierania infrastruktury / Wykazy, kryteria SN, plan / ENEA_MAP, ENEA_PIPELINE, ENEA_PLAN</x:v>
      </x:c>
    </x:row>
    <x:row r="355" ht="38" customHeight="1">
      <x:c r="A355" s="59" t="str">
        <x:v>docs/discovery_log.md</x:v>
      </x:c>
      <x:c r="B355" s="59" t="str">
        <x:v>Zakres odkrywania interfejsów — 10.09.2026</x:v>
      </x:c>
      <x:c r="C355" s="59" t="str">
        <x:v>TAURON / Nie potwierdzono publicznego API portalu / Viewer dostępności; brak potwierdzonego eksportu topologii / Pobrany PDF wykazu, indeks planu / TAURON_PIPELINE, TAURON_MAP, TAURON_PLAN</x:v>
      </x:c>
    </x:row>
    <x:row r="356" ht="38" customHeight="1">
      <x:c r="A356" s="59" t="str">
        <x:v>docs/discovery_log.md</x:v>
      </x:c>
      <x:c r="B356" s="59" t="str">
        <x:v>Zakres odkrywania interfejsów — 10.09.2026</x:v>
      </x:c>
      <x:c r="C356" s="59" t="str">
        <x:v>Energa / Nie potwierdzono publicznego API badanych wykazów / Nie potwierdzono operacyjnej topologii GIS / Pobrane osobne PDF eksport/import/pipeline; plan / ENERGA_*</x:v>
      </x:c>
    </x:row>
    <x:row r="357" ht="38" customHeight="1">
      <x:c r="A357" s="59" t="str">
        <x:v>docs/discovery_log.md</x:v>
      </x:c>
      <x:c r="B357" s="59" t="str">
        <x:v>Zakres odkrywania interfejsów — 10.09.2026</x:v>
      </x:c>
      <x:c r="C357" s="59" t="str">
        <x:v>Stoen / Nie potwierdzono publicznego API / Nie potwierdzono operacyjnej topologii GIS / PDF kierunkowych mocy; linki rejestrów i planu / STOEN_*</x:v>
      </x:c>
    </x:row>
    <x:row r="358" ht="30" customHeight="1">
      <x:c r="A358" s="59" t="str">
        <x:v>docs/discovery_log.md</x:v>
      </x:c>
      <x:c r="B358" s="59" t="str">
        <x:v>Zakres odkrywania interfejsów — 10.09.2026</x:v>
      </x:c>
      <x:c r="C358" s="59" t="str">
        <x:v>KGHM OSDn / Linki do arkuszy; nie zwalidowano załączników / Nie potwierdzono / Publiczne informacje OSD i rejestry / KGHM_OSD</x:v>
      </x:c>
    </x:row>
    <x:row r="359" ht="38" customHeight="1">
      <x:c r="A359" s="59" t="str">
        <x:v>docs/discovery_log.md</x:v>
      </x:c>
      <x:c r="B359" s="59" t="str">
        <x:v>Zakres odkrywania interfejsów — 10.09.2026</x:v>
      </x:c>
      <x:c r="C359" s="59" t="str">
        <x:v>GUGiK / Pliki i GeoParquet; dokumentowane usługi / Potwierdzony WFS GetCapabilities EGiB; dokumentacja WMS/WMTS/WCS pozostałych produktów / Dane katastralne/topograficzne/terenowe, integracja MPZP / GUGIK_*</x:v>
      </x:c>
    </x:row>
    <x:row r="360" ht="30" customHeight="1">
      <x:c r="A360" s="59" t="str">
        <x:v>docs/discovery_log.md</x:v>
      </x:c>
      <x:c r="B360" s="59" t="str">
        <x:v>Zakres odkrywania interfejsów — 10.09.2026</x:v>
      </x:c>
      <x:c r="C360" s="59" t="str">
        <x:v>GDOŚ / OGC XML / Potwierdzony WFS GetCapabilities, opis WMS / Ochrona przyrody; akty prawne osobno / GDOS_GIS</x:v>
      </x:c>
    </x:row>
    <x:row r="361" ht="38" customHeight="1">
      <x:c r="A361" s="59" t="str">
        <x:v>docs/discovery_log.md</x:v>
      </x:c>
      <x:c r="B361" s="59" t="str">
        <x:v>Zakres odkrywania interfejsów — 10.09.2026</x:v>
      </x:c>
      <x:c r="C361" s="59" t="str">
        <x:v>Wody Polskie / BDL / Zależnie od produktu / Opis WMS i WFS/WMTS BDL, adresy usług ArcGIS; brak testu całego pobierania / Procedury udostępniania / WODY_SIGW, BDL_GIS</x:v>
      </x:c>
    </x:row>
    <x:row r="362" ht="38" customHeight="1">
      <x:c r="A362" s="59" t="str">
        <x:v>docs/discovery_log.md</x:v>
      </x:c>
      <x:c r="B362" s="59" t="str">
        <x:v>Zakres odkrywania interfejsów — 10.09.2026</x:v>
      </x:c>
      <x:c r="C362" s="59" t="str">
        <x:v>ENTSO-E / REST/XML z tokenem, nie wykonano zapytania / Mapa PDF nie jest API topologii / Warunki ponownego wykorzystania według datasetu / ENTSOE_TP, ENTSOE_MAP</x:v>
      </x:c>
    </x:row>
    <x:row r="363" ht="38" customHeight="1">
      <x:c r="A363" s="59" t="str">
        <x:v>docs/discovery_log.md</x:v>
      </x:c>
      <x:c r="B363" s="59" t="str">
        <x:v>Zakres odkrywania interfejsów — 10.09.2026</x:v>
      </x:c>
      <x:c r="C363" s="59" t="str">
        <x:v>OSM/OpenInfraMap / Regionalny PBF; Overpass jako wskazany kanał małych ekstraktów / Geometria społecznościowa, nie potwierdzone relacje operatora / ODbL; OpenInfraMap nie jest drugim źródłem / OSM_LICENSE, GEOFABRIK_PL, OPENINFRAMAP</x:v>
      </x:c>
    </x:row>
    <x:row r="364" ht="38" customHeight="1">
      <x:c r="A364" s="59" t="str">
        <x:v>docs/discovery_log.md</x:v>
      </x:c>
      <x:c r="B364" s="59" t="str">
        <x:v>Zakres odkrywania interfejsów — 10.09.2026</x:v>
      </x:c>
      <x:c r="C364" s="59" t="str">
        <x:v>Modele otwarte / Repozytoria GitHub i formaty modeli / Geometria i parametry mogą być inferowane / PyPSA-Eur i historyczny MATPOWER nie są aktualnym operacyjnym KSE / PYPSA_EUR, MATPOWER_POLAND</x:v>
      </x:c>
    </x:row>
    <x:row r="365" ht="52" customHeight="1">
      <x:c r="A365" s="59" t="str">
        <x:v>docs/discovery_log.md</x:v>
      </x:c>
      <x:c r="B365" s="59" t="str">
        <x:v>Zakres odkrywania interfejsów — 10.09.2026</x:v>
      </x:c>
      <x:c r="C365"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6" ht="94" customHeight="1">
      <x:c r="A366" s="59" t="str">
        <x:v>docs/discovery_log.md</x:v>
      </x:c>
      <x:c r="B366" s="59" t="str">
        <x:v>Otwarte działania po badaniu</x:v>
      </x:c>
      <x:c r="C366"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7" ht="38" customHeight="1">
      <x:c r="A367" s="59" t="str">
        <x:v>docs/discovery_log.md</x:v>
      </x:c>
      <x:c r="B367" s="59" t="str">
        <x:v>Otwarte działania po badaniu</x:v>
      </x:c>
      <x:c r="C367" s="59" t="str">
        <x:v>Nie traktować powyższej listy jako zaległej implementacji w etapie 1: są to ujawnione warunki wejścia do dalszych etapów. Źródła o niepotwierdzonej treści pozostają oznaczone jako niepotwierdzone.</x:v>
      </x:c>
    </x:row>
    <x:row r="368" ht="52" customHeight="1">
      <x:c r="A368" s="59" t="str">
        <x:v>docs/reproducibility.md</x:v>
      </x:c>
      <x:c r="B368" s="59" t="str">
        <x:v>Wersjonowanie i odtwarzalność</x:v>
      </x:c>
      <x:c r="C368"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9" ht="30" customHeight="1">
      <x:c r="A369" s="59" t="str">
        <x:v>docs/reproducibility.md</x:v>
      </x:c>
      <x:c r="B369" s="59" t="str">
        <x:v>Dwa elementy kopii projektu</x:v>
      </x:c>
      <x:c r="C369" s="59" t="str">
        <x:v>Element / Co zachowuje / Gdzie</x:v>
      </x:c>
    </x:row>
    <x:row r="370" ht="38" customHeight="1">
      <x:c r="A370" s="59" t="str">
        <x:v>docs/reproducibility.md</x:v>
      </x:c>
      <x:c r="B370" s="59" t="str">
        <x:v>Dwa elementy kopii projektu</x:v>
      </x:c>
      <x:c r="C370" s="59" t="str">
        <x:v>Historia Git / Dokumentacja, notatki źródłowe, skrypty, konfiguracja, wersje zależności, hash i lista próbek / Lokalnie .git, po push także prywatne GitHub</x:v>
      </x:c>
    </x:row>
    <x:row r="371" ht="30" customHeight="1">
      <x:c r="A371" s="59" t="str">
        <x:v>docs/reproducibility.md</x:v>
      </x:c>
      <x:c r="B371" s="59" t="str">
        <x:v>Dwa elementy kopii projektu</x:v>
      </x:c>
      <x:c r="C371" s="59" t="str">
        <x:v>Archiwum badania / Dokładne bajty pobranych plików i kontrolnych podglądów oraz manifesty / data/archives/, pomijane przez Git</x:v>
      </x:c>
    </x:row>
    <x:row r="372" ht="66" customHeight="1">
      <x:c r="A372" s="59" t="str">
        <x:v>docs/reproducibility.md</x:v>
      </x:c>
      <x:c r="B372" s="59" t="str">
        <x:v>Dwa elementy kopii projektu</x:v>
      </x:c>
      <x:c r="C372"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3" ht="38" customHeight="1">
      <x:c r="A373" s="59" t="str">
        <x:v>docs/reproducibility.md</x:v>
      </x:c>
      <x:c r="B373" s="59" t="str">
        <x:v>Dwa elementy kopii projektu</x:v>
      </x:c>
      <x:c r="C373"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4" ht="38" customHeight="1">
      <x:c r="A374" s="59" t="str">
        <x:v>docs/reproducibility.md</x:v>
      </x:c>
      <x:c r="B374" s="59" t="str">
        <x:v>Odtworzenie na komputerze z Pythonem</x:v>
      </x:c>
      <x:c r="C374" s="59" t="str">
        <x:v>Badanie sprawdzono na Pythonie 3.12.14. Dokładne użyte pakiety zapisano w requirements-research.txt. W PowerShell, w folderze repozytorium:</x:v>
      </x:c>
    </x:row>
    <x:row r="375" ht="52" customHeight="1">
      <x:c r="A375" s="59" t="str">
        <x:v>docs/reproducibility.md</x:v>
      </x:c>
      <x:c r="B375" s="59" t="str">
        <x:v>Odtworzenie na komputerze z Pythonem</x:v>
      </x:c>
      <x:c r="C375"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6" ht="52" customHeight="1">
      <x:c r="A376" s="59" t="str">
        <x:v>docs/reproducibility.md</x:v>
      </x:c>
      <x:c r="B376" s="59" t="str">
        <x:v>Odtworzenie na komputerze z Pythonem</x:v>
      </x:c>
      <x:c r="C376"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7" ht="52" customHeight="1">
      <x:c r="A377" s="59" t="str">
        <x:v>docs/reproducibility.md</x:v>
      </x:c>
      <x:c r="B377" s="59" t="str">
        <x:v>Odtworzenie na komputerze z Pythonem</x:v>
      </x:c>
      <x:c r="C377"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8" ht="66" customHeight="1">
      <x:c r="A378" s="59" t="str">
        <x:v>docs/reproducibility.md</x:v>
      </x:c>
      <x:c r="B378" s="59" t="str">
        <x:v>Test odtwarzania wykonany 10.09.2026</x:v>
      </x:c>
      <x:c r="C378"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9" ht="66" customHeight="1">
      <x:c r="A379" s="59" t="str">
        <x:v>docs/reproducibility.md</x:v>
      </x:c>
      <x:c r="B379" s="59" t="str">
        <x:v>Budowanie kolejnego archiwum</x:v>
      </x:c>
      <x:c r="C379"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0" ht="52" customHeight="1">
      <x:c r="A380" s="59" t="str">
        <x:v>docs/reproducibility.md</x:v>
      </x:c>
      <x:c r="B380" s="59" t="str">
        <x:v>Budowanie kolejnego archiwum</x:v>
      </x:c>
      <x:c r="C380"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1" ht="66" customHeight="1">
      <x:c r="A381" s="59" t="str">
        <x:v>docs/reproducibility.md</x:v>
      </x:c>
      <x:c r="B381" s="59" t="str">
        <x:v>Odtwarzanie kolejnych archiwów — 16.09.2026</x:v>
      </x:c>
      <x:c r="C381"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2" ht="30" customHeight="1">
      <x:c r="A382" s="59" t="str">
        <x:v>docs/reproducibility.md</x:v>
      </x:c>
      <x:c r="B382" s="59" t="str">
        <x:v>Odtwarzanie kolejnych archiwów — 16.09.2026</x:v>
      </x:c>
      <x:c r="C382" s="59" t="str">
        <x:v>Pary manifest–archiwum do zachowania (wszystkie manifesty w data/catalog/, ZIP w data/archives/):</x:v>
      </x:c>
    </x:row>
    <x:row r="383" ht="30" customHeight="1">
      <x:c r="A383" s="59" t="str">
        <x:v>docs/reproducibility.md</x:v>
      </x:c>
      <x:c r="B383" s="59" t="str">
        <x:v>Odtwarzanie kolejnych archiwów — 16.09.2026</x:v>
      </x:c>
      <x:c r="C383" s="59" t="str">
        <x:v>Manifest / ZIP</x:v>
      </x:c>
    </x:row>
    <x:row r="384" ht="30" customHeight="1">
      <x:c r="A384" s="59" t="str">
        <x:v>docs/reproducibility.md</x:v>
      </x:c>
      <x:c r="B384" s="59" t="str">
        <x:v>Odtwarzanie kolejnych archiwów — 16.09.2026</x:v>
      </x:c>
      <x:c r="C384" s="59" t="str">
        <x:v>archive_manifest.json / research_2026-09-10_d143d3c637bc7af3.zip</x:v>
      </x:c>
    </x:row>
    <x:row r="385" ht="30" customHeight="1">
      <x:c r="A385" s="59" t="str">
        <x:v>docs/reproducibility.md</x:v>
      </x:c>
      <x:c r="B385" s="59" t="str">
        <x:v>Odtwarzanie kolejnych archiwów — 16.09.2026</x:v>
      </x:c>
      <x:c r="C385" s="59" t="str">
        <x:v>radkowice_archive_manifest.json / radkowice_sources_2026-09-11.zip</x:v>
      </x:c>
    </x:row>
    <x:row r="386" ht="30" customHeight="1">
      <x:c r="A386" s="59" t="str">
        <x:v>docs/reproducibility.md</x:v>
      </x:c>
      <x:c r="B386" s="59" t="str">
        <x:v>Odtwarzanie kolejnych archiwów — 16.09.2026</x:v>
      </x:c>
      <x:c r="C386" s="59" t="str">
        <x:v>radkowice_tariff_archive.json / radkowice_tariff_2026-09-11.zip</x:v>
      </x:c>
    </x:row>
    <x:row r="387" ht="30" customHeight="1">
      <x:c r="A387" s="59" t="str">
        <x:v>docs/reproducibility.md</x:v>
      </x:c>
      <x:c r="B387" s="59" t="str">
        <x:v>Odtwarzanie kolejnych archiwów — 16.09.2026</x:v>
      </x:c>
      <x:c r="C387" s="59" t="str">
        <x:v>radkowice_wolica_archive.json / radkowice_wolica_2026-09-11.zip</x:v>
      </x:c>
    </x:row>
    <x:row r="388" ht="30" customHeight="1">
      <x:c r="A388" s="59" t="str">
        <x:v>docs/reproducibility.md</x:v>
      </x:c>
      <x:c r="B388" s="59" t="str">
        <x:v>Odtwarzanie kolejnych archiwów — 16.09.2026</x:v>
      </x:c>
      <x:c r="C388" s="59" t="str">
        <x:v>radkowice_followup_archive_2026-09-15.json / radkowice_followup_2026-09-15.zip</x:v>
      </x:c>
    </x:row>
    <x:row r="389" ht="30" customHeight="1">
      <x:c r="A389" s="59" t="str">
        <x:v>docs/reproducibility.md</x:v>
      </x:c>
      <x:c r="B389" s="59" t="str">
        <x:v>Odtwarzanie kolejnych archiwów — 16.09.2026</x:v>
      </x:c>
      <x:c r="C389" s="59" t="str">
        <x:v>radkowice_decision_archive_2026-09-15.json / radkowice_decision_2026-09-15.zip</x:v>
      </x:c>
    </x:row>
    <x:row r="390" ht="30" customHeight="1">
      <x:c r="A390" s="59" t="str">
        <x:v>docs/reproducibility.md</x:v>
      </x:c>
      <x:c r="B390" s="59" t="str">
        <x:v>Odtwarzanie kolejnych archiwów — 16.09.2026</x:v>
      </x:c>
      <x:c r="C390" s="59" t="str">
        <x:v>Przykład kontroli kopii zachowanej na innym nośniku:</x:v>
      </x:c>
    </x:row>
    <x:row r="391" ht="38" customHeight="1">
      <x:c r="A391" s="59" t="str">
        <x:v>docs/reproducibility.md</x:v>
      </x:c>
      <x:c r="B391" s="59" t="str">
        <x:v>Odtwarzanie kolejnych archiwów — 16.09.2026</x:v>
      </x:c>
      <x:c r="C391" s="59" t="str">
        <x:v>python scripts/research_archive.py restore 'D:\Kopie\radkowice_decision_2026-09-15.zip' --manifest data/catalog/radkowice_decision_archive_2026-09-15.json --verify-only</x:v>
      </x:c>
    </x:row>
    <x:row r="392" ht="66" customHeight="1">
      <x:c r="A392" s="59" t="str">
        <x:v>docs/reproducibility.md</x:v>
      </x:c>
      <x:c r="B392" s="59" t="str">
        <x:v>Odtwarzanie kolejnych archiwów — 16.09.2026</x:v>
      </x:c>
      <x:c r="C392"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3" ht="66" customHeight="1">
      <x:c r="A393" s="59" t="str">
        <x:v>docs/reproducibility.md</x:v>
      </x:c>
      <x:c r="B393" s="59" t="str">
        <x:v>Odtwarzanie kolejnych archiwów — 16.09.2026</x:v>
      </x:c>
      <x:c r="C393"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4" ht="66" customHeight="1">
      <x:c r="A394" s="59" t="str">
        <x:v>docs/reproducibility.md</x:v>
      </x:c>
      <x:c r="B394" s="59" t="str">
        <x:v>Odtwarzanie kolejnych archiwów — 16.09.2026</x:v>
      </x:c>
      <x:c r="C394"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5" ht="30" customHeight="1">
      <x:c r="A395" s="59" t="str">
        <x:v>docs/git_workflow.md</x:v>
      </x:c>
      <x:c r="B395" s="59" t="str">
        <x:v>Git i GitHub — instrukcja dla tego projektu</x:v>
      </x:c>
      <x:c r="C395" s="59" t="str">
        <x:v>Przygotowano 10.09.2026. Folder: C:\Users\woloo\Desktop\KSE. Repozytorium: woloo-del/KSE (https://github.com/woloo-del/KSE).</x:v>
      </x:c>
    </x:row>
    <x:row r="396" ht="38" customHeight="1">
      <x:c r="A396" s="59" t="str">
        <x:v>docs/git_workflow.md</x:v>
      </x:c>
      <x:c r="B396" s="59" t="str">
        <x:v>Git i GitHub — instrukcja dla tego projektu</x:v>
      </x:c>
      <x:c r="C396" s="59" t="str">
        <x:v>Git zapisuje wersje lokalnie. GitHub przechowuje wysłaną kopię historii. Commit to zapis wersji na komputerze; push wysyła zapisane commity na GitHub. Zapisanie pliku w edytorze samo nie wykonuje żadnej z tych operacji.</x:v>
      </x:c>
    </x:row>
    <x:row r="397" ht="94" customHeight="1">
      <x:c r="A397" s="59" t="str">
        <x:v>docs/git_workflow.md</x:v>
      </x:c>
      <x:c r="B397" s="59" t="str">
        <x:v>Co już skonfigurowano</x:v>
      </x:c>
      <x:c r="C397"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8" ht="30" customHeight="1">
      <x:c r="A398" s="59" t="str">
        <x:v>docs/git_workflow.md</x:v>
      </x:c>
      <x:c r="B398" s="59" t="str">
        <x:v>Co już skonfigurowano</x:v>
      </x:c>
      <x:c r="C398" s="59" t="str">
        <x:v>środowiska, cache i duże dane źródłowe. .gitattributes ustala końce linii plików tekstowych.</x:v>
      </x:c>
    </x:row>
    <x:row r="399" ht="30" customHeight="1">
      <x:c r="A399" s="59" t="str">
        <x:v>docs/git_workflow.md</x:v>
      </x:c>
      <x:c r="B399" s="59" t="str">
        <x:v>Pierwszy push</x:v>
      </x:c>
      <x:c r="C399" s="59" t="str">
        <x:v>Otwórz PowerShell i wpisz:</x:v>
      </x:c>
    </x:row>
    <x:row r="400" ht="30" customHeight="1">
      <x:c r="A400" s="59" t="str">
        <x:v>docs/git_workflow.md</x:v>
      </x:c>
      <x:c r="B400" s="59" t="str">
        <x:v>Pierwszy push</x:v>
      </x:c>
      <x:c r="C400" s="59" t="str">
        <x:v>Set-Location 'C:\Users\woloo\Desktop\KSE' git status git log -1 --oneline git push -u origin main</x:v>
      </x:c>
    </x:row>
    <x:row r="401" ht="52" customHeight="1">
      <x:c r="A401" s="59" t="str">
        <x:v>docs/git_workflow.md</x:v>
      </x:c>
      <x:c r="B401" s="59" t="str">
        <x:v>Pierwszy push</x:v>
      </x:c>
      <x:c r="C401"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2" ht="52" customHeight="1">
      <x:c r="A402" s="59" t="str">
        <x:v>docs/git_workflow.md</x:v>
      </x:c>
      <x:c r="B402" s="59" t="str">
        <x:v>Pierwszy push</x:v>
      </x:c>
      <x:c r="C402"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3" ht="30" customHeight="1">
      <x:c r="A403" s="59" t="str">
        <x:v>docs/git_workflow.md</x:v>
      </x:c>
      <x:c r="B403" s="59" t="str">
        <x:v>Kolejne zmiany — zwykły cykl</x:v>
      </x:c>
      <x:c r="C403" s="59" t="str">
        <x:v>Po zapisaniu plików i wykonaniu właściwych kontroli:</x:v>
      </x:c>
    </x:row>
    <x:row r="404" ht="38" customHeight="1">
      <x:c r="A404" s="59" t="str">
        <x:v>docs/git_workflow.md</x:v>
      </x:c>
      <x:c r="B404" s="59" t="str">
        <x:v>Kolejne zmiany — zwykły cykl</x:v>
      </x:c>
      <x:c r="C404" s="59" t="str">
        <x:v>git status git diff git add README.md docs scripts config data/catalog requirements-research.txt .gitignore .gitattributes AGENTS.md git diff --cached --stat git commit -m "Opisz konkretnie wykonana zmiane" git push</x:v>
      </x:c>
    </x:row>
    <x:row r="405" ht="52" customHeight="1">
      <x:c r="A405" s="59" t="str">
        <x:v>docs/git_workflow.md</x:v>
      </x:c>
      <x:c r="B405" s="59" t="str">
        <x:v>Kolejne zmiany — zwykły cykl</x:v>
      </x:c>
      <x:c r="C405"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6" ht="38" customHeight="1">
      <x:c r="A406" s="59" t="str">
        <x:v>docs/git_workflow.md</x:v>
      </x:c>
      <x:c r="B406" s="59" t="str">
        <x:v>Kolejne zmiany — zwykły cykl</x:v>
      </x:c>
      <x:c r="C406" s="59" t="str">
        <x:v>Gdy Codex informuje, że już wykonał commit, nie musisz ponownie robić add i commit; sprawdź git status, git log -1 --oneline, a następnie wykonaj git push.</x:v>
      </x:c>
    </x:row>
    <x:row r="407" ht="38" customHeight="1">
      <x:c r="A407" s="59" t="str">
        <x:v>docs/git_workflow.md</x:v>
      </x:c>
      <x:c r="B407" s="59" t="str">
        <x:v>Praca na drugim komputerze i zmiany na GitHub</x:v>
      </x:c>
      <x:c r="C407" s="59" t="str">
        <x:v>Na nowym komputerze pobierz repozytorium przez git clone https://github.com/woloo-del/KSE.git. Zależności i archiwum danych odtwórz według instrukcji odtwarzania (reproducibility.md).</x:v>
      </x:c>
    </x:row>
    <x:row r="408" ht="52" customHeight="1">
      <x:c r="A408" s="59" t="str">
        <x:v>docs/git_workflow.md</x:v>
      </x:c>
      <x:c r="B408" s="59" t="str">
        <x:v>Praca na drugim komputerze i zmiany na GitHub</x:v>
      </x:c>
      <x:c r="C408"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9" ht="30" customHeight="1">
      <x:c r="A409" s="59" t="str">
        <x:v>docs/git_workflow.md</x:v>
      </x:c>
      <x:c r="B409" s="59" t="str">
        <x:v>Co oznaczają typowe komunikaty</x:v>
      </x:c>
      <x:c r="C409" s="59" t="str">
        <x:v>Komunikat / Znaczenie / następny krok</x:v>
      </x:c>
    </x:row>
    <x:row r="410" ht="30" customHeight="1">
      <x:c r="A410" s="59" t="str">
        <x:v>docs/git_workflow.md</x:v>
      </x:c>
      <x:c r="B410" s="59" t="str">
        <x:v>Co oznaczają typowe komunikaty</x:v>
      </x:c>
      <x:c r="C410" s="59" t="str">
        <x:v>nothing to commit, working tree clean / Wszystkie śledzone zmiany zapisane lokalnie; nie dowodzi jeszcze wysłania</x:v>
      </x:c>
    </x:row>
    <x:row r="411" ht="30" customHeight="1">
      <x:c r="A411" s="59" t="str">
        <x:v>docs/git_workflow.md</x:v>
      </x:c>
      <x:c r="B411" s="59" t="str">
        <x:v>Co oznaczają typowe komunikaty</x:v>
      </x:c>
      <x:c r="C411" s="59" t="str">
        <x:v>Everything up-to-date / Brak nowych commitów do wysłania</x:v>
      </x:c>
    </x:row>
    <x:row r="412" ht="30" customHeight="1">
      <x:c r="A412" s="59" t="str">
        <x:v>docs/git_workflow.md</x:v>
      </x:c>
      <x:c r="B412" s="59" t="str">
        <x:v>Co oznaczają typowe komunikaty</x:v>
      </x:c>
      <x:c r="C412" s="59" t="str">
        <x:v>Your branch is ahead ... / Masz lokalne commity oczekujące na push</x:v>
      </x:c>
    </x:row>
    <x:row r="413" ht="30" customHeight="1">
      <x:c r="A413" s="59" t="str">
        <x:v>docs/git_workflow.md</x:v>
      </x:c>
      <x:c r="B413" s="59" t="str">
        <x:v>Co oznaczają typowe komunikaty</x:v>
      </x:c>
      <x:c r="C413" s="59" t="str">
        <x:v>Repository not found / Dla repo prywatnego sprawdź konto, dostęp i adres; nie musi oznaczać nieistnienia repo</x:v>
      </x:c>
    </x:row>
    <x:row r="414" ht="30" customHeight="1">
      <x:c r="A414" s="59" t="str">
        <x:v>docs/git_workflow.md</x:v>
      </x:c>
      <x:c r="B414" s="59" t="str">
        <x:v>Co oznaczają typowe komunikaty</x:v>
      </x:c>
      <x:c r="C414" s="59" t="str">
        <x:v>src refspec main does not match any / Zwykle brak pierwszego commita lub inna nazwa gałęzi</x:v>
      </x:c>
    </x:row>
    <x:row r="415" ht="30" customHeight="1">
      <x:c r="A415" s="59" t="str">
        <x:v>docs/git_workflow.md</x:v>
      </x:c>
      <x:c r="B415" s="59" t="str">
        <x:v>Co oznaczają typowe komunikaty</x:v>
      </x:c>
      <x:c r="C415" s="59" t="str">
        <x:v>non-fast-forward / fetch first / Na serwerze jest historia, której nie ma lokalnie; wymagana bezpieczna synchronizacja</x:v>
      </x:c>
    </x:row>
    <x:row r="416" ht="52" customHeight="1">
      <x:c r="A416" s="59" t="str">
        <x:v>docs/git_workflow.md</x:v>
      </x:c>
      <x:c r="B416" s="59" t="str">
        <x:v>Co oznaczają typowe komunikaty</x:v>
      </x:c>
      <x:c r="C416"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7" ht="52" customHeight="1">
      <x:c r="A417" s="59" t="str">
        <x:v>docs/project_reporting.md</x:v>
      </x:c>
      <x:c r="B417" s="59" t="str">
        <x:v>Rejestr TODO i raport projektu w Excelu</x:v>
      </x:c>
      <x:c r="C417"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8" ht="52" customHeight="1">
      <x:c r="A418" s="59" t="str">
        <x:v>docs/project_reporting.md</x:v>
      </x:c>
      <x:c r="B418" s="59" t="str">
        <x:v>Rejestr TODO i raport projektu w Excelu</x:v>
      </x:c>
      <x:c r="C418"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9" ht="30" customHeight="1">
      <x:c r="A419" s="59" t="str">
        <x:v>docs/project_reporting.md</x:v>
      </x:c>
      <x:c r="B419" s="59" t="str">
        <x:v>Generowanie</x:v>
      </x:c>
      <x:c r="C419" s="59" t="str">
        <x:v>W PowerShell, w folderze projektu:</x:v>
      </x:c>
    </x:row>
    <x:row r="420" ht="30" customHeight="1">
      <x:c r="A420" s="59" t="str">
        <x:v>docs/project_reporting.md</x:v>
      </x:c>
      <x:c r="B420" s="59" t="str">
        <x:v>Generowanie</x:v>
      </x:c>
      <x:c r="C420" s="59" t="str">
        <x:v>.\scripts\generate_project_report.ps1</x:v>
      </x:c>
    </x:row>
    <x:row r="421" ht="52" customHeight="1">
      <x:c r="A421" s="59" t="str">
        <x:v>docs/project_reporting.md</x:v>
      </x:c>
      <x:c r="B421" s="59" t="str">
        <x:v>Generowanie</x:v>
      </x:c>
      <x:c r="C421"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2" ht="80" customHeight="1">
      <x:c r="A422" s="59" t="str">
        <x:v>docs/project_reporting.md</x:v>
      </x:c>
      <x:c r="B422" s="59" t="str">
        <x:v>Generowanie</x:v>
      </x:c>
      <x:c r="C422"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3" ht="66" customHeight="1">
      <x:c r="A423" s="59" t="str">
        <x:v>docs/project_reporting.md</x:v>
      </x:c>
      <x:c r="B423" s="59" t="str">
        <x:v>Generowanie</x:v>
      </x:c>
      <x:c r="C423"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4" ht="66" customHeight="1">
      <x:c r="A424" s="59" t="str">
        <x:v>docs/project_reporting.md</x:v>
      </x:c>
      <x:c r="B424" s="59" t="str">
        <x:v>Zakres raportu</x:v>
      </x:c>
      <x:c r="C424"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5" ht="94" customHeight="1">
      <x:c r="A425" s="59" t="str">
        <x:v>docs/project_reporting.md</x:v>
      </x:c>
      <x:c r="B425" s="59" t="str">
        <x:v>Zakres raportu</x:v>
      </x:c>
      <x:c r="C425"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6" ht="80" customHeight="1">
      <x:c r="A426" s="59" t="str">
        <x:v>docs/project_reporting.md</x:v>
      </x:c>
      <x:c r="B426" s="59" t="str">
        <x:v>Zakres raportu</x:v>
      </x:c>
      <x:c r="C426"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7" ht="38" customHeight="1">
      <x:c r="A427" s="59" t="str">
        <x:v>docs/project_reporting.md</x:v>
      </x:c>
      <x:c r="B427" s="59" t="str">
        <x:v>Zakres raportu</x:v>
      </x:c>
      <x:c r="C427" s="59" t="str">
        <x:v>Raport jest snapshotem wiedzy projektowej. Nie zawiera nieistniejących wyników dla GPZ, sztucznych MW ani scoringu. Nie zastępuje szczegółowych surowych plików operatorów; ich lokalne archiwum i manifest pozostają osobno.</x:v>
      </x:c>
    </x:row>
    <x:row r="428" ht="52" customHeight="1">
      <x:c r="A428" s="59" t="str">
        <x:v>docs/project_reporting.md</x:v>
      </x:c>
      <x:c r="B428" s="59" t="str">
        <x:v>Bezpieczeństwo i aktualizacja</x:v>
      </x:c>
      <x:c r="C428"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9" ht="52" customHeight="1">
      <x:c r="A429" s="59" t="str">
        <x:v>docs/project_reporting.md</x:v>
      </x:c>
      <x:c r="B429" s="59" t="str">
        <x:v>Bezpieczeństwo i aktualizacja</x:v>
      </x:c>
      <x:c r="C429"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0" ht="52" customHeight="1">
      <x:c r="A430" s="59" t="str">
        <x:v>docs/09_pilot_scope.md</x:v>
      </x:c>
      <x:c r="B430" s="59" t="str">
        <x:v>Propozycja pilota GPZ</x:v>
      </x:c>
      <x:c r="C430"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1" ht="38" customHeight="1">
      <x:c r="A431" s="59" t="str">
        <x:v>docs/09_pilot_scope.md</x:v>
      </x:c>
      <x:c r="B431" s="59" t="str">
        <x:v>Propozycja pilota GPZ</x:v>
      </x:c>
      <x:c r="C431" s="59" t="str">
        <x:v>Pierwszy wynik: audytowalny raport jednego GPZ z powiązanymi projektami, stanem źródeł, kierunkami mocy i ograniczeniami. Obszar wybieramy po porównaniu dowodów, nie po liczbie punktów na mapie. Użytkownik może wskazać własny region.</x:v>
      </x:c>
    </x:row>
    <x:row r="432" ht="94" customHeight="1">
      <x:c r="A432" s="59" t="str">
        <x:v>docs/09_pilot_scope.md</x:v>
      </x:c>
      <x:c r="B432" s="59" t="str">
        <x:v>Kryteria odbioru</x:v>
      </x:c>
      <x:c r="C432"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3" ht="66" customHeight="1">
      <x:c r="A433" s="59" t="str">
        <x:v>docs/09_pilot_scope.md</x:v>
      </x:c>
      <x:c r="B433" s="59" t="str">
        <x:v>Kryteria odbioru</x:v>
      </x:c>
      <x:c r="C433"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4" ht="52" customHeight="1">
      <x:c r="A434" s="59" t="str">
        <x:v>docs/09_pilot_scope.md</x:v>
      </x:c>
      <x:c r="B434" s="59" t="str">
        <x:v>Kryteria odbioru</x:v>
      </x:c>
      <x:c r="C434"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5" ht="38" customHeight="1">
      <x:c r="A435" s="59" t="str">
        <x:v>docs/09_pilot_scope.md</x:v>
      </x:c>
      <x:c r="B435" s="59" t="str">
        <x:v>Kryteria odbioru</x:v>
      </x:c>
      <x:c r="C435" s="59" t="str">
        <x:v>Najbliższe zależności: zaakceptować zakres, wybrać dopuszczone źródła, porównać kandydatów GPZ, zaprojektować model i wdrożyć parsery. Kontrola jakości źródeł może być rozwijana niezależnie od wyboru regionu.</x:v>
      </x:c>
    </x:row>
    <x:row r="436" ht="52" customHeight="1">
      <x:c r="A436" s="59" t="str">
        <x:v>docs/10_radkowice_pilot.md</x:v>
      </x:c>
      <x:c r="B436" s="59" t="str">
        <x:v>Pilot: SE Radkowice 220/110 kV</x:v>
      </x:c>
      <x:c r="C436"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7" ht="38" customHeight="1">
      <x:c r="A437" s="59" t="str">
        <x:v>docs/10_radkowice_pilot.md</x:v>
      </x:c>
      <x:c r="B437" s="59" t="str">
        <x:v>Tożsamość i granice</x:v>
      </x:c>
      <x:c r="C437"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8" ht="52" customHeight="1">
      <x:c r="A438" s="59" t="str">
        <x:v>docs/10_radkowice_pilot.md</x:v>
      </x:c>
      <x:c r="B438" s="59" t="str">
        <x:v>Tożsamość i granice</x:v>
      </x:c>
      <x:c r="C438"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9" ht="52" customHeight="1">
      <x:c r="A439" s="59" t="str">
        <x:v>docs/10_radkowice_pilot.md</x:v>
      </x:c>
      <x:c r="B439" s="59" t="str">
        <x:v>Tożsamość i granice</x:v>
      </x:c>
      <x:c r="C439"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0" ht="52" customHeight="1">
      <x:c r="A440" s="59" t="str">
        <x:v>docs/10_radkowice_pilot.md</x:v>
      </x:c>
      <x:c r="B440" s="59" t="str">
        <x:v>Pierwsze znane projekty</x:v>
      </x:c>
      <x:c r="C440"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1" ht="30" customHeight="1">
      <x:c r="A441" s="59" t="str">
        <x:v>docs/10_radkowice_pilot.md</x:v>
      </x:c>
      <x:c r="B441" s="59" t="str">
        <x:v>Pierwsze znane projekty</x:v>
      </x:c>
      <x:c r="C441" s="59" t="str">
        <x:v>Wiersz / Projekt / Podmiot / Punkt / Eksport MW / Import MW / Status</x:v>
      </x:c>
    </x:row>
    <x:row r="442" ht="30" customHeight="1">
      <x:c r="A442" s="59" t="str">
        <x:v>docs/10_radkowice_pilot.md</x:v>
      </x:c>
      <x:c r="B442" s="59" t="str">
        <x:v>Pierwsze znane projekty</x:v>
      </x:c>
      <x:c r="C442" s="59" t="str">
        <x:v>787 / MEE Chałupki / Grand Solar 23 Sp. z o.o. / Radkowice 220 kV / 96,96 / 98,8992 / Obowiązująca umowa przyłączeniowa</x:v>
      </x:c>
    </x:row>
    <x:row r="443" ht="30" customHeight="1">
      <x:c r="A443" s="59" t="str">
        <x:v>docs/10_radkowice_pilot.md</x:v>
      </x:c>
      <x:c r="B443" s="59" t="str">
        <x:v>Pierwsze znane projekty</x:v>
      </x:c>
      <x:c r="C443" s="59" t="str">
        <x:v>843 / MEE Radkowice / RSE 10 Sp. z o.o. / Radkowice 220 kV / 50 / 50 / Obowiązująca umowa przyłączeniowa</x:v>
      </x:c>
    </x:row>
    <x:row r="444" ht="30" customHeight="1">
      <x:c r="A444" s="59" t="str">
        <x:v>docs/10_radkowice_pilot.md</x:v>
      </x:c>
      <x:c r="B444" s="59" t="str">
        <x:v>Pierwsze znane projekty</x:v>
      </x:c>
      <x:c r="C444" s="59" t="str">
        <x:v>847 / MEE Chęciny / Qair Polska S.A. / Radkowice 220 kV / 100 / 102 / Obowiązująca umowa przyłączeniowa</x:v>
      </x:c>
    </x:row>
    <x:row r="445" ht="52" customHeight="1">
      <x:c r="A445" s="59" t="str">
        <x:v>docs/10_radkowice_pilot.md</x:v>
      </x:c>
      <x:c r="B445" s="59" t="str">
        <x:v>Pierwsze znane projekty</x:v>
      </x:c>
      <x:c r="C445"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6" ht="52" customHeight="1">
      <x:c r="A446" s="59" t="str">
        <x:v>docs/10_radkowice_pilot.md</x:v>
      </x:c>
      <x:c r="B446" s="59" t="str">
        <x:v>Pierwsze znane projekty</x:v>
      </x:c>
      <x:c r="C446"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7" ht="52" customHeight="1">
      <x:c r="A447" s="59" t="str">
        <x:v>docs/10_radkowice_pilot.md</x:v>
      </x:c>
      <x:c r="B447" s="59" t="str">
        <x:v>Infrastruktura i inwestycje</x:v>
      </x:c>
      <x:c r="C447"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8" ht="52" customHeight="1">
      <x:c r="A448" s="59" t="str">
        <x:v>docs/10_radkowice_pilot.md</x:v>
      </x:c>
      <x:c r="B448" s="59" t="str">
        <x:v>Infrastruktura i inwestycje</x:v>
      </x:c>
      <x:c r="C448"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9" ht="52" customHeight="1">
      <x:c r="A449" s="59" t="str">
        <x:v>docs/10_radkowice_pilot.md</x:v>
      </x:c>
      <x:c r="B449" s="59" t="str">
        <x:v>Infrastruktura i inwestycje</x:v>
      </x:c>
      <x:c r="C449"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0" ht="30" customHeight="1">
      <x:c r="A450" s="59" t="str">
        <x:v>docs/10_radkowice_pilot.md</x:v>
      </x:c>
      <x:c r="B450" s="59" t="str">
        <x:v>Porównanie z alternatywą</x:v>
      </x:c>
      <x:c r="C450" s="59" t="str">
        <x:v>Kryterium / Radkowice — wybór główny / Kościerzyna — kandydat rezerwowy</x:v>
      </x:c>
    </x:row>
    <x:row r="451" ht="30" customHeight="1">
      <x:c r="A451" s="59" t="str">
        <x:v>docs/10_radkowice_pilot.md</x:v>
      </x:c>
      <x:c r="B451" s="59" t="str">
        <x:v>Porównanie z alternatywą</x:v>
      </x:c>
      <x:c r="C451" s="59" t="str">
        <x:v>Preferencja użytkownika / Wskazane wprost / Nie wskazana</x:v>
      </x:c>
    </x:row>
    <x:row r="452" ht="38" customHeight="1">
      <x:c r="A452" s="59" t="str">
        <x:v>docs/10_radkowice_pilot.md</x:v>
      </x:c>
      <x:c r="B452" s="59" t="str">
        <x:v>Porównanie z alternatywą</x:v>
      </x:c>
      <x:c r="C452" s="59" t="str">
        <x:v>Konkretne projekty / Trzy wskazane BESS w XLSX PSE / W dokumencie Energi jest m.in. wpis GPZ Kościerzyna i status obiektu przyłączonego</x:v>
      </x:c>
    </x:row>
    <x:row r="453" ht="30" customHeight="1">
      <x:c r="A453" s="59" t="str">
        <x:v>docs/10_radkowice_pilot.md</x:v>
      </x:c>
      <x:c r="B453" s="59" t="str">
        <x:v>Porównanie z alternatywą</x:v>
      </x:c>
      <x:c r="C453" s="59" t="str">
        <x:v>Jakość czasu publikacji / Jawny stan XLSX 31.07.2026 / Konflikt dat sierpień/czerwiec; kwarantanna</x:v>
      </x:c>
    </x:row>
    <x:row r="454" ht="30" customHeight="1">
      <x:c r="A454" s="59" t="str">
        <x:v>docs/10_radkowice_pilot.md</x:v>
      </x:c>
      <x:c r="B454" s="59" t="str">
        <x:v>Porównanie z alternatywą</x:v>
      </x:c>
      <x:c r="C454" s="59" t="str">
        <x:v>Inwestycje i topologia / Portal PSE i lokalny BIP / W tym porównaniu nie zweryfikowano kompletu dowodów</x:v>
      </x:c>
    </x:row>
    <x:row r="455" ht="30" customHeight="1">
      <x:c r="A455" s="59" t="str">
        <x:v>docs/10_radkowice_pilot.md</x:v>
      </x:c>
      <x:c r="B455" s="59" t="str">
        <x:v>Porównanie z alternatywą</x:v>
      </x:c>
      <x:c r="C455" s="59" t="str">
        <x:v>Przewaga / Bezpośredni test BESS i styku 220/110 kV / Możliwy późniejszy test innych statusów i OSD</x:v>
      </x:c>
    </x:row>
    <x:row r="456" ht="38" customHeight="1">
      <x:c r="A456" s="59" t="str">
        <x:v>docs/10_radkowice_pilot.md</x:v>
      </x:c>
      <x:c r="B456" s="59" t="str">
        <x:v>Porównanie z alternatywą</x:v>
      </x:c>
      <x:c r="C456" s="59" t="str">
        <x:v>Źródło alternatywy: Energa PDF (https://cdn-netpr.pl/file/mediakit/3063617/fa/2026_08_31_pusop_wnioski_i_odmowy_eop.pdf), strona 1, pozycja 3; konflikt opisany w kontroli z 11.09.2026. Nie jest to pełny ranking stacji Polski.</x:v>
      </x:c>
    </x:row>
    <x:row r="457" ht="66" customHeight="1">
      <x:c r="A457" s="59" t="str">
        <x:v>docs/10_radkowice_pilot.md</x:v>
      </x:c>
      <x:c r="B457" s="59" t="str">
        <x:v>Odtwarzanie i dalsze prace</x:v>
      </x:c>
      <x:c r="C457"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8" ht="80" customHeight="1">
      <x:c r="A458" s="59" t="str">
        <x:v>docs/10_radkowice_pilot.md</x:v>
      </x:c>
      <x:c r="B458" s="59" t="str">
        <x:v>Odtwarzanie i dalsze prace</x:v>
      </x:c>
      <x:c r="C458"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9" ht="52" customHeight="1">
      <x:c r="A459" s="59" t="str">
        <x:v>docs/10_radkowice_pilot.md</x:v>
      </x:c>
      <x:c r="B459" s="59" t="str">
        <x:v>Odtwarzanie i dalsze prace</x:v>
      </x:c>
      <x:c r="C459"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0" ht="38" customHeight="1">
      <x:c r="A460" s="59" t="str">
        <x:v>docs/11_radkowice_evidence_model.md</x:v>
      </x:c>
      <x:c r="B460" s="59" t="str">
        <x:v>Radkowice — pierwszy model powiązań dokumentacyjnych</x:v>
      </x:c>
      <x:c r="C460" s="59" t="str">
        <x:v>11.09.2026. Działa lokalny generator grafu: 11 obiektów i 10 relacji. To eksperyment na zachowanych źródłach, nie wdrożenie produkcyjnego silnika sieciowego. Nie wymaga nowej bazy ani dodatkowych bibliotek.</x:v>
      </x:c>
    </x:row>
    <x:row r="461" ht="66" customHeight="1">
      <x:c r="A461" s="59" t="str">
        <x:v>docs/11_radkowice_evidence_model.md</x:v>
      </x:c>
      <x:c r="B461" s="59" t="str">
        <x:v>Nowy dowód PSE/PGE</x:v>
      </x:c>
      <x:c r="C461"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2" ht="38" customHeight="1">
      <x:c r="A462" s="59" t="str">
        <x:v>docs/11_radkowice_evidence_model.md</x:v>
      </x:c>
      <x:c r="B462" s="59" t="str">
        <x:v>Nowy dowód PSE/PGE</x:v>
      </x:c>
      <x:c r="C462" s="59" t="str">
        <x:v>Ponowna próba bezpośredniego pliku mocy PGE: HTTP 200, 346 bajtów i brak sygnatury PDF. Zapisano metadane próby w data/catalog/pge_radkowice_access_2026-09-11.json; żadne wartości mocy z tej odpowiedzi nie weszły do modelu.</x:v>
      </x:c>
    </x:row>
    <x:row r="463" ht="66" customHeight="1">
      <x:c r="A463" s="59" t="str">
        <x:v>docs/11_radkowice_evidence_model.md</x:v>
      </x:c>
      <x:c r="B463" s="59" t="str">
        <x:v>Co reprezentuje graf</x:v>
      </x:c>
      <x:c r="C463"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4" ht="30" customHeight="1">
      <x:c r="A464" s="59" t="str">
        <x:v>docs/11_radkowice_evidence_model.md</x:v>
      </x:c>
      <x:c r="B464" s="59" t="str">
        <x:v>Co reprezentuje graf</x:v>
      </x:c>
      <x:c r="C464" s="59" t="str">
        <x:v>Obiekt/relacja / Znaczenie / Czego nie oznacza</x:v>
      </x:c>
    </x:row>
    <x:row r="465" ht="30" customHeight="1">
      <x:c r="A465" s="59" t="str">
        <x:v>docs/11_radkowice_evidence_model.md</x:v>
      </x:c>
      <x:c r="B465" s="59" t="str">
        <x:v>Co reprezentuje graf</x:v>
      </x:c>
      <x:c r="C465" s="59" t="str">
        <x:v>STATION_REFERENCE / Stacja nazwana w dokumencie / Pełna ewidencja urządzeń</x:v>
      </x:c>
    </x:row>
    <x:row r="466" ht="30" customHeight="1">
      <x:c r="A466" s="59" t="str">
        <x:v>docs/11_radkowice_evidence_model.md</x:v>
      </x:c>
      <x:c r="B466" s="59" t="str">
        <x:v>Co reprezentuje graf</x:v>
      </x:c>
      <x:c r="C466" s="59" t="str">
        <x:v>VOLTAGE_LEVEL_REFERENCE / Potwierdzony poziom 220 lub 110 kV / Konkretna sekcja szyn, pole lub punkt fizyczny</x:v>
      </x:c>
    </x:row>
    <x:row r="467" ht="30" customHeight="1">
      <x:c r="A467" s="59" t="str">
        <x:v>docs/11_radkowice_evidence_model.md</x:v>
      </x:c>
      <x:c r="B467" s="59" t="str">
        <x:v>Co reprezentuje graf</x:v>
      </x:c>
      <x:c r="C467" s="59" t="str">
        <x:v>REPORTED_LINE / Relacja do Kielc, Połańca lub Kielc Piaski opisana w BIP / Znany aktualny stan łączników i obciążalność</x:v>
      </x:c>
    </x:row>
    <x:row r="468" ht="30" customHeight="1">
      <x:c r="A468" s="59" t="str">
        <x:v>docs/11_radkowice_evidence_model.md</x:v>
      </x:c>
      <x:c r="B468" s="59" t="str">
        <x:v>Co reprezentuje graf</x:v>
      </x:c>
      <x:c r="C468" s="59" t="str">
        <x:v>PROJECT_RECORD / Wiersz PSE dotyczący BESS / Ostatecznie rozstrzygnięta tożsamość inwestycji we wszystkich źródłach</x:v>
      </x:c>
    </x:row>
    <x:row r="469" ht="30" customHeight="1">
      <x:c r="A469" s="59" t="str">
        <x:v>docs/11_radkowice_evidence_model.md</x:v>
      </x:c>
      <x:c r="B469" s="59" t="str">
        <x:v>Co reprezentuje graf</x:v>
      </x:c>
      <x:c r="C469" s="59" t="str">
        <x:v>PLANNED_CONNECTION / Wskazanie Radkowic 220 kV i umowy przyłączeniowej / Potwierdzone wykonanie przyłączenia</x:v>
      </x:c>
    </x:row>
    <x:row r="470" ht="30" customHeight="1">
      <x:c r="A470" s="59" t="str">
        <x:v>docs/11_radkowice_evidence_model.md</x:v>
      </x:c>
      <x:c r="B470" s="59" t="str">
        <x:v>Co reprezentuje graf</x:v>
      </x:c>
      <x:c r="C470" s="59" t="str">
        <x:v>DELIVERY_POINT_REFERENCE / Miejsce dostarczania z taryfy / Identyfikator konkretnego transformatora</x:v>
      </x:c>
    </x:row>
    <x:row r="471" ht="30" customHeight="1">
      <x:c r="A471" s="59" t="str">
        <x:v>docs/11_radkowice_evidence_model.md</x:v>
      </x:c>
      <x:c r="B471" s="59" t="str">
        <x:v>Co reprezentuje graf</x:v>
      </x:c>
      <x:c r="C471" s="59" t="str">
        <x:v>TARIFF_RECIPIENT / Odbiorca usług wskazany przez PSE / Właściciel całej stacji</x:v>
      </x:c>
    </x:row>
    <x:row r="472" ht="52" customHeight="1">
      <x:c r="A472" s="59" t="str">
        <x:v>docs/11_radkowice_evidence_model.md</x:v>
      </x:c>
      <x:c r="B472" s="59" t="str">
        <x:v>Co reprezentuje graf</x:v>
      </x:c>
      <x:c r="C472"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3" ht="38" customHeight="1">
      <x:c r="A473" s="59" t="str">
        <x:v>docs/11_radkowice_evidence_model.md</x:v>
      </x:c>
      <x:c r="B473" s="59" t="str">
        <x:v>Co reprezentuje graf</x:v>
      </x:c>
      <x:c r="C473" s="59" t="str">
        <x:v>Strzałki opisują relacje dokumentacyjne, nie kierunki przepływów energii. Schemat nie wstawia brakujących transformatorów ani feederów. Dla grafu obowiązuje power_flow_ready=false.</x:v>
      </x:c>
    </x:row>
    <x:row r="474" ht="30" customHeight="1">
      <x:c r="A474" s="59" t="str">
        <x:v>docs/11_radkowice_evidence_model.md</x:v>
      </x:c>
      <x:c r="B474" s="59" t="str">
        <x:v>Uruchamianie i kontrola</x:v>
      </x:c>
      <x:c r="C474" s="59" t="str">
        <x:v>Po przywróceniu wcześniejszych snapshotów XLSX/PDF i taryfy:</x:v>
      </x:c>
    </x:row>
    <x:row r="475" ht="30" customHeight="1">
      <x:c r="A475" s="59" t="str">
        <x:v>docs/11_radkowice_evidence_model.md</x:v>
      </x:c>
      <x:c r="B475" s="59" t="str">
        <x:v>Uruchamianie i kontrola</x:v>
      </x:c>
      <x:c r="C475" s="59" t="str">
        <x:v>python scripts/build_radkowice_graph.py python -m unittest discover -s tests -p test_evidence_graph.py -v</x:v>
      </x:c>
    </x:row>
    <x:row r="476" ht="52" customHeight="1">
      <x:c r="A476" s="59" t="str">
        <x:v>docs/11_radkowice_evidence_model.md</x:v>
      </x:c>
      <x:c r="B476" s="59" t="str">
        <x:v>Uruchamianie i kontrola</x:v>
      </x:c>
      <x:c r="C476"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7" ht="52" customHeight="1">
      <x:c r="A477" s="59" t="str">
        <x:v>docs/11_radkowice_evidence_model.md</x:v>
      </x:c>
      <x:c r="B477" s="59" t="str">
        <x:v>Uruchamianie i kontrola</x:v>
      </x:c>
      <x:c r="C477"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8" ht="66" customHeight="1">
      <x:c r="A478" s="59" t="str">
        <x:v>docs/11_radkowice_evidence_model.md</x:v>
      </x:c>
      <x:c r="B478" s="59" t="str">
        <x:v>Następny etap</x:v>
      </x:c>
      <x:c r="C478"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9" ht="38" customHeight="1">
      <x:c r="A479" s="59" t="str">
        <x:v>docs/11_radkowice_evidence_model.md</x:v>
      </x:c>
      <x:c r="B479" s="59" t="str">
        <x:v>Wersja v2 — 11.09.2026</x:v>
      </x:c>
      <x:c r="C479" s="59" t="str">
        <x:v>Uzupełnienie 110 kV (12_radkowice_110kv_research.md) rozszerza graf do 13 obiektów i 13 relacji. Polecenie bez argumentu generuje teraz v2; --version 1 odtwarza zachowaną wersję v1. Dokumenty prywatne nie wchodzą do tego grafu.</x:v>
      </x:c>
    </x:row>
    <x:row r="480" ht="66" customHeight="1">
      <x:c r="A480" s="59" t="str">
        <x:v>docs/12_radkowice_110kv_research.md</x:v>
      </x:c>
      <x:c r="B480" s="59" t="str">
        <x:v>Radkowice–Wolica: dowód dla sieci 110 kV</x:v>
      </x:c>
      <x:c r="C480"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1" ht="52" customHeight="1">
      <x:c r="A481" s="59" t="str">
        <x:v>docs/12_radkowice_110kv_research.md</x:v>
      </x:c>
      <x:c r="B481" s="59" t="str">
        <x:v>Radkowice–Wolica: dowód dla sieci 110 kV</x:v>
      </x:c>
      <x:c r="C481"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2" ht="52" customHeight="1">
      <x:c r="A482" s="59" t="str">
        <x:v>docs/12_radkowice_110kv_research.md</x:v>
      </x:c>
      <x:c r="B482" s="59" t="str">
        <x:v>Radkowice–Wolica: dowód dla sieci 110 kV</x:v>
      </x:c>
      <x:c r="C482"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3" ht="30" customHeight="1">
      <x:c r="A483" s="59" t="str">
        <x:v>docs/12_radkowice_110kv_research.md</x:v>
      </x:c>
      <x:c r="B483" s="59" t="str">
        <x:v>Radkowice–Wolica: dowód dla sieci 110 kV</x:v>
      </x:c>
      <x:c r="C483" s="59" t="str">
        <x:v>Odtworzenie po przywróceniu wszystkich źródeł:</x:v>
      </x:c>
    </x:row>
    <x:row r="484" ht="30" customHeight="1">
      <x:c r="A484" s="59" t="str">
        <x:v>docs/12_radkowice_110kv_research.md</x:v>
      </x:c>
      <x:c r="B484" s="59" t="str">
        <x:v>Radkowice–Wolica: dowód dla sieci 110 kV</x:v>
      </x:c>
      <x:c r="C484" s="59" t="str">
        <x:v>python scripts/build_radkowice_graph.py --version 2 python -m unittest discover -s tests -v</x:v>
      </x:c>
    </x:row>
    <x:row r="485" ht="52" customHeight="1">
      <x:c r="A485" s="59" t="str">
        <x:v>docs/12_radkowice_110kv_research.md</x:v>
      </x:c>
      <x:c r="B485" s="59" t="str">
        <x:v>Radkowice–Wolica: dowód dla sieci 110 kV</x:v>
      </x:c>
      <x:c r="C485"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6" ht="52" customHeight="1">
      <x:c r="A486" s="59" t="str">
        <x:v>docs/12_radkowice_110kv_research.md</x:v>
      </x:c>
      <x:c r="B486" s="59" t="str">
        <x:v>Radkowice–Wolica: dowód dla sieci 110 kV</x:v>
      </x:c>
      <x:c r="C486"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7" ht="38" customHeight="1">
      <x:c r="A487" s="59" t="str">
        <x:v>docs/12_radkowice_110kv_research.md</x:v>
      </x:c>
      <x:c r="B487" s="59" t="str">
        <x:v>Radkowice–Wolica: dowód dla sieci 110 kV</x:v>
      </x:c>
      <x:c r="C487" s="59" t="str">
        <x:v>Pozostałe tropy wyszukiwarki: decyzja 2/2024 oraz projekt planu rozwoju PGE 2026–2031. Pełnych dokumentów tych dwóch tropów nie udało się odczytać w tym kroku; dat i wartości z ich snippetów nie włączono do modelu.</x:v>
      </x:c>
    </x:row>
    <x:row r="488" ht="38" customHeight="1">
      <x:c r="A488" s="59" t="str">
        <x:v>docs/13_shared_connection_model.md</x:v>
      </x:c>
      <x:c r="B488" s="59" t="str">
        <x:v>Wspólne przyłącze — model dokumentacyjny</x:v>
      </x:c>
      <x:c r="C488" s="59" t="str">
        <x:v>12.09.2026 (prace rozpoczęte 11.09). Moduł grid_engine/shared_connection.py działa bez bazy, internetu i nowych zależności. Jest ograniczonym modelem ewidencji miejsc, nie silnikiem oceny przepływów ani rezerwy mocy.</x:v>
      </x:c>
    </x:row>
    <x:row r="489" ht="52" customHeight="1">
      <x:c r="A489" s="59" t="str">
        <x:v>docs/13_shared_connection_model.md</x:v>
      </x:c>
      <x:c r="B489" s="59" t="str">
        <x:v>Dane wejściowe</x:v>
      </x:c>
      <x:c r="C489"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0" ht="66" customHeight="1">
      <x:c r="A490" s="59" t="str">
        <x:v>docs/13_shared_connection_model.md</x:v>
      </x:c>
      <x:c r="B490" s="59" t="str">
        <x:v>Dane wejściowe</x:v>
      </x:c>
      <x:c r="C490"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1" ht="52" customHeight="1">
      <x:c r="A491" s="59" t="str">
        <x:v>docs/13_shared_connection_model.md</x:v>
      </x:c>
      <x:c r="B491" s="59" t="str">
        <x:v>Dane wejściowe</x:v>
      </x:c>
      <x:c r="C491"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2" ht="94" customHeight="1">
      <x:c r="A492" s="59" t="str">
        <x:v>docs/13_shared_connection_model.md</x:v>
      </x:c>
      <x:c r="B492" s="59" t="str">
        <x:v>Wynik i reguły</x:v>
      </x:c>
      <x:c r="C492"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3" ht="38" customHeight="1">
      <x:c r="A493" s="59" t="str">
        <x:v>docs/13_shared_connection_model.md</x:v>
      </x:c>
      <x:c r="B493" s="59" t="str">
        <x:v>Wynik i reguły</x:v>
      </x:c>
      <x:c r="C493" s="59" t="str">
        <x:v>niezależnymi wartościami źródłowymi. Zero jest różne od braku danych. - Dostępna moc importowa/eksportowa i możliwość rozpływu pozostają nieznane niezależnie od liczby miejsc.</x:v>
      </x:c>
    </x:row>
    <x:row r="494" ht="52" customHeight="1">
      <x:c r="A494" s="59" t="str">
        <x:v>docs/13_shared_connection_model.md</x:v>
      </x:c>
      <x:c r="B494" s="59" t="str">
        <x:v>Wynik i reguły</x:v>
      </x:c>
      <x:c r="C494"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5" ht="66" customHeight="1">
      <x:c r="A495" s="59" t="str">
        <x:v>docs/13_shared_connection_model.md</x:v>
      </x:c>
      <x:c r="B495" s="59" t="str">
        <x:v>Czas i prywatność</x:v>
      </x:c>
      <x:c r="C495"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6" ht="52" customHeight="1">
      <x:c r="A496" s="59" t="str">
        <x:v>docs/13_shared_connection_model.md</x:v>
      </x:c>
      <x:c r="B496" s="59" t="str">
        <x:v>Czas i prywatność</x:v>
      </x:c>
      <x:c r="C496"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7" ht="52" customHeight="1">
      <x:c r="A497" s="59" t="str">
        <x:v>docs/13_shared_connection_model.md</x:v>
      </x:c>
      <x:c r="B497" s="59" t="str">
        <x:v>Walidacja i dalsza praca</x:v>
      </x:c>
      <x:c r="C497"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8" ht="30" customHeight="1">
      <x:c r="A498" s="59" t="str">
        <x:v>docs/13_shared_connection_model.md</x:v>
      </x:c>
      <x:c r="B498" s="59" t="str">
        <x:v>Walidacja i dalsza praca</x:v>
      </x:c>
      <x:c r="C498" s="59" t="str">
        <x:v>python -m unittest discover -s tests -p test_shared_connection.py -v</x:v>
      </x:c>
    </x:row>
    <x:row r="499" ht="52" customHeight="1">
      <x:c r="A499" s="59" t="str">
        <x:v>docs/13_shared_connection_model.md</x:v>
      </x:c>
      <x:c r="B499" s="59" t="str">
        <x:v>Odtwarzanie z zapisanego wejścia</x:v>
      </x:c>
      <x:c r="C499"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0" ht="30" customHeight="1">
      <x:c r="A500" s="59" t="str">
        <x:v>docs/13_shared_connection_model.md</x:v>
      </x:c>
      <x:c r="B500" s="59" t="str">
        <x:v>Odtwarzanie z zapisanego wejścia</x:v>
      </x:c>
      <x:c r="C500" s="59" t="str">
        <x:v>python scripts/analyze_shared_connection.py --input SCIEZKA_WEJSCIA.json --output SCIEZKA_NOWEGO_WYNIKU.json</x:v>
      </x:c>
    </x:row>
    <x:row r="501" ht="80" customHeight="1">
      <x:c r="A501" s="59" t="str">
        <x:v>docs/13_shared_connection_model.md</x:v>
      </x:c>
      <x:c r="B501" s="59" t="str">
        <x:v>Odtwarzanie z zapisanego wejścia</x:v>
      </x:c>
      <x:c r="C501"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2" ht="66" customHeight="1">
      <x:c r="A502" s="59" t="str">
        <x:v>docs/13_shared_connection_model.md</x:v>
      </x:c>
      <x:c r="B502" s="59" t="str">
        <x:v>Kontrola wejścia — 15.09.2026</x:v>
      </x:c>
      <x:c r="C502"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3" ht="52" customHeight="1">
      <x:c r="A503" s="59" t="str">
        <x:v>docs/13_shared_connection_model.md</x:v>
      </x:c>
      <x:c r="B503" s="59" t="str">
        <x:v>Kontrola wejścia — 15.09.2026</x:v>
      </x:c>
      <x:c r="C503"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4" ht="38" customHeight="1">
      <x:c r="A504" s="59" t="str">
        <x:v>docs/14_observation_history.md</x:v>
      </x:c>
      <x:c r="B504" s="59" t="str">
        <x:v>Historia obserwacji — prototyp v1</x:v>
      </x:c>
      <x:c r="C504" s="59" t="str">
        <x:v>Data: 2026-09-15. Zakres: dokumentacyjne obserwacje REPORTED / UNKNOWN, bez bazy produkcyjnej, automatycznej aktualizacji i obliczania mocy.</x:v>
      </x:c>
    </x:row>
    <x:row r="505" ht="52" customHeight="1">
      <x:c r="A505" s="59" t="str">
        <x:v>docs/14_observation_history.md</x:v>
      </x:c>
      <x:c r="B505" s="59" t="str">
        <x:v>Dwa niezależne pytania</x:v>
      </x:c>
      <x:c r="C505"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6" ht="52" customHeight="1">
      <x:c r="A506" s="59" t="str">
        <x:v>docs/14_observation_history.md</x:v>
      </x:c>
      <x:c r="B506" s="59" t="str">
        <x:v>Dwa niezależne pytania</x:v>
      </x:c>
      <x:c r="C506"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7" ht="66" customHeight="1">
      <x:c r="A507" s="59" t="str">
        <x:v>docs/14_observation_history.md</x:v>
      </x:c>
      <x:c r="B507" s="59" t="str">
        <x:v>Korekty, konflikty i prywatność</x:v>
      </x:c>
      <x:c r="C507"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8" ht="66" customHeight="1">
      <x:c r="A508" s="59" t="str">
        <x:v>docs/14_observation_history.md</x:v>
      </x:c>
      <x:c r="B508" s="59" t="str">
        <x:v>Korekty, konflikty i prywatność</x:v>
      </x:c>
      <x:c r="C508"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9" ht="66" customHeight="1">
      <x:c r="A509" s="59" t="str">
        <x:v>docs/14_observation_history.md</x:v>
      </x:c>
      <x:c r="B509" s="59" t="str">
        <x:v>Próba Radkowice na rzeczywistych danych</x:v>
      </x:c>
      <x:c r="C509"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0" ht="52" customHeight="1">
      <x:c r="A510" s="59" t="str">
        <x:v>docs/14_observation_history.md</x:v>
      </x:c>
      <x:c r="B510" s="59" t="str">
        <x:v>Próba Radkowice na rzeczywistych danych</x:v>
      </x:c>
      <x:c r="C510"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1" ht="30" customHeight="1">
      <x:c r="A511" s="59" t="str">
        <x:v>docs/14_observation_history.md</x:v>
      </x:c>
      <x:c r="B511" s="59" t="str">
        <x:v>Próba Radkowice na rzeczywistych danych</x:v>
      </x:c>
      <x:c r="C511" s="59" t="str">
        <x:v>Odtworzenie z katalogu repozytorium:</x:v>
      </x:c>
    </x:row>
    <x:row r="512" ht="30" customHeight="1">
      <x:c r="A512" s="59" t="str">
        <x:v>docs/14_observation_history.md</x:v>
      </x:c>
      <x:c r="B512" s="59" t="str">
        <x:v>Próba Radkowice na rzeczywistych danych</x:v>
      </x:c>
      <x:c r="C512" s="59" t="str">
        <x:v>python -m scripts.build_radkowice_history --recorded-at 2026-09-15T11:21:36Z</x:v>
      </x:c>
    </x:row>
    <x:row r="513" ht="52" customHeight="1">
      <x:c r="A513" s="59" t="str">
        <x:v>docs/14_observation_history.md</x:v>
      </x:c>
      <x:c r="B513" s="59" t="str">
        <x:v>Próba Radkowice na rzeczywistych danych</x:v>
      </x:c>
      <x:c r="C513"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4" ht="66" customHeight="1">
      <x:c r="A514" s="59" t="str">
        <x:v>docs/14_observation_history.md</x:v>
      </x:c>
      <x:c r="B514" s="59" t="str">
        <x:v>Ograniczenia i kolejny krok</x:v>
      </x:c>
      <x:c r="C514"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5" ht="38" customHeight="1">
      <x:c r="A515" s="59" t="str">
        <x:v>docs/14_observation_history.md</x:v>
      </x:c>
      <x:c r="B515" s="59" t="str">
        <x:v>Ograniczenia i kolejny krok</x:v>
      </x:c>
      <x:c r="C515" s="59" t="str">
        <x:v>Integrację historii z ewidencją przypisań dodano w kolejnym przyroście poniżej. Nie wymaga to ekspertyzy wpływu; nie uprawnia do wyliczania rezerwy MW ani prawdopodobieństwa przyłączenia.</x:v>
      </x:c>
    </x:row>
    <x:row r="516" ht="66" customHeight="1">
      <x:c r="A516" s="59" t="str">
        <x:v>docs/14_observation_history.md</x:v>
      </x:c>
      <x:c r="B516" s="59" t="str">
        <x:v>Ograniczenia i kolejny krok</x:v>
      </x:c>
      <x:c r="C516"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7" ht="38" customHeight="1">
      <x:c r="A517" s="59" t="str">
        <x:v>docs/14_observation_history.md</x:v>
      </x:c>
      <x:c r="B517" s="59" t="str">
        <x:v>Integracja z przypisaniami — 2026-09-15</x:v>
      </x:c>
      <x:c r="C517" s="59" t="str">
        <x:v>grid_engine/historical_assignments.py łączy zapytanie as_known z istniejącym licznikiem summarize. Przyjmuje pełną historię oraz identyfikator przyłącza, scenariusz CURRENT / PLANNED, moment wiedzy i dzień ocenianego stanu.</x:v>
      </x:c>
    </x:row>
    <x:row r="518" ht="66" customHeight="1">
      <x:c r="A518" s="59" t="str">
        <x:v>docs/14_observation_history.md</x:v>
      </x:c>
      <x:c r="B518" s="59" t="str">
        <x:v>Integracja z przypisaniami — 2026-09-15</x:v>
      </x:c>
      <x:c r="C518"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9" ht="66" customHeight="1">
      <x:c r="A519" s="59" t="str">
        <x:v>docs/14_observation_history.md</x:v>
      </x:c>
      <x:c r="B519" s="59" t="str">
        <x:v>Integracja z przypisaniami — 2026-09-15</x:v>
      </x:c>
      <x:c r="C519"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0" ht="52" customHeight="1">
      <x:c r="A520" s="59" t="str">
        <x:v>docs/14_observation_history.md</x:v>
      </x:c>
      <x:c r="B520" s="59" t="str">
        <x:v>Integracja z przypisaniami — 2026-09-15</x:v>
      </x:c>
      <x:c r="C520"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1" ht="80" customHeight="1">
      <x:c r="A521" s="59" t="str">
        <x:v>docs/14_observation_history.md</x:v>
      </x:c>
      <x:c r="B521" s="59" t="str">
        <x:v>Integracja z przypisaniami — 2026-09-15</x:v>
      </x:c>
      <x:c r="C521"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2" ht="52" customHeight="1">
      <x:c r="A522" s="59" t="str">
        <x:v>docs/14_observation_history.md</x:v>
      </x:c>
      <x:c r="B522" s="59" t="str">
        <x:v>Integracja z przypisaniami — 2026-09-15</x:v>
      </x:c>
      <x:c r="C522"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3" ht="30" customHeight="1">
      <x:c r="A523" s="59" t="str">
        <x:v>docs/14_observation_history.md</x:v>
      </x:c>
      <x:c r="B523" s="59" t="str">
        <x:v>Integracja z przypisaniami — 2026-09-15</x:v>
      </x:c>
      <x:c r="C523" s="59" t="str">
        <x:v>Następny krok po odtwarzaniu plikowym: historia parametrów i jawnych deklaracji kompletności.</x:v>
      </x:c>
    </x:row>
    <x:row r="524" ht="52" customHeight="1">
      <x:c r="A524" s="59" t="str">
        <x:v>docs/14_observation_history.md</x:v>
      </x:c>
      <x:c r="B524" s="59" t="str">
        <x:v>Integracja z przypisaniami — 2026-09-15</x:v>
      </x:c>
      <x:c r="C524"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5" ht="38" customHeight="1">
      <x:c r="A525" s="59" t="str">
        <x:v>docs/14_observation_history.md</x:v>
      </x:c>
      <x:c r="B525" s="59" t="str">
        <x:v>Integracja z przypisaniami — 2026-09-15</x:v>
      </x:c>
      <x:c r="C525" s="59" t="str">
        <x:v>Walidacja przyrostu integracyjnego: 76 testów Python (w tym 12 testów nowego adaptera) oraz 8 testów raportowania przeszło 2026-09-15. git diff --check bez błędów. Nie wprowadzono nowych zależności ani danych prywatnych do repozytorium.</x:v>
      </x:c>
    </x:row>
    <x:row r="526" ht="30" customHeight="1">
      <x:c r="A526" s="59" t="str">
        <x:v>docs/14_observation_history.md</x:v>
      </x:c>
      <x:c r="B526" s="59" t="str">
        <x:v>Odtwarzanie plikowe z manifestem — 2026-09-15</x:v>
      </x:c>
      <x:c r="C526" s="59" t="str">
        <x:v>python scripts/analyze_historical_assignments.py --input SCIEZKA_WEJSCIA.json --output SCIEZKA_NOWEGO_WYNIKU.json</x:v>
      </x:c>
    </x:row>
    <x:row r="527" ht="66" customHeight="1">
      <x:c r="A527" s="59" t="str">
        <x:v>docs/14_observation_history.md</x:v>
      </x:c>
      <x:c r="B527" s="59" t="str">
        <x:v>Odtwarzanie plikowe z manifestem — 2026-09-15</x:v>
      </x:c>
      <x:c r="C527"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8" ht="52" customHeight="1">
      <x:c r="A528" s="59" t="str">
        <x:v>docs/14_observation_history.md</x:v>
      </x:c>
      <x:c r="B528" s="59" t="str">
        <x:v>Odtwarzanie plikowe z manifestem — 2026-09-15</x:v>
      </x:c>
      <x:c r="C528"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9" ht="80" customHeight="1">
      <x:c r="A529" s="59" t="str">
        <x:v>docs/14_observation_history.md</x:v>
      </x:c>
      <x:c r="B529" s="59" t="str">
        <x:v>Odtwarzanie plikowe z manifestem — 2026-09-15</x:v>
      </x:c>
      <x:c r="C529"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0" ht="52" customHeight="1">
      <x:c r="A530" s="59" t="str">
        <x:v>docs/14_observation_history.md</x:v>
      </x:c>
      <x:c r="B530" s="59" t="str">
        <x:v>Odtwarzanie plikowe z manifestem — 2026-09-15</x:v>
      </x:c>
      <x:c r="C530"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1" ht="80" customHeight="1">
      <x:c r="A531" s="59" t="str">
        <x:v>docs/14_observation_history.md</x:v>
      </x:c>
      <x:c r="B531" s="59" t="str">
        <x:v>Odtwarzanie plikowe z manifestem — 2026-09-15</x:v>
      </x:c>
      <x:c r="C531"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2" ht="66" customHeight="1">
      <x:c r="A532" s="59" t="str">
        <x:v>docs/14_observation_history.md</x:v>
      </x:c>
      <x:c r="B532" s="59" t="str">
        <x:v>Odtwarzanie plikowe z manifestem — 2026-09-15</x:v>
      </x:c>
      <x:c r="C532"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3" ht="52" customHeight="1">
      <x:c r="A533" s="59" t="str">
        <x:v>docs/14_observation_history.md</x:v>
      </x:c>
      <x:c r="B533" s="59" t="str">
        <x:v>Odtwarzanie plikowe z manifestem — 2026-09-15</x:v>
      </x:c>
      <x:c r="C533"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4" ht="80" customHeight="1">
      <x:c r="A534" s="59" t="str">
        <x:v>docs/14_observation_history.md</x:v>
      </x:c>
      <x:c r="B534" s="59" t="str">
        <x:v>Historyczne parametry przyłącza — wariant v2, 2026-09-15</x:v>
      </x:c>
      <x:c r="C534"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5" ht="38" customHeight="1">
      <x:c r="A535" s="59" t="str">
        <x:v>docs/14_observation_history.md</x:v>
      </x:c>
      <x:c r="B535" s="59" t="str">
        <x:v>Historyczne parametry przyłącza — wariant v2, 2026-09-15</x:v>
      </x:c>
      <x:c r="C535" s="59" t="str">
        <x:v>Wspólne dla parametrów: entity_id oznacza konkretne przyłącze, scenario rozdziela CURRENT / PLANNED, a daty i dowody mają kontrakt Observation.</x:v>
      </x:c>
    </x:row>
    <x:row r="536" ht="38" customHeight="1">
      <x:c r="A536" s="59" t="str">
        <x:v>docs/14_observation_history.md</x:v>
      </x:c>
      <x:c r="B536" s="59" t="str">
        <x:v>Historyczne parametry przyłącza — wariant v2, 2026-09-15</x:v>
      </x:c>
      <x:c r="C536" s="59" t="str">
        <x:v>field / unit / value jako tekst</x:v>
      </x:c>
    </x:row>
    <x:row r="537" ht="38" customHeight="1">
      <x:c r="A537" s="59" t="str">
        <x:v>docs/14_observation_history.md</x:v>
      </x:c>
      <x:c r="B537" s="59" t="str">
        <x:v>Historyczne parametry przyłącza — wariant v2, 2026-09-15</x:v>
      </x:c>
      <x:c r="C537" s="59" t="str">
        <x:v>maximum_positions / position / Nieujemna liczba całkowita</x:v>
      </x:c>
    </x:row>
    <x:row r="538" ht="38" customHeight="1">
      <x:c r="A538" s="59" t="str">
        <x:v>docs/14_observation_history.md</x:v>
      </x:c>
      <x:c r="B538" s="59" t="str">
        <x:v>Historyczne parametry przyłącza — wariant v2, 2026-09-15</x:v>
      </x:c>
      <x:c r="C538" s="59" t="str">
        <x:v>inventory_complete / null / Dokładnie true albo false</x:v>
      </x:c>
    </x:row>
    <x:row r="539" ht="38" customHeight="1">
      <x:c r="A539" s="59" t="str">
        <x:v>docs/14_observation_history.md</x:v>
      </x:c>
      <x:c r="B539" s="59" t="str">
        <x:v>Historyczne parametry przyłącza — wariant v2, 2026-09-15</x:v>
      </x:c>
      <x:c r="C539" s="59" t="str">
        <x:v>export_limit_MW / MW / Nieujemna liczba dziesiętna z kropką</x:v>
      </x:c>
    </x:row>
    <x:row r="540" ht="38" customHeight="1">
      <x:c r="A540" s="59" t="str">
        <x:v>docs/14_observation_history.md</x:v>
      </x:c>
      <x:c r="B540" s="59" t="str">
        <x:v>Historyczne parametry przyłącza — wariant v2, 2026-09-15</x:v>
      </x:c>
      <x:c r="C540" s="59" t="str">
        <x:v>import_limit_MW / MW / Nieujemna liczba dziesiętna z kropką</x:v>
      </x:c>
    </x:row>
    <x:row r="541" ht="66" customHeight="1">
      <x:c r="A541" s="59" t="str">
        <x:v>docs/14_observation_history.md</x:v>
      </x:c>
      <x:c r="B541" s="59" t="str">
        <x:v>Historyczne parametry przyłącza — wariant v2, 2026-09-15</x:v>
      </x:c>
      <x:c r="C541"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2" ht="52" customHeight="1">
      <x:c r="A542" s="59" t="str">
        <x:v>docs/14_observation_history.md</x:v>
      </x:c>
      <x:c r="B542" s="59" t="str">
        <x:v>Historyczne parametry przyłącza — wariant v2, 2026-09-15</x:v>
      </x:c>
      <x:c r="C542"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3" ht="80" customHeight="1">
      <x:c r="A543" s="59" t="str">
        <x:v>docs/14_observation_history.md</x:v>
      </x:c>
      <x:c r="B543" s="59" t="str">
        <x:v>Historyczne parametry przyłącza — wariant v2, 2026-09-15</x:v>
      </x:c>
      <x:c r="C543"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4" ht="52" customHeight="1">
      <x:c r="A544" s="59" t="str">
        <x:v>docs/14_observation_history.md</x:v>
      </x:c>
      <x:c r="B544" s="59" t="str">
        <x:v>Historyczne parametry przyłącza — wariant v2, 2026-09-15</x:v>
      </x:c>
      <x:c r="C544"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5" ht="38" customHeight="1">
      <x:c r="A545" s="59" t="str">
        <x:v>docs/14_observation_history.md</x:v>
      </x:c>
      <x:c r="B545" s="59" t="str">
        <x:v>Historyczne parametry przyłącza — wariant v2, 2026-09-15</x:v>
      </x:c>
      <x:c r="C545" s="59" t="str">
        <x:v>Po zamknięciu tego przyrostu kolejnym krokiem jest sprawdzenie, które rzeczywiste dowody pilota spełniają kontrakt parametrów i jakie dokładnie braki pozostają. Trwała baza i kontrola dostępu aplikacji nadal nie są wdrożone.</x:v>
      </x:c>
    </x:row>
    <x:row r="546" ht="66" customHeight="1">
      <x:c r="A546" s="59" t="str">
        <x:v>docs/14_observation_history.md</x:v>
      </x:c>
      <x:c r="B546" s="59" t="str">
        <x:v>Historyczne parametry przyłącza — wariant v2, 2026-09-15</x:v>
      </x:c>
      <x:c r="C546"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7" ht="52" customHeight="1">
      <x:c r="A547" s="59" t="str">
        <x:v>docs/15_information_requests.md</x:v>
      </x:c>
      <x:c r="B547" s="59" t="str">
        <x:v>Rejestr potrzebnych dokumentów i informacji</x:v>
      </x:c>
      <x:c r="C547"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8" ht="52" customHeight="1">
      <x:c r="A548" s="59" t="str">
        <x:v>docs/15_information_requests.md</x:v>
      </x:c>
      <x:c r="B548" s="59" t="str">
        <x:v>Rejestr potrzebnych dokumentów i informacji</x:v>
      </x:c>
      <x:c r="C548"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9" ht="52" customHeight="1">
      <x:c r="A549" s="59" t="str">
        <x:v>docs/15_information_requests.md</x:v>
      </x:c>
      <x:c r="B549" s="59" t="str">
        <x:v>Rejestr potrzebnych dokumentów i informacji</x:v>
      </x:c>
      <x:c r="C549"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0" ht="52" customHeight="1">
      <x:c r="A550" s="59" t="str">
        <x:v>docs/15_information_requests.md</x:v>
      </x:c>
      <x:c r="B550" s="59" t="str">
        <x:v>Rejestr potrzebnych dokumentów i informacji</x:v>
      </x:c>
      <x:c r="C550"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1" ht="66" customHeight="1">
      <x:c r="A551" s="59" t="str">
        <x:v>docs/15_information_requests.md</x:v>
      </x:c>
      <x:c r="B551" s="59" t="str">
        <x:v>Rejestr potrzebnych dokumentów i informacji</x:v>
      </x:c>
      <x:c r="C551"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2" ht="66" customHeight="1">
      <x:c r="A552" s="59" t="str">
        <x:v>docs/15_information_requests.md</x:v>
      </x:c>
      <x:c r="B552" s="59" t="str">
        <x:v>Rejestr potrzebnych dokumentów i informacji</x:v>
      </x:c>
      <x:c r="C552"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3" ht="66" customHeight="1">
      <x:c r="A553" s="59" t="str">
        <x:v>docs/15_information_requests.md</x:v>
      </x:c>
      <x:c r="B553" s="59" t="str">
        <x:v>Rejestr potrzebnych dokumentów i informacji</x:v>
      </x:c>
      <x:c r="C553"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4" ht="38" customHeight="1">
      <x:c r="A554" s="59" t="str">
        <x:v>docs/15_information_requests.md</x:v>
      </x:c>
      <x:c r="B554" s="59" t="str">
        <x:v>Rejestr potrzebnych dokumentów i informacji</x:v>
      </x:c>
      <x:c r="C554" s="59" t="str">
        <x:v>Możesz odpowiadać numerem, np. „NEED-001: mam projekt, rewizja ...” albo „NEED-004: nie uda się uzyskać”. Zaktualizuję rejestr i kolejny raport. Zmiany wpisane bezpośrednio w Excel nie wracają automatycznie do rejestru.</x:v>
      </x:c>
    </x:row>
    <x:row r="555" ht="52" customHeight="1">
      <x:c r="A555" s="59" t="str">
        <x:v>docs/15_information_requests.md</x:v>
      </x:c>
      <x:c r="B555" s="59" t="str">
        <x:v>Rejestr potrzebnych dokumentów i informacji</x:v>
      </x:c>
      <x:c r="C555"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6" ht="52" customHeight="1">
      <x:c r="A556" s="59" t="str">
        <x:v>docs/16_radkowice_public_followup.md</x:v>
      </x:c>
      <x:c r="B556" s="59" t="str">
        <x:v>Nowy punkt odniesienia dla projektu mostu</x:v>
      </x:c>
      <x:c r="C556"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7" ht="66" customHeight="1">
      <x:c r="A557" s="59" t="str">
        <x:v>docs/16_radkowice_public_followup.md</x:v>
      </x:c>
      <x:c r="B557" s="59" t="str">
        <x:v>Nowy punkt odniesienia dla projektu mostu</x:v>
      </x:c>
      <x:c r="C557"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8" ht="38" customHeight="1">
      <x:c r="A558" s="59" t="str">
        <x:v>docs/16_radkowice_public_followup.md</x:v>
      </x:c>
      <x:c r="B558" s="59" t="str">
        <x:v>Nowy punkt odniesienia dla projektu mostu</x:v>
      </x:c>
      <x:c r="C558" s="59" t="str">
        <x:v>NEED-001 pozostaje „W pozyskiwaniu”. Numer ogłoszenia i dokładny zakres pomagają szukać projektu i dokumentacji postępowania. Nie utożsamiamy automatycznie tego zamówienia z konkretną rewizją prywatnego projektu ani z wszystkimi etapami stacji.</x:v>
      </x:c>
    </x:row>
    <x:row r="559" ht="66" customHeight="1">
      <x:c r="A559" s="59" t="str">
        <x:v>docs/16_radkowice_public_followup.md</x:v>
      </x:c>
      <x:c r="B559" s="59" t="str">
        <x:v>Linia Radkowice–Kielce Piaski</x:v>
      </x:c>
      <x:c r="C559"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0" ht="38" customHeight="1">
      <x:c r="A560" s="59" t="str">
        <x:v>docs/16_radkowice_public_followup.md</x:v>
      </x:c>
      <x:c r="B560" s="59" t="str">
        <x:v>Linia Radkowice–Kielce Piaski</x:v>
      </x:c>
      <x:c r="C560" s="59" t="str">
        <x:v>NEED-006 uzupełniono o ten trop. Nie połączono automatycznie robót na linii z zakresem mostu ani przebudową linii 110 kV Radkowice–Wolica.</x:v>
      </x:c>
    </x:row>
    <x:row r="561" ht="66" customHeight="1">
      <x:c r="A561" s="59" t="str">
        <x:v>docs/16_radkowice_public_followup.md</x:v>
      </x:c>
      <x:c r="B561" s="59" t="str">
        <x:v>Ponowny odczyt portalu PSE</x:v>
      </x:c>
      <x:c r="C561"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2" ht="66" customHeight="1">
      <x:c r="A562" s="59" t="str">
        <x:v>docs/16_radkowice_public_followup.md</x:v>
      </x:c>
      <x:c r="B562" s="59" t="str">
        <x:v>Automatyzacja i odtwarzanie</x:v>
      </x:c>
      <x:c r="C562"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3" ht="52" customHeight="1">
      <x:c r="A563" s="59" t="str">
        <x:v>docs/16_radkowice_public_followup.md</x:v>
      </x:c>
      <x:c r="B563" s="59" t="str">
        <x:v>Automatyzacja i odtwarzanie</x:v>
      </x:c>
      <x:c r="C563"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4" ht="52" customHeight="1">
      <x:c r="A564" s="59" t="str">
        <x:v>docs/16_radkowice_public_followup.md</x:v>
      </x:c>
      <x:c r="B564" s="59" t="str">
        <x:v>Automatyzacja i odtwarzanie</x:v>
      </x:c>
      <x:c r="C564"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5" ht="38" customHeight="1">
      <x:c r="A565" s="59" t="str">
        <x:v>docs/16_radkowice_public_followup.md</x:v>
      </x:c>
      <x:c r="B565" s="59" t="str">
        <x:v>Automatyzacja i odtwarzanie</x:v>
      </x:c>
      <x:c r="C565" s="59" t="str">
        <x:v>Tropy niezaliczone do dowodów modelu: prognoza postępowań z innym plikiem PSE (odczyt web zwrócił błąd), projekt PRSP 2027–2036 i projekt planu PGE 2026–2031 (w tym przyroście tylko wyniki wyszukiwania). Daty z ich snippetów nie zasilają modelu.</x:v>
      </x:c>
    </x:row>
    <x:row r="566" ht="52" customHeight="1">
      <x:c r="A566" s="59" t="str">
        <x:v>docs/16_radkowice_public_followup.md</x:v>
      </x:c>
      <x:c r="B566" s="59" t="str">
        <x:v>Automatyzacja i odtwarzanie</x:v>
      </x:c>
      <x:c r="C566"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7" ht="52" customHeight="1">
      <x:c r="A567" s="59" t="str">
        <x:v>docs/16_radkowice_public_followup.md</x:v>
      </x:c>
      <x:c r="B567" s="59" t="str">
        <x:v>Automatyzacja i odtwarzanie</x:v>
      </x:c>
      <x:c r="C567"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8" ht="80" customHeight="1">
      <x:c r="A568" s="59" t="str">
        <x:v>docs/16_radkowice_public_followup.md</x:v>
      </x:c>
      <x:c r="B568" s="59" t="str">
        <x:v>Pełna decyzja i rozróżnienie pól 8/6 — dalsza weryfikacja 15.09.2026</x:v>
      </x:c>
      <x:c r="C568"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9" ht="52" customHeight="1">
      <x:c r="A569" s="59" t="str">
        <x:v>docs/16_radkowice_public_followup.md</x:v>
      </x:c>
      <x:c r="B569" s="59" t="str">
        <x:v>Pełna decyzja i rozróżnienie pól 8/6 — dalsza weryfikacja 15.09.2026</x:v>
      </x:c>
      <x:c r="C569"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0" ht="80" customHeight="1">
      <x:c r="A570" s="59" t="str">
        <x:v>docs/16_radkowice_public_followup.md</x:v>
      </x:c>
      <x:c r="B570" s="59" t="str">
        <x:v>Pełna decyzja i rozróżnienie pól 8/6 — dalsza weryfikacja 15.09.2026</x:v>
      </x:c>
      <x:c r="C570"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1" ht="80" customHeight="1">
      <x:c r="A571" s="59" t="str">
        <x:v>docs/16_radkowice_public_followup.md</x:v>
      </x:c>
      <x:c r="B571" s="59" t="str">
        <x:v>Pełna decyzja i rozróżnienie pól 8/6 — dalsza weryfikacja 15.09.2026</x:v>
      </x:c>
      <x:c r="C571"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2" ht="38" customHeight="1">
      <x:c r="A572" s="59" t="str">
        <x:v>docs/17_local_application.md</x:v>
      </x:c>
      <x:c r="B572" s="59" t="str">
        <x:v>Lokalna aplikacja pilotażowa — Radkowice</x:v>
      </x:c>
      <x:c r="C572" s="59" t="str">
        <x:v>Stan: 2026-09-16. Użytkownik zatwierdził rozpoczęcie aplikacji z oceną przesłanek i ryzyk; porównanie stacji pozostaje późniejszym etapem.</x:v>
      </x:c>
    </x:row>
    <x:row r="573" ht="30" customHeight="1">
      <x:c r="A573" s="59" t="str">
        <x:v>docs/17_local_application.md</x:v>
      </x:c>
      <x:c r="B573" s="59" t="str">
        <x:v>Uruchomienie</x:v>
      </x:c>
      <x:c r="C573" s="59" t="str">
        <x:v>W PowerShell, z folderu projektu:</x:v>
      </x:c>
    </x:row>
    <x:row r="574" ht="30" customHeight="1">
      <x:c r="A574" s="59" t="str">
        <x:v>docs/17_local_application.md</x:v>
      </x:c>
      <x:c r="B574" s="59" t="str">
        <x:v>Uruchomienie</x:v>
      </x:c>
      <x:c r="C574" s="59" t="str">
        <x:v>./scripts/start_local_app.ps1</x:v>
      </x:c>
    </x:row>
    <x:row r="575" ht="66" customHeight="1">
      <x:c r="A575" s="59" t="str">
        <x:v>docs/17_local_application.md</x:v>
      </x:c>
      <x:c r="B575" s="59" t="str">
        <x:v>Uruchomienie</x:v>
      </x:c>
      <x:c r="C575"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6" ht="66" customHeight="1">
      <x:c r="A576" s="59" t="str">
        <x:v>docs/17_local_application.md</x:v>
      </x:c>
      <x:c r="B576" s="59" t="str">
        <x:v>Zakres</x:v>
      </x:c>
      <x:c r="C576"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7" ht="66" customHeight="1">
      <x:c r="A577" s="59" t="str">
        <x:v>docs/17_local_application.md</x:v>
      </x:c>
      <x:c r="B577" s="59" t="str">
        <x:v>Interpretacja opinii</x:v>
      </x:c>
      <x:c r="C577"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8" ht="52" customHeight="1">
      <x:c r="A578" s="59" t="str">
        <x:v>docs/17_local_application.md</x:v>
      </x:c>
      <x:c r="B578" s="59" t="str">
        <x:v>Interpretacja opinii</x:v>
      </x:c>
      <x:c r="C578"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9" ht="66" customHeight="1">
      <x:c r="A579" s="59" t="str">
        <x:v>docs/17_local_application.md</x:v>
      </x:c>
      <x:c r="B579" s="59" t="str">
        <x:v>Dane, prywatność i odtwarzalność</x:v>
      </x:c>
      <x:c r="C579"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0" ht="38" customHeight="1">
      <x:c r="A580" s="59" t="str">
        <x:v>docs/17_local_application.md</x:v>
      </x:c>
      <x:c r="B580" s="59" t="str">
        <x:v>Dane, prywatność i odtwarzalność</x:v>
      </x:c>
      <x:c r="C580" s="59" t="str">
        <x:v>Zmiana formularza unieważnia poprzednią opinię. Źródła mają własne daty; uruchomienie aplikacji nie pobiera nowych danych operatorów. Linki zewnętrzne otwierają się dopiero po wybraniu przez użytkownika.</x:v>
      </x:c>
    </x:row>
    <x:row r="581" ht="66" customHeight="1">
      <x:c r="A581" s="59" t="str">
        <x:v>docs/17_local_application.md</x:v>
      </x:c>
      <x:c r="B581" s="59" t="str">
        <x:v>Walidacja i dalszy rozwój</x:v>
      </x:c>
      <x:c r="C581"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2" ht="52" customHeight="1">
      <x:c r="A582" s="59" t="str">
        <x:v>docs/17_local_application.md</x:v>
      </x:c>
      <x:c r="B582" s="59" t="str">
        <x:v>Walidacja i dalszy rozwój</x:v>
      </x:c>
      <x:c r="C582"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3" ht="52" customHeight="1">
      <x:c r="A583" s="59" t="str">
        <x:v>docs/private_sources.md</x:v>
      </x:c>
      <x:c r="B583" s="59" t="str">
        <x:v>Materiały użytkownika i prywatne wyniki</x:v>
      </x:c>
      <x:c r="C583"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4" ht="52" customHeight="1">
      <x:c r="A584" s="59" t="str">
        <x:v>docs/private_sources.md</x:v>
      </x:c>
      <x:c r="B584" s="59" t="str">
        <x:v>Materiały użytkownika i prywatne wyniki</x:v>
      </x:c>
      <x:c r="C584"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5" ht="66" customHeight="1">
      <x:c r="A585" s="59" t="str">
        <x:v>docs/private_sources.md</x:v>
      </x:c>
      <x:c r="B585" s="59" t="str">
        <x:v>Materiały użytkownika i prywatne wyniki</x:v>
      </x:c>
      <x:c r="C585"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6" ht="52" customHeight="1">
      <x:c r="A586" s="59" t="str">
        <x:v>docs/private_sources.md</x:v>
      </x:c>
      <x:c r="B586" s="59" t="str">
        <x:v>Materiały użytkownika i prywatne wyniki</x:v>
      </x:c>
      <x:c r="C586"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87" ht="66" customHeight="1">
      <x:c r="A587" s="59" t="str">
        <x:v>docs/private_sources.md</x:v>
      </x:c>
      <x:c r="B587" s="59" t="str">
        <x:v>16.09.2026 — nowy pakiet mostu i historyczny GIS</x:v>
      </x:c>
      <x:c r="C587"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88" ht="66" customHeight="1">
      <x:c r="A588" s="59" t="str">
        <x:v>docs/private_sources.md</x:v>
      </x:c>
      <x:c r="B588" s="59" t="str">
        <x:v>16.09.2026 — nowy pakiet mostu i historyczny GIS</x:v>
      </x:c>
      <x:c r="C588"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89" ht="66" customHeight="1">
      <x:c r="A589" s="59" t="str">
        <x:v>docs/private_sources.md</x:v>
      </x:c>
      <x:c r="B589" s="59" t="str">
        <x:v>16.09.2026 — nowy pakiet mostu i historyczny GIS</x:v>
      </x:c>
      <x:c r="C589"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590" ht="38" customHeight="1">
      <x:c r="A590" s="59" t="str">
        <x:v>docs/private_sources.md</x:v>
      </x:c>
      <x:c r="B590" s="59" t="str">
        <x:v>Kontrola geometrii i historycznych pól mocowych</x:v>
      </x:c>
      <x:c r="C590" s="59" t="str">
        <x:v>Opcjonalne zależności GIS są przypięte w requirements-gis.txt. Instalacja: python -m venv .venv, następnie .venv/Scripts/python.exe -m pip install -r requirements-gis.txt. Nie są wymagane do aplikacji pilotażowej. Testy GIS wymagają tego środowiska.</x:v>
      </x:c>
    </x:row>
    <x:row r="591" ht="30" customHeight="1">
      <x:c r="A591" s="59" t="str">
        <x:v>docs/private_sources.md</x:v>
      </x:c>
      <x:c r="B591" s="59" t="str">
        <x:v>Kontrola geometrii i historycznych pól mocowych</x:v>
      </x:c>
      <x:c r="C591" s="59" t="str">
        <x:v>Polecenia (OUTPUT musi być nowym katalogiem pod data/private, poza ROOT):</x:v>
      </x:c>
    </x:row>
    <x:row r="592" ht="38" customHeight="1">
      <x:c r="A592" s="59" t="str">
        <x:v>docs/private_sources.md</x:v>
      </x:c>
      <x:c r="B592" s="59" t="str">
        <x:v>Kontrola geometrii i historycznych pól mocowych</x:v>
      </x:c>
      <x:c r="C592" s="59" t="str">
        <x:v>.venv/Scripts/python.exe scripts/audit_private_gis_geometry.py ROOT OUTPUT .venv/Scripts/python.exe scripts/normalize_private_gis_capacity.py ROOT OUTPUT --compilation-year 2024 .venv/Scripts/python.exe -m unittest discover -s tests</x:v>
      </x:c>
    </x:row>
    <x:row r="593" ht="80" customHeight="1">
      <x:c r="A593" s="59" t="str">
        <x:v>docs/private_sources.md</x:v>
      </x:c>
      <x:c r="B593" s="59" t="str">
        <x:v>Kontrola geometrii i historycznych pól mocowych</x:v>
      </x:c>
      <x:c r="C593"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594" ht="80" customHeight="1">
      <x:c r="A594" s="59" t="str">
        <x:v>docs/private_sources.md</x:v>
      </x:c>
      <x:c r="B594" s="59" t="str">
        <x:v>Kontrola geometrii i historycznych pól mocowych</x:v>
      </x:c>
      <x:c r="C594"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595" ht="52" customHeight="1">
      <x:c r="A595" s="59" t="str">
        <x:v>docs/private_sources.md</x:v>
      </x:c>
      <x:c r="B595" s="59" t="str">
        <x:v>Kontrola geometrii i historycznych pól mocowych</x:v>
      </x:c>
      <x:c r="C595"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596" ht="80" customHeight="1">
      <x:c r="A596" s="59" t="str">
        <x:v>docs/private_sources.md</x:v>
      </x:c>
      <x:c r="B596" s="59" t="str">
        <x:v>Kontrola geometrii i historycznych pól mocowych</x:v>
      </x:c>
      <x:c r="C596"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597" ht="80" customHeight="1">
      <x:c r="A597" s="59" t="str">
        <x:v>docs/private_sources.md</x:v>
      </x:c>
      <x:c r="B597" s="59" t="str">
        <x:v>17.09.2026 — uzupełnienie dokumentacji mostu</x:v>
      </x:c>
      <x:c r="C597"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598" ht="80" customHeight="1">
      <x:c r="A598" s="59" t="str">
        <x:v>docs/private_sources.md</x:v>
      </x:c>
      <x:c r="B598" s="59" t="str">
        <x:v>17.09.2026 — uzupełnienie dokumentacji mostu</x:v>
      </x:c>
      <x:c r="C598"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sheetData>
  <x:pageMargins left="0.7" right="0.7" top="0.75" bottom="0.75" header="0.3" footer="0.3"/>
  <x:tableParts count="1">
    <x:tablePart xmlns:r="http://schemas.openxmlformats.org/officeDocument/2006/relationships" r:id="Rcbf8227d4ce4421e"/>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16dc927884274cab"/>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46282.269744652775</x:v>
      </x:c>
    </x:row>
    <x:row r="8" ht="30" customHeight="1">
      <x:c r="A8" s="59" t="str">
        <x:v>Stan rejestru TODO</x:v>
      </x:c>
      <x:c r="B8" s="60" t="n">
        <x:v>46282</x:v>
      </x:c>
    </x:row>
    <x:row r="9" ht="30" customHeight="1">
      <x:c r="A9" s="59" t="str">
        <x:v>Commit widoczny przy generowaniu</x:v>
      </x:c>
      <x:c r="B9" s="59" t="str">
        <x:v>6fc8ae10066f1c83721a38ce7b0ff7554fabf08b</x:v>
      </x:c>
    </x:row>
    <x:row r="10" ht="30" customHeight="1">
      <x:c r="A10" s="59" t="str">
        <x:v>SHA-256 zestawu wejść</x:v>
      </x:c>
      <x:c r="B10" s="59" t="str">
        <x:v>b979e853111d6dc434b8fd7a0c6fe15c465632ccb45d33f4eb9831802558aef2</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d5e4f7730d7d34501474caa7f1a0bab137cd83106fc691cc6bcdaa7b1c760fef; 25249 bajtów</x:v>
      </x:c>
    </x:row>
    <x:row r="22" ht="30" customHeight="1">
      <x:c r="A22" s="59" t="str">
        <x:v>data/project/information_requests.json</x:v>
      </x:c>
      <x:c r="B22" s="59" t="str">
        <x:v>SHA-256 d00201d06f55d3bc426d3f85c8b2359b76fe858a4efdbe311c1ca362aa90e1d9; 12432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e6eaaceb4b105741b0f9d5865f383746c197e016c6a78cb55357b3110fda2162; 20922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2be23bbc06c293688e08bc39e88748bbca808c98514a47e55390378bb4b67ab2; 6728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d54abb5ddb4a4e5f"/>
  </x:tableParts>
</x:worksheet>
</file>