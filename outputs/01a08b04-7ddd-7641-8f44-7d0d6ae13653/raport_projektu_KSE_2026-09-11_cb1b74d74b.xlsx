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4b0fee0113486c" /></Relationships>
</file>

<file path=xl/workbook.xml><?xml version="1.0" encoding="utf-8"?>
<x:workbook xmlns:x="http://schemas.openxmlformats.org/spreadsheetml/2006/main">
  <x:sheets>
    <x:sheet xmlns:r="http://schemas.openxmlformats.org/officeDocument/2006/relationships" name="Project Plan" sheetId="1" r:id="R52b36478b8e64557"/>
    <x:sheet xmlns:r="http://schemas.openxmlformats.org/officeDocument/2006/relationships" name="Podsumowanie" sheetId="2" r:id="Raa8b6ceb3bca4f41"/>
    <x:sheet xmlns:r="http://schemas.openxmlformats.org/officeDocument/2006/relationships" name="TODO" sheetId="3" r:id="R8a02c90dc9564916"/>
    <x:sheet xmlns:r="http://schemas.openxmlformats.org/officeDocument/2006/relationships" name="Wykonalność" sheetId="4" r:id="R1a88a20572c844f9"/>
    <x:sheet xmlns:r="http://schemas.openxmlformats.org/officeDocument/2006/relationships" name="Źródła" sheetId="5" r:id="R076b627f00e34a24"/>
    <x:sheet xmlns:r="http://schemas.openxmlformats.org/officeDocument/2006/relationships" name="Źródła szczegóły" sheetId="6" r:id="R8cb9872da8e34e24"/>
    <x:sheet xmlns:r="http://schemas.openxmlformats.org/officeDocument/2006/relationships" name="Ryzyka" sheetId="7" r:id="R2ee18b81a8004860"/>
    <x:sheet xmlns:r="http://schemas.openxmlformats.org/officeDocument/2006/relationships" name="Dokumentacja" sheetId="8" r:id="R39de74dfa1b14a76"/>
    <x:sheet xmlns:r="http://schemas.openxmlformats.org/officeDocument/2006/relationships" name="Audyt" sheetId="9" r:id="R6373d4a5279b47a8"/>
    <x:sheet xmlns:r="http://schemas.openxmlformats.org/officeDocument/2006/relationships" name="Odtwarzanie" sheetId="10" r:id="Rdd4ac3bb2111492c"/>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<x:sst xmlns:x="http://schemas.openxmlformats.org/spreadsheetml/2006/main">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</x:sst>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9c0ccec4c94f94" /><Relationship Type="http://schemas.openxmlformats.org/officeDocument/2006/relationships/theme" Target="/xl/theme/theme1.xml" Id="R4dba67fef3564ca0" /><Relationship Type="http://schemas.openxmlformats.org/officeDocument/2006/relationships/sharedStrings" Target="/xl/sharedStrings.xml" Id="R2691f2f5d77546f0" /><Relationship Type="http://schemas.openxmlformats.org/officeDocument/2006/relationships/worksheet" Target="/xl/worksheets/sheet1.xml" Id="R52b36478b8e64557" /><Relationship Type="http://schemas.openxmlformats.org/officeDocument/2006/relationships/worksheet" Target="/xl/worksheets/sheet2.xml" Id="Raa8b6ceb3bca4f41" /><Relationship Type="http://schemas.openxmlformats.org/officeDocument/2006/relationships/worksheet" Target="/xl/worksheets/sheet3.xml" Id="R8a02c90dc9564916" /><Relationship Type="http://schemas.openxmlformats.org/officeDocument/2006/relationships/worksheet" Target="/xl/worksheets/sheet4.xml" Id="R1a88a20572c844f9" /><Relationship Type="http://schemas.openxmlformats.org/officeDocument/2006/relationships/worksheet" Target="/xl/worksheets/sheet5.xml" Id="R076b627f00e34a24" /><Relationship Type="http://schemas.openxmlformats.org/officeDocument/2006/relationships/worksheet" Target="/xl/worksheets/sheet6.xml" Id="R8cb9872da8e34e24" /><Relationship Type="http://schemas.openxmlformats.org/officeDocument/2006/relationships/worksheet" Target="/xl/worksheets/sheet7.xml" Id="R2ee18b81a8004860" /><Relationship Type="http://schemas.openxmlformats.org/officeDocument/2006/relationships/worksheet" Target="/xl/worksheets/sheet8.xml" Id="R39de74dfa1b14a76" /><Relationship Type="http://schemas.openxmlformats.org/officeDocument/2006/relationships/worksheet" Target="/xl/worksheets/sheet9.xml" Id="R6373d4a5279b47a8" /><Relationship Type="http://schemas.openxmlformats.org/officeDocument/2006/relationships/worksheet" Target="/xl/worksheets/sheet10.xml" Id="Rdd4ac3bb2111492c" /></Relationships>
</file>

<file path=xl/tables/table1.xml><?xml version="1.0" encoding="utf-8"?>
<x:table xmlns:x="http://schemas.openxmlformats.org/spreadsheetml/2006/main" id="8" name="ReportTable1" displayName="ReportTable1" ref="A6:C21" headerRowCount="1" totalsRowCount="0" totalsRowShown="0">
  <x:autoFilter ref="A6:C21"/>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N37" headerRowCount="1" totalsRowCount="0" totalsRowShown="0">
  <x:autoFilter ref="A6:N37"/>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3.xml><?xml version="1.0" encoding="utf-8"?>
<x:table xmlns:x="http://schemas.openxmlformats.org/spreadsheetml/2006/main" id="4" name="ReportTable3" displayName="ReportTable3"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4.xml><?xml version="1.0" encoding="utf-8"?>
<x:table xmlns:x="http://schemas.openxmlformats.org/spreadsheetml/2006/main" id="2" name="ReportTable4" displayName="ReportTable4" ref="A6:J66" headerRowCount="1" totalsRowCount="0" totalsRowShown="0">
  <x:autoFilter ref="A6:J66"/>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C2596" headerRowCount="1" totalsRowCount="0" totalsRowShown="0">
  <x:autoFilter ref="A6:C2596"/>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6.xml><?xml version="1.0" encoding="utf-8"?>
<x:table xmlns:x="http://schemas.openxmlformats.org/spreadsheetml/2006/main" id="5" name="ReportTable6" displayName="ReportTable6" ref="A6:E71" headerRowCount="1" totalsRowCount="0" totalsRowShown="0">
  <x:autoFilter ref="A6:E71"/>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C415" headerRowCount="1" totalsRowCount="0" totalsRowShown="0">
  <x:autoFilter ref="A6:C415"/>
  <x:tableColumns count="3">
    <x:tableColumn id="1" name="Dokument"/>
    <x:tableColumn id="2" name="Sekcja"/>
    <x:tableColumn id="3" name="Treść"/>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67" headerRowCount="1" totalsRowCount="0" totalsRowShown="0">
  <x:autoFilter ref="A6:C567"/>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9.xml><?xml version="1.0" encoding="utf-8"?>
<x:table xmlns:x="http://schemas.openxmlformats.org/spreadsheetml/2006/main" id="9" name="ReportTable9" displayName="ReportTable9" ref="A6:B47" headerRowCount="1" totalsRowCount="0" totalsRowShown="0">
  <x:autoFilter ref="A6:B47"/>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24773dda4c434c" /></Relationships>
</file>

<file path=xl/worksheets/_rels/sheet3.xml.rels>&#65279;<?xml version="1.0" encoding="utf-8"?><Relationships xmlns="http://schemas.openxmlformats.org/package/2006/relationships"><Relationship Type="http://schemas.openxmlformats.org/officeDocument/2006/relationships/table" Target="/xl/tables/table2.xml" Id="R0ea1622b8a2748d5" /></Relationships>
</file>

<file path=xl/worksheets/_rels/sheet4.xml.rels>&#65279;<?xml version="1.0" encoding="utf-8"?><Relationships xmlns="http://schemas.openxmlformats.org/package/2006/relationships"><Relationship Type="http://schemas.openxmlformats.org/officeDocument/2006/relationships/table" Target="/xl/tables/table3.xml" Id="Rf8ccab051e344657" /></Relationships>
</file>

<file path=xl/worksheets/_rels/sheet5.xml.rels>&#65279;<?xml version="1.0" encoding="utf-8"?><Relationships xmlns="http://schemas.openxmlformats.org/package/2006/relationships"><Relationship Type="http://schemas.openxmlformats.org/officeDocument/2006/relationships/table" Target="/xl/tables/table4.xml" Id="Ra19d33baf3a84ddd" /></Relationships>
</file>

<file path=xl/worksheets/_rels/sheet6.xml.rels>&#65279;<?xml version="1.0" encoding="utf-8"?><Relationships xmlns="http://schemas.openxmlformats.org/package/2006/relationships"><Relationship Type="http://schemas.openxmlformats.org/officeDocument/2006/relationships/table" Target="/xl/tables/table5.xml" Id="R3e1853201a8f45b6" /></Relationships>
</file>

<file path=xl/worksheets/_rels/sheet7.xml.rels>&#65279;<?xml version="1.0" encoding="utf-8"?><Relationships xmlns="http://schemas.openxmlformats.org/package/2006/relationships"><Relationship Type="http://schemas.openxmlformats.org/officeDocument/2006/relationships/table" Target="/xl/tables/table6.xml" Id="R561946f89e794af0" /></Relationships>
</file>

<file path=xl/worksheets/_rels/sheet8.xml.rels>&#65279;<?xml version="1.0" encoding="utf-8"?><Relationships xmlns="http://schemas.openxmlformats.org/package/2006/relationships"><Relationship Type="http://schemas.openxmlformats.org/officeDocument/2006/relationships/table" Target="/xl/tables/table7.xml" Id="Re5802097b8ee4ce0" /></Relationships>
</file>

<file path=xl/worksheets/_rels/sheet9.xml.rels>&#65279;<?xml version="1.0" encoding="utf-8"?><Relationships xmlns="http://schemas.openxmlformats.org/package/2006/relationships"><Relationship Type="http://schemas.openxmlformats.org/officeDocument/2006/relationships/table" Target="/xl/tables/table8.xml" Id="Re7b50e43d7f941db" /></Relationships>
</file>

<file path=xl/worksheets/_rels/sheet10.xml.rels>&#65279;<?xml version="1.0" encoding="utf-8"?><Relationships xmlns="http://schemas.openxmlformats.org/package/2006/relationships"><Relationship Type="http://schemas.openxmlformats.org/officeDocument/2006/relationships/table" Target="/xl/tables/table9.xml" Id="R03ea89c913be4eda"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46272</x:v>
      </x:c>
      <x:c r="I6" s="41">
        <x:v>46209</x:v>
      </x:c>
      <x:c r="J6" s="15"/>
      <x:c r="K6" s="42" t="n">
        <x:f>COUNTA('TODO'!A7:A37)</x:f>
        <x:v>31</x:v>
      </x:c>
      <x:c r="L6" s="43"/>
      <x:c r="M6" s="43"/>
      <x:c r="N6" s="44"/>
      <x:c r="O6" s="45" t="n">
        <x:f>COUNTIFS('TODO'!C7:C37,"Complete")</x:f>
        <x:v>9</x:v>
      </x:c>
      <x:c r="P6" s="46"/>
      <x:c r="Q6" s="46"/>
      <x:c r="R6" s="47"/>
      <x:c r="S6" s="35" t="n">
        <x:f>COUNTIFS('TODO'!C7:C37,"In Progress")</x:f>
        <x:v>1</x:v>
      </x:c>
      <x:c r="T6" s="36"/>
      <x:c r="U6" s="36"/>
      <x:c r="V6" s="37"/>
      <x:c r="W6" s="38" t="n">
        <x:f>COUNTIFS('TODO'!C7:C37,"At Risk")</x:f>
        <x:v>1</x:v>
      </x:c>
      <x:c r="X6" s="39"/>
      <x:c r="Y6" s="39"/>
      <x:c r="Z6" s="40"/>
      <x:c r="AA6" s="38" t="n">
        <x:f>COUNTIFS('TODO'!D7:D37,"P0")</x:f>
        <x:v>21</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46272</x:v>
      </x:c>
      <x:c r="L9" s="2" t="n">
        <x:f t="shared" ref="L9:AD9" si="0">K9+7</x:f>
        <x:v>46279</x:v>
      </x:c>
      <x:c r="M9" s="2" t="n">
        <x:f t="shared" si="0">L9+7</x:f>
        <x:v>46286</x:v>
      </x:c>
      <x:c r="N9" s="2" t="n">
        <x:f t="shared" si="0">M9+7</x:f>
        <x:v>46293</x:v>
      </x:c>
      <x:c r="O9" s="2" t="n">
        <x:f t="shared" si="0">N9+7</x:f>
        <x:v>46300</x:v>
      </x:c>
      <x:c r="P9" s="2" t="n">
        <x:f t="shared" si="0">O9+7</x:f>
        <x:v>46307</x:v>
      </x:c>
      <x:c r="Q9" s="2" t="n">
        <x:f t="shared" si="0">P9+7</x:f>
        <x:v>46314</x:v>
      </x:c>
      <x:c r="R9" s="2" t="n">
        <x:f t="shared" si="0">Q9+7</x:f>
        <x:v>46321</x:v>
      </x:c>
      <x:c r="S9" s="2" t="n">
        <x:f t="shared" si="0">R9+7</x:f>
        <x:v>46328</x:v>
      </x:c>
      <x:c r="T9" s="2" t="n">
        <x:f t="shared" si="0">S9+7</x:f>
        <x:v>46335</x:v>
      </x:c>
      <x:c r="U9" s="2" t="n">
        <x:f t="shared" si="0">T9+7</x:f>
        <x:v>46342</x:v>
      </x:c>
      <x:c r="V9" s="2" t="n">
        <x:f t="shared" si="0">U9+7</x:f>
        <x:v>46349</x:v>
      </x:c>
      <x:c r="W9" s="2" t="n">
        <x:f t="shared" si="0">V9+7</x:f>
        <x:v>46356</x:v>
      </x:c>
      <x:c r="X9" s="2" t="n">
        <x:f t="shared" si="0">W9+7</x:f>
        <x:v>46363</x:v>
      </x:c>
      <x:c r="Y9" s="2" t="n">
        <x:f t="shared" si="0">X9+7</x:f>
        <x:v>46370</x:v>
      </x:c>
      <x:c r="Z9" s="2" t="n">
        <x:f t="shared" si="0">Y9+7</x:f>
        <x:v>46377</x:v>
      </x:c>
      <x:c r="AA9" s="2" t="n">
        <x:f t="shared" si="0">Z9+7</x:f>
        <x:v>46384</x:v>
      </x:c>
      <x:c r="AB9" s="2" t="n">
        <x:f t="shared" si="0">AA9+7</x:f>
        <x:v>46391</x:v>
      </x:c>
      <x:c r="AC9" s="2" t="n">
        <x:f t="shared" si="0">AB9+7</x:f>
        <x:v>46398</x:v>
      </x:c>
      <x:c r="AD9" s="2" t="n">
        <x:f t="shared" si="0">AC9+7</x:f>
        <x:v>46405</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Dane</x:v>
      </x:c>
      <x:c r="C22" s="66" t="str">
        <x:v>KSE-011 Przetestować uwierzytelnione API ENTSO-E</x:v>
      </x:c>
      <x:c r="D22" s="67" t="str">
        <x:v>Codex</x:v>
      </x:c>
      <x:c r="E22" s="67" t="str">
        <x:v>Not Started</x:v>
      </x:c>
      <x:c r="F22" s="67" t="str">
        <x:v>P1</x:v>
      </x:c>
      <x:c r="G22" s="68"/>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KSE-012 Potwierdzić eksport ENEA i TAURON</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KSE-019 BIP i inwestycje w obszarze pilota</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GIS</x:v>
      </x:c>
      <x:c r="C25" s="70" t="str">
        <x:v>KSE-020 Warstwy GIS i kontrola CRS</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UI</x:v>
      </x:c>
      <x:c r="C26" s="66" t="str">
        <x:v>KSE-024 Pierwszy interfejs i mapa dowodów</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V1</x:v>
      </x:c>
      <x:c r="C27" s="70" t="str">
        <x:v>KSE-025 Cykliczne aktualizacje i historia zmian</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KSE-026 Rozszerzenie pokrycia OSD i regionów</x:v>
      </x:c>
      <x:c r="D28" s="67" t="str">
        <x:v>Codex</x:v>
      </x:c>
      <x:c r="E28" s="67" t="str">
        <x:v>Not Started</x:v>
      </x:c>
      <x:c r="F28" s="67" t="str">
        <x:v>P2</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V2</x:v>
      </x:c>
      <x:c r="C29" s="70" t="str">
        <x:v>KSE-027 Scenariusze przyszłej sieci i trasy</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KSE-028 Metodologia confidence i scoringu</x:v>
      </x:c>
      <x:c r="D30" s="67" t="str">
        <x:v>Użytkownik + 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Long-term</x:v>
      </x:c>
      <x:c r="C31" s="70" t="str">
        <x:v>KSE-029 Dane techniczne i model rozpływowy</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Research</x:v>
      </x:c>
      <x:c r="C32" s="66" t="str">
        <x:v>KSE-001 Research źródeł i granic dokładności</x:v>
      </x:c>
      <x:c r="D32" s="67" t="str">
        <x:v>Codex</x:v>
      </x:c>
      <x:c r="E32" s="67" t="str">
        <x:v>Complete</x:v>
      </x:c>
      <x:c r="F32" s="67" t="str">
        <x:v>P0</x:v>
      </x:c>
      <x:c r="G32" s="74"/>
      <x:c r="H32" s="74" t="n">
        <x:v>46275</x:v>
      </x:c>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KSE-002 Katalog i kontrola próbek źródłowych</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Organizacja</x:v>
      </x:c>
      <x:c r="C34" s="66" t="str">
        <x:v>KSE-003 Git i odtwarzanie snapshotów</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KSE-004 Wykluczenie lokalnych sekretów z Git</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Produkt</x:v>
      </x:c>
      <x:c r="C36" s="66" t="str">
        <x:v>KSE-005 Specyfikacja pipeline wybranego GPZ</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KSE-006 TODO i generator pełnego raportu Excel</x:v>
      </x:c>
      <x:c r="D37" s="71" t="str">
        <x:v>Codex</x:v>
      </x:c>
      <x:c r="E37" s="71" t="str">
        <x:v>Complete</x:v>
      </x:c>
      <x:c r="F37" s="71" t="str">
        <x:v>P0</x:v>
      </x:c>
      <x:c r="G37" s="73" t="n">
        <x:v>46275</x:v>
      </x:c>
      <x:c r="H37" s="73" t="n">
        <x:v>46276</x:v>
      </x:c>
      <x:c r="I37" s="11" t="n">
        <x:f t="shared" si="1">IF(OR(G37="",H37="",H37&lt;G37),"",H37-G37+1)</x:f>
        <x:v>2</x:v>
      </x:c>
      <x:c r="J37" s="15"/>
      <x:c r="K37" s="12" t="n">
        <x:f t="shared" si="6">IF(OR($G37="",$H37="",$H37&lt;$G37),"",IF(AND(K$9&lt;=$H37,K$9+6&gt;=$G37),1,""))</x:f>
        <x:v>1</x:v>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KSE-007 Ustalić zakres i kryteria MVP</x:v>
      </x:c>
      <x:c r="D38" s="67" t="str">
        <x:v>Użytkownik + Codex</x:v>
      </x:c>
      <x:c r="E38" s="67" t="str">
        <x:v>Complete</x:v>
      </x:c>
      <x:c r="F38" s="67" t="str">
        <x:v>P0</x:v>
      </x:c>
      <x:c r="G38" s="74" t="n">
        <x:v>46276</x:v>
      </x:c>
      <x:c r="H38" s="74" t="n">
        <x:v>46276</x:v>
      </x:c>
      <x:c r="I38" s="11" t="n">
        <x:f t="shared" si="1">IF(OR(G38="",H38="",H38&lt;G38),"",H38-G38+1)</x:f>
        <x:v>1</x:v>
      </x:c>
      <x:c r="J38" s="15"/>
      <x:c r="K38" s="12" t="n">
        <x:f t="shared" si="6">IF(OR($G38="",$H38="",$H38&lt;$G38),"",IF(AND(K$9&lt;=$H38,K$9+6&gt;=$G38),1,""))</x:f>
        <x:v>1</x:v>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Dane</x:v>
      </x:c>
      <x:c r="C39" s="70" t="str">
        <x:v>KSE-008 Wyjaśnić konflikt dat Energi</x:v>
      </x:c>
      <x:c r="D39" s="71" t="str">
        <x:v>Codex</x:v>
      </x:c>
      <x:c r="E39" s="71" t="str">
        <x:v>Complete</x:v>
      </x:c>
      <x:c r="F39" s="71" t="str">
        <x:v>P0</x:v>
      </x:c>
      <x:c r="G39" s="73"/>
      <x:c r="H39" s="73" t="n">
        <x:v>46276</x:v>
      </x:c>
      <x:c r="I39" s="11" t="str">
        <x:f t="shared" si="1">IF(OR(G39="",H39="",H39&lt;G39),"",H39-G39+1)</x:f>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COUNTA('Źródła'!A7:A66)</x:f>
        <x:v>60</x:v>
      </x:c>
      <x:c r="C7" s="59" t="str">
        <x:v>Obejmuje próbki, przegląd treści/dokumentacji, wskazania i blokady.</x:v>
      </x:c>
    </x:row>
    <x:row r="8" ht="30" customHeight="1">
      <x:c r="A8" s="59" t="str">
        <x:v>Zadania w rejestrze</x:v>
      </x:c>
      <x:c r="B8" s="59" t="n">
        <x:f>'Project Plan'!K6</x:f>
        <x:v>31</x:v>
      </x:c>
      <x:c r="C8" s="59" t="str">
        <x:v>Pełna lista, także zakończone i dalsze etapy.</x:v>
      </x:c>
    </x:row>
    <x:row r="9" ht="30" customHeight="1">
      <x:c r="A9" s="59" t="str">
        <x:v>Zakończone zadania</x:v>
      </x:c>
      <x:c r="B9" s="59" t="n">
        <x:f>'Project Plan'!O6</x:f>
        <x:v>9</x:v>
      </x:c>
      <x:c r="C9" s="59" t="str">
        <x:v>Liczba zadań nie mierzy procentowej gotowości produktu.</x:v>
      </x:c>
    </x:row>
    <x:row r="10" ht="30" customHeight="1">
      <x:c r="A10" s="59" t="str">
        <x:v>Zadania w toku</x:v>
      </x:c>
      <x:c r="B10" s="59" t="n">
        <x:f>'Project Plan'!S6</x:f>
        <x:v>1</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46276</x:v>
      </x:c>
      <x:c r="C12" s="59" t="str">
        <x:v>Data przeglądu źródeł; nie oznacza aktualnego stanu każdego dokumentu.</x:v>
      </x:c>
    </x:row>
    <x:row r="13" ht="80" customHeight="1">
      <x:c r="A13" s="59" t="str">
        <x:v>Wniosek z badań</x:v>
      </x:c>
      <x:c r="B13" s="59" t="str">
        <x:v>Ocena badawcza</x:v>
      </x:c>
      <x:c r="C13"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4" ht="66" customHeight="1">
      <x:c r="A14" s="59" t="str">
        <x:v>Wniosek z badań</x:v>
      </x:c>
      <x:c r="B14" s="59" t="str">
        <x:v>Ocena badawcza</x:v>
      </x:c>
      <x:c r="C14"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5" ht="30" customHeight="1">
      <x:c r="A15" s="59" t="str">
        <x:v>Wniosek z badań</x:v>
      </x:c>
      <x:c r="B15" s="59" t="str">
        <x:v>Ocena badawcza</x:v>
      </x:c>
      <x:c r="C15" s="59" t="str">
        <x:v>Poziom sieci / Realistyczny produkt z danych publicznych / Granica dokładności</x:v>
      </x:c>
    </x:row>
    <x:row r="16" ht="52" customHeight="1">
      <x:c r="A16" s="59" t="str">
        <x:v>Wniosek z badań</x:v>
      </x:c>
      <x:c r="B16" s="59" t="str">
        <x:v>Ocena badawcza</x:v>
      </x:c>
      <x:c r="C16"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7" ht="52" customHeight="1">
      <x:c r="A17" s="59" t="str">
        <x:v>Wniosek z badań</x:v>
      </x:c>
      <x:c r="B17" s="59" t="str">
        <x:v>Ocena badawcza</x:v>
      </x:c>
      <x:c r="C17"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8" ht="52" customHeight="1">
      <x:c r="A18" s="59" t="str">
        <x:v>Wniosek z badań</x:v>
      </x:c>
      <x:c r="B18" s="59" t="str">
        <x:v>Ocena badawcza</x:v>
      </x:c>
      <x:c r="C18"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19" ht="52" customHeight="1">
      <x:c r="A19" s="59" t="str">
        <x:v>Wniosek z badań</x:v>
      </x:c>
      <x:c r="B19" s="59" t="str">
        <x:v>Ocena badawcza</x:v>
      </x:c>
      <x:c r="C19"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0" ht="80" customHeight="1">
      <x:c r="A20" s="59" t="str">
        <x:v>Wniosek z badań</x:v>
      </x:c>
      <x:c r="B20" s="59" t="str">
        <x:v>Ocena badawcza</x:v>
      </x:c>
      <x:c r="C20"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1" ht="52" customHeight="1">
      <x:c r="A21" s="59" t="str">
        <x:v>Wniosek z badań</x:v>
      </x:c>
      <x:c r="B21" s="59" t="str">
        <x:v>Ocena badawcza</x:v>
      </x:c>
      <x:c r="C21"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1e24773dda4c434c"/>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38"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commity i instrukcję odtwarzania.</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Bezpośredni PDF nadal zwraca blokadę (11.09); sprawdzić oficjalny alternatywny kanał lub dokumenty przekazane przez użytkownika.</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52"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Radkowice wybrane badawczo; uzupełnić granice PSE/PGE, źródła 110 kV i podstawę wykorzystania przed zamknięciem zadania.</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38"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Zbudować raport grup statusu oraz nieznanych i konfliktowych rekordów.</x:v>
      </x:c>
      <x:c r="J27" s="59" t="str">
        <x:v>Potwierdzone przyłączenie, plan i oczekiwanie odróżnione; deduplikacja i kierunkowe sumy z pokryciem.</x:v>
      </x:c>
      <x:c r="K27" s="59" t="str">
        <x:v>Brak dodatkowej uwagi</x:v>
      </x:c>
      <x:c r="L27" s="60"/>
      <x:c r="M27" s="60"/>
      <x:c r="N27" s="59" t="str">
        <x:v>docs/gpz_pipeline.md</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38"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Ocenić dostęp do parametrów, profili i topologii operatora oraz solverów.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38"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Wykonać prywatną kopię ZIP na drugim nośniku i potwierdzić jej odczyt.</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sheetData>
  <x:conditionalFormatting sqref="C7:C37">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7">
      <x:formula1>"Not Started,In Progress,At Risk,Complete"</x:formula1>
    </x:dataValidation>
  </x:dataValidations>
  <x:pageMargins left="0.7" right="0.7" top="0.75" bottom="0.75" header="0.3" footer="0.3"/>
  <x:tableParts count="1">
    <x:tablePart xmlns:r="http://schemas.openxmlformats.org/officeDocument/2006/relationships" r:id="R0ea1622b8a2748d5"/>
  </x:tableParts>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f8ccab051e344657"/>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DISCOVERED</x:v>
      </x:c>
      <x:c r="F30" s="60" t="n">
        <x:v>46275</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46275</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46276</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sheetData>
  <x:pageMargins left="0.7" right="0.7" top="0.75" bottom="0.75" header="0.3" footer="0.3"/>
  <x:tableParts count="1">
    <x:tablePart xmlns:r="http://schemas.openxmlformats.org/officeDocument/2006/relationships" r:id="Ra19d33baf3a84ddd"/>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46275</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Jednorazowy przegląd; brak zgody na stały scraper wynikającej z samego dostępu. Sprawdzić warunki, robots.txt i limity przed wdrożeniem.</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DISCOVERED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30" customHeight="1">
      <x:c r="A1043" s="59" t="str">
        <x:v>PGE_EXPORT_DISCOVERY</x:v>
      </x:c>
      <x:c r="B1043" s="59" t="str">
        <x:v>known_limitations</x:v>
      </x:c>
      <x:c r="C1043" s="59" t="str">
        <x:v>[ "Treść i aktualność niepotwierdzone; nazwa sugeruje historyczny kwartał."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46275</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Jednorazowy przegląd; brak zgody na stały scraper wynikającej z samego dostępu. Sprawdzić warunki, robots.txt i limity przed wdrożeniem.</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30" customHeight="1">
      <x:c r="A1086" s="59" t="str">
        <x:v>PGE_PLAN_DISCOVERY</x:v>
      </x:c>
      <x:c r="B1086" s="59" t="str">
        <x:v>known_limitations</x:v>
      </x:c>
      <x:c r="C1086" s="59" t="str">
        <x:v>[ "Nie potwierdzono pełnego tekstu ani aktualnego statusu uzgodnienia."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46276</x:v>
      </x:c>
    </x:row>
    <x:row r="2441" ht="30" customHeight="1">
      <x:c r="A2441" s="59" t="str">
        <x:v>PSE_INVESTMENTS_RADK</x:v>
      </x:c>
      <x:c r="B2441" s="59" t="str">
        <x:v>last_successful_verification</x:v>
      </x:c>
      <x:c r="C2441" s="60" t="n">
        <x:v>46276</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66" customHeight="1">
      <x:c r="A2466" s="59" t="str">
        <x:v>PSE_INVESTMENTS_RADK</x:v>
      </x:c>
      <x:c r="B2466" s="59" t="str">
        <x:v>evidence</x:v>
      </x:c>
      <x:c r="C2466" s="59" t="str">
        <x:v>[ { "retrieval_date": "2026-09-11T10:42:22.0922672Z", "http_status": 200, "sha256": "2d03643156da9b3d1886353d58491131b3cefed680fa23f45afd2056ff3d8b73", "local_path": "data/raw/research/2026-09-11/pse_investments.html", "content_type": "text/html; charset=UTF-8", "url": "https://inwestycje.pse.pl/", "bytes": 696937, "source_id": "PSE_INVESTMENTS_RADK", "manifest": "data/catalog/radkowice_snapshot_manifest.json" } ]</x:v>
      </x:c>
    </x:row>
    <x:row r="2467" ht="30" customHeight="1">
      <x:c r="A2467" s="59" t="str">
        <x:v>PSE_INVESTMENTS_RADK</x:v>
      </x:c>
      <x:c r="B2467" s="59" t="str">
        <x:v>retrieval_date</x:v>
      </x:c>
      <x:c r="C2467" s="59" t="str">
        <x:v>[ "2026-09-11T10:42:22.0922672Z" ]</x:v>
      </x:c>
    </x:row>
    <x:row r="2468" ht="30" customHeight="1">
      <x:c r="A2468" s="59" t="str">
        <x:v>CHECINY_ENERGY_PLAN</x:v>
      </x:c>
      <x:c r="B2468" s="59" t="str">
        <x:v>country</x:v>
      </x:c>
      <x:c r="C2468" s="59" t="str">
        <x:v>PL</x:v>
      </x:c>
    </x:row>
    <x:row r="2469" ht="30" customHeight="1">
      <x:c r="A2469" s="59" t="str">
        <x:v>CHECINY_ENERGY_PLAN</x:v>
      </x:c>
      <x:c r="B2469" s="59" t="str">
        <x:v>geographical_scope</x:v>
      </x:c>
      <x:c r="C2469" s="59" t="str">
        <x:v>Gmina Chęciny i opisane powiązania sieciowe</x:v>
      </x:c>
    </x:row>
    <x:row r="2470" ht="30" customHeight="1">
      <x:c r="A2470" s="59" t="str">
        <x:v>CHECINY_ENERGY_PLAN</x:v>
      </x:c>
      <x:c r="B2470" s="59" t="str">
        <x:v>grid_voltage</x:v>
      </x:c>
      <x:c r="C2470" s="59" t="str">
        <x:v>[ "220 kV", "110 kV", "SN" ]</x:v>
      </x:c>
    </x:row>
    <x:row r="2471" ht="30" customHeight="1">
      <x:c r="A2471" s="59" t="str">
        <x:v>CHECINY_ENERGY_PLAN</x:v>
      </x:c>
      <x:c r="B2471" s="59" t="str">
        <x:v>api_available</x:v>
      </x:c>
      <x:c r="C2471" s="59" t="str">
        <x:v>UNKNOWN</x:v>
      </x:c>
    </x:row>
    <x:row r="2472" ht="30" customHeight="1">
      <x:c r="A2472" s="59" t="str">
        <x:v>CHECINY_ENERGY_PLAN</x:v>
      </x:c>
      <x:c r="B2472" s="59" t="str">
        <x:v>gis_available</x:v>
      </x:c>
      <x:c r="C2472" s="59" t="str">
        <x:v>UNKNOWN</x:v>
      </x:c>
    </x:row>
    <x:row r="2473" ht="30" customHeight="1">
      <x:c r="A2473" s="59" t="str">
        <x:v>CHECINY_ENERGY_PLAN</x:v>
      </x:c>
      <x:c r="B2473" s="59" t="str">
        <x:v>update_frequency</x:v>
      </x:c>
      <x:c r="C2473" s="59" t="str">
        <x:v>UNKNOWN — nie ustalono gwarantowanego cyklu publikacji.</x:v>
      </x:c>
    </x:row>
    <x:row r="2474" ht="30" customHeight="1">
      <x:c r="A2474" s="59" t="str">
        <x:v>CHECINY_ENERGY_PLAN</x:v>
      </x:c>
      <x:c r="B2474" s="59" t="str">
        <x:v>historical_data</x:v>
      </x:c>
      <x:c r="C2474" s="59" t="str">
        <x:v>UNKNOWN — własne snapshoty od 10.09.2026, jeśli zapisano próbkę.</x:v>
      </x:c>
    </x:row>
    <x:row r="2475" ht="30" customHeight="1">
      <x:c r="A2475" s="59" t="str">
        <x:v>CHECINY_ENERGY_PLAN</x:v>
      </x:c>
      <x:c r="B2475" s="59" t="str">
        <x:v>authentication</x:v>
      </x:c>
      <x:c r="C2475" s="59" t="str">
        <x:v>Odczyt publicznej strony bez konta; nie dowodzi dostępu do wszystkich danych.</x:v>
      </x:c>
    </x:row>
    <x:row r="2476" ht="30" customHeight="1">
      <x:c r="A2476" s="59" t="str">
        <x:v>CHECINY_ENERGY_PLAN</x:v>
      </x:c>
      <x:c r="B2476" s="59" t="str">
        <x:v>license</x:v>
      </x:c>
      <x:c r="C2476" s="59" t="str">
        <x:v>UNKNOWN — nie potwierdzono otwartej licencji wybranego zbioru.</x:v>
      </x:c>
    </x:row>
    <x:row r="2477" ht="30" customHeight="1">
      <x:c r="A2477" s="59" t="str">
        <x:v>CHECINY_ENERGY_PLAN</x:v>
      </x:c>
      <x:c r="B2477" s="59" t="str">
        <x:v>license_url</x:v>
      </x:c>
      <x:c r="C2477" s="59" t="str">
        <x:v>UNKNOWN — nie ustalono</x:v>
      </x:c>
    </x:row>
    <x:row r="2478" ht="30" customHeight="1">
      <x:c r="A2478" s="59" t="str">
        <x:v>CHECINY_ENERGY_PLAN</x:v>
      </x:c>
      <x:c r="B2478" s="59" t="str">
        <x:v>commercial_use</x:v>
      </x:c>
      <x:c r="C2478" s="59" t="str">
        <x:v>UNKNOWN</x:v>
      </x:c>
    </x:row>
    <x:row r="2479" ht="30" customHeight="1">
      <x:c r="A2479" s="59" t="str">
        <x:v>CHECINY_ENERGY_PLAN</x:v>
      </x:c>
      <x:c r="B2479" s="59" t="str">
        <x:v>machine_readable</x:v>
      </x:c>
      <x:c r="C2479" s="59" t="str">
        <x:v>PARTIAL — tekst PDF i schematy</x:v>
      </x:c>
    </x:row>
    <x:row r="2480" ht="30" customHeight="1">
      <x:c r="A2480" s="59" t="str">
        <x:v>CHECINY_ENERGY_PLAN</x:v>
      </x:c>
      <x:c r="B2480" s="59" t="str">
        <x:v>scraping_required</x:v>
      </x:c>
      <x:c r="C2480" s="59" t="str">
        <x:v>NO — bezpośredni PDF; ekstrakcja i kontrola dokumentu</x:v>
      </x:c>
    </x:row>
    <x:row r="2481" ht="30" customHeight="1">
      <x:c r="A2481" s="59" t="str">
        <x:v>CHECINY_ENERGY_PLAN</x:v>
      </x:c>
      <x:c r="B2481" s="59" t="str">
        <x:v>data_quality_score</x:v>
      </x:c>
      <x:c r="C2481" s="59" t="str">
        <x:v>UNKNOWN — nie ustalono</x:v>
      </x:c>
    </x:row>
    <x:row r="2482" ht="30" customHeight="1">
      <x:c r="A2482" s="59" t="str">
        <x:v>CHECINY_ENERGY_PLAN</x:v>
      </x:c>
      <x:c r="B2482" s="59" t="str">
        <x:v>quality_score_status</x:v>
      </x:c>
      <x:c r="C2482" s="59" t="str">
        <x:v>NOT_CALIBRATED — autorytet źródła nie jest procentem kompletności lub trafności.</x:v>
      </x:c>
    </x:row>
    <x:row r="2483" ht="30" customHeight="1">
      <x:c r="A2483" s="59" t="str">
        <x:v>CHECINY_ENERGY_PLAN</x:v>
      </x:c>
      <x:c r="B2483" s="59" t="str">
        <x:v>last_verified</x:v>
      </x:c>
      <x:c r="C2483" s="60" t="n">
        <x:v>46276</x:v>
      </x:c>
    </x:row>
    <x:row r="2484" ht="30" customHeight="1">
      <x:c r="A2484" s="59" t="str">
        <x:v>CHECINY_ENERGY_PLAN</x:v>
      </x:c>
      <x:c r="B2484" s="59" t="str">
        <x:v>last_successful_verification</x:v>
      </x:c>
      <x:c r="C2484" s="60" t="n">
        <x:v>46276</x:v>
      </x:c>
    </x:row>
    <x:row r="2485" ht="30" customHeight="1">
      <x:c r="A2485" s="59" t="str">
        <x:v>CHECINY_ENERGY_PLAN</x:v>
      </x:c>
      <x:c r="B2485" s="59" t="str">
        <x:v>source_date</x:v>
      </x:c>
      <x:c r="C2485" s="59" t="str">
        <x:v>UNKNOWN — nie ustalono</x:v>
      </x:c>
    </x:row>
    <x:row r="2486" ht="30" customHeight="1">
      <x:c r="A2486" s="59" t="str">
        <x:v>CHECINY_ENERGY_PLAN</x:v>
      </x:c>
      <x:c r="B2486" s="59" t="str">
        <x:v>publication_date</x:v>
      </x:c>
      <x:c r="C2486" s="59" t="str">
        <x:v>UNKNOWN — nie ustalono</x:v>
      </x:c>
    </x:row>
    <x:row r="2487" ht="30" customHeight="1">
      <x:c r="A2487" s="59" t="str">
        <x:v>CHECINY_ENERGY_PLAN</x:v>
      </x:c>
      <x:c r="B2487" s="59" t="str">
        <x:v>source_version</x:v>
      </x:c>
      <x:c r="C2487" s="59" t="str">
        <x:v>UNKNOWN — nie ustalono</x:v>
      </x:c>
    </x:row>
    <x:row r="2488" ht="30" customHeight="1">
      <x:c r="A2488" s="59" t="str">
        <x:v>CHECINY_ENERGY_PLAN</x:v>
      </x:c>
      <x:c r="B2488" s="59" t="str">
        <x:v>source_page</x:v>
      </x:c>
      <x:c r="C2488" s="59" t="str">
        <x:v>21–25 (numeracja PDF od 1)</x:v>
      </x:c>
    </x:row>
    <x:row r="2489" ht="30" customHeight="1">
      <x:c r="A2489" s="59" t="str">
        <x:v>CHECINY_ENERGY_PLAN</x:v>
      </x:c>
      <x:c r="B2489" s="59" t="str">
        <x:v>valid_from</x:v>
      </x:c>
      <x:c r="C2489" s="59" t="str">
        <x:v>UNKNOWN — nie ustalono</x:v>
      </x:c>
    </x:row>
    <x:row r="2490" ht="30" customHeight="1">
      <x:c r="A2490" s="59" t="str">
        <x:v>CHECINY_ENERGY_PLAN</x:v>
      </x:c>
      <x:c r="B2490" s="59" t="str">
        <x:v>valid_to</x:v>
      </x:c>
      <x:c r="C2490" s="59" t="str">
        <x:v>UNKNOWN — nie ustalono</x:v>
      </x:c>
    </x:row>
    <x:row r="2491" ht="30" customHeight="1">
      <x:c r="A2491" s="59" t="str">
        <x:v>CHECINY_ENERGY_PLAN</x:v>
      </x:c>
      <x:c r="B2491" s="59" t="str">
        <x:v>current_future_scope</x:v>
      </x:c>
      <x:c r="C2491" s="59" t="str">
        <x:v>SOURCE_DEPENDENT</x:v>
      </x:c>
    </x:row>
    <x:row r="2492" ht="30" customHeight="1">
      <x:c r="A2492" s="59" t="str">
        <x:v>CHECINY_ENERGY_PLAN</x:v>
      </x:c>
      <x:c r="B2492" s="59" t="str">
        <x:v>value_classification_default</x:v>
      </x:c>
      <x:c r="C2492" s="59" t="str">
        <x:v>REPORTED</x:v>
      </x:c>
    </x:row>
    <x:row r="2493" ht="38" customHeight="1">
      <x:c r="A2493" s="59" t="str">
        <x:v>CHECINY_ENERGY_PLAN</x:v>
      </x:c>
      <x:c r="B2493" s="59" t="str">
        <x:v>automation_notes</x:v>
      </x:c>
      <x:c r="C2493" s="59" t="str">
        <x:v>Jednorazowy przegląd; brak zgody na stały scraper wynikającej z samego dostępu. Sprawdzić warunki, robots.txt i limity przed wdrożeniem.</x:v>
      </x:c>
    </x:row>
    <x:row r="2494" ht="30" customHeight="1">
      <x:c r="A2494" s="59" t="str">
        <x:v>CHECINY_ENERGY_PLAN</x:v>
      </x:c>
      <x:c r="B2494" s="59" t="str">
        <x:v>probe_ids</x:v>
      </x:c>
      <x:c r="C2494" s="59" t="str">
        <x:v>[ "CHECINY_ENERGY_PLAN" ]</x:v>
      </x:c>
    </x:row>
    <x:row r="2495" ht="30" customHeight="1">
      <x:c r="A2495" s="59" t="str">
        <x:v>CHECINY_ENERGY_PLAN</x:v>
      </x:c>
      <x:c r="B2495" s="59" t="str">
        <x:v>related_urls</x:v>
      </x:c>
      <x:c r="C2495" s="59" t="str">
        <x:v>[]</x:v>
      </x:c>
    </x:row>
    <x:row r="2496" ht="30" customHeight="1">
      <x:c r="A2496" s="59" t="str">
        <x:v>CHECINY_ENERGY_PLAN</x:v>
      </x:c>
      <x:c r="B2496" s="59" t="str">
        <x:v>source_id</x:v>
      </x:c>
      <x:c r="C2496" s="59" t="str">
        <x:v>CHECINY_ENERGY_PLAN</x:v>
      </x:c>
    </x:row>
    <x:row r="2497" ht="30" customHeight="1">
      <x:c r="A2497" s="59" t="str">
        <x:v>CHECINY_ENERGY_PLAN</x:v>
      </x:c>
      <x:c r="B2497" s="59" t="str">
        <x:v>operator</x:v>
      </x:c>
      <x:c r="C2497" s="59" t="str">
        <x:v>PSE / PGE — informacje przypisane w dokumencie gminy</x:v>
      </x:c>
    </x:row>
    <x:row r="2498" ht="30" customHeight="1">
      <x:c r="A2498" s="59" t="str">
        <x:v>CHECINY_ENERGY_PLAN</x:v>
      </x:c>
      <x:c r="B2498" s="59" t="str">
        <x:v>source_name</x:v>
      </x:c>
      <x:c r="C2498" s="59" t="str">
        <x:v>BIP Chęcin — założenia energetyczne 2025–2027 z perspektywą 2040</x:v>
      </x:c>
    </x:row>
    <x:row r="2499" ht="30" customHeight="1">
      <x:c r="A2499" s="59" t="str">
        <x:v>CHECINY_ENERGY_PLAN</x:v>
      </x:c>
      <x:c r="B2499" s="59" t="str">
        <x:v>url</x:v>
      </x:c>
      <x:c r="C2499" s="59" t="str">
        <x:v>https://checiny.biuletyn.net/fls/bip_pliki/2026_03/BIPF64CD10561EC15Z/PZCEEPG_2025-2027.pdf</x:v>
      </x:c>
    </x:row>
    <x:row r="2500" ht="30" customHeight="1">
      <x:c r="A2500" s="59" t="str">
        <x:v>CHECINY_ENERGY_PLAN</x:v>
      </x:c>
      <x:c r="B2500" s="59" t="str">
        <x:v>data_owner</x:v>
      </x:c>
      <x:c r="C2500" s="59" t="str">
        <x:v>Gmina Chęciny — publikujący dokument; pierwotne dane PSE/PGE</x:v>
      </x:c>
    </x:row>
    <x:row r="2501" ht="30" customHeight="1">
      <x:c r="A2501" s="59" t="str">
        <x:v>CHECINY_ENERGY_PLAN</x:v>
      </x:c>
      <x:c r="B2501" s="59" t="str">
        <x:v>data_category</x:v>
      </x:c>
      <x:c r="C2501" s="59" t="str">
        <x:v>local_grid_and_investments</x:v>
      </x:c>
    </x:row>
    <x:row r="2502" ht="30" customHeight="1">
      <x:c r="A2502" s="59" t="str">
        <x:v>CHECINY_ENERGY_PLAN</x:v>
      </x:c>
      <x:c r="B2502" s="59" t="str">
        <x:v>data_format</x:v>
      </x:c>
      <x:c r="C2502" s="59" t="str">
        <x:v>[ "PDF" ]</x:v>
      </x:c>
    </x:row>
    <x:row r="2503" ht="30" customHeight="1">
      <x:c r="A2503" s="59" t="str">
        <x:v>CHECINY_ENERGY_PLAN</x:v>
      </x:c>
      <x:c r="B2503" s="59" t="str">
        <x:v>verification_status</x:v>
      </x:c>
      <x:c r="C2503" s="59" t="str">
        <x:v>CONTENT_REVIEWED</x:v>
      </x:c>
    </x:row>
    <x:row r="2504" ht="30" customHeight="1">
      <x:c r="A2504" s="59" t="str">
        <x:v>CHECINY_ENERGY_PLAN</x:v>
      </x:c>
      <x:c r="B2504" s="59" t="str">
        <x:v>reliability</x:v>
      </x:c>
      <x:c r="C2504" s="59" t="str">
        <x:v>C</x:v>
      </x:c>
    </x:row>
    <x:row r="2505" ht="30" customHeight="1">
      <x:c r="A2505" s="59" t="str">
        <x:v>CHECINY_ENERGY_PLAN</x:v>
      </x:c>
      <x:c r="B2505" s="59" t="str">
        <x:v>key_fields</x:v>
      </x:c>
      <x:c r="C2505" s="59" t="str">
        <x:v>[ "stacje", "relacje linii", "napięcia", "planowane inwestycje", "operator danych" ]</x:v>
      </x:c>
    </x:row>
    <x:row r="2506" ht="30" customHeight="1">
      <x:c r="A2506" s="59" t="str">
        <x:v>CHECINY_ENERGY_PLAN</x:v>
      </x:c>
      <x:c r="B2506" s="59" t="str">
        <x:v>potential_application</x:v>
      </x:c>
      <x:c r="C2506" s="59" t="str">
        <x:v>Dowody topologii referencyjnej i plany dla Radkowic</x:v>
      </x:c>
    </x:row>
    <x:row r="2507" ht="38" customHeight="1">
      <x:c r="A2507" s="59" t="str">
        <x:v>CHECINY_ENERGY_PLAN</x:v>
      </x:c>
      <x:c r="B2507" s="59" t="str">
        <x:v>known_limitations</x:v>
      </x:c>
      <x:c r="C2507" s="59" t="str">
        <x:v>[ "Mieszane daty wejść i starsze opisy planistyczne", "Nie potwierdza aktualnych granic własności ani obsady transformatorów", "Folder 2026_03 w URL nie jest datą obserwacji wszystkich wartości" ]</x:v>
      </x:c>
    </x:row>
    <x:row r="2508" ht="30" customHeight="1">
      <x:c r="A2508" s="59" t="str">
        <x:v>CHECINY_ENERGY_PLAN</x:v>
      </x:c>
      <x:c r="B2508" s="59" t="str">
        <x:v>priority</x:v>
      </x:c>
      <x:c r="C2508" s="59" t="str">
        <x:v>P0</x:v>
      </x:c>
    </x:row>
    <x:row r="2509" ht="80" customHeight="1">
      <x:c r="A2509" s="59" t="str">
        <x:v>CHECINY_ENERGY_PLAN</x:v>
      </x:c>
      <x:c r="B2509" s="59" t="str">
        <x:v>evidence</x:v>
      </x:c>
      <x:c r="C2509"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0" ht="30" customHeight="1">
      <x:c r="A2510" s="59" t="str">
        <x:v>CHECINY_ENERGY_PLAN</x:v>
      </x:c>
      <x:c r="B2510" s="59" t="str">
        <x:v>retrieval_date</x:v>
      </x:c>
      <x:c r="C2510" s="59" t="str">
        <x:v>[ "2026-09-11T10:42:22.6213255Z" ]</x:v>
      </x:c>
    </x:row>
    <x:row r="2511" ht="30" customHeight="1">
      <x:c r="A2511" s="59" t="str">
        <x:v>PSE_TARIFF_2026</x:v>
      </x:c>
      <x:c r="B2511" s="59" t="str">
        <x:v>country</x:v>
      </x:c>
      <x:c r="C2511" s="59" t="str">
        <x:v>PL</x:v>
      </x:c>
    </x:row>
    <x:row r="2512" ht="30" customHeight="1">
      <x:c r="A2512" s="59" t="str">
        <x:v>PSE_TARIFF_2026</x:v>
      </x:c>
      <x:c r="B2512" s="59" t="str">
        <x:v>geographical_scope</x:v>
      </x:c>
      <x:c r="C2512" s="59" t="str">
        <x:v>Zakres publikacji danego operatora/instytucji; nie założono pełnego pokrycia kraju.</x:v>
      </x:c>
    </x:row>
    <x:row r="2513" ht="30" customHeight="1">
      <x:c r="A2513" s="59" t="str">
        <x:v>PSE_TARIFF_2026</x:v>
      </x:c>
      <x:c r="B2513" s="59" t="str">
        <x:v>grid_voltage</x:v>
      </x:c>
      <x:c r="C2513" s="59" t="str">
        <x:v>[ "UNKNOWN_OR_NOT_APPLICABLE" ]</x:v>
      </x:c>
    </x:row>
    <x:row r="2514" ht="30" customHeight="1">
      <x:c r="A2514" s="59" t="str">
        <x:v>PSE_TARIFF_2026</x:v>
      </x:c>
      <x:c r="B2514" s="59" t="str">
        <x:v>api_available</x:v>
      </x:c>
      <x:c r="C2514" s="59" t="str">
        <x:v>UNKNOWN</x:v>
      </x:c>
    </x:row>
    <x:row r="2515" ht="30" customHeight="1">
      <x:c r="A2515" s="59" t="str">
        <x:v>PSE_TARIFF_2026</x:v>
      </x:c>
      <x:c r="B2515" s="59" t="str">
        <x:v>gis_available</x:v>
      </x:c>
      <x:c r="C2515" s="59" t="str">
        <x:v>UNKNOWN</x:v>
      </x:c>
    </x:row>
    <x:row r="2516" ht="30" customHeight="1">
      <x:c r="A2516" s="59" t="str">
        <x:v>PSE_TARIFF_2026</x:v>
      </x:c>
      <x:c r="B2516" s="59" t="str">
        <x:v>update_frequency</x:v>
      </x:c>
      <x:c r="C2516" s="59" t="str">
        <x:v>UNKNOWN — nie ustalono gwarantowanego cyklu publikacji.</x:v>
      </x:c>
    </x:row>
    <x:row r="2517" ht="30" customHeight="1">
      <x:c r="A2517" s="59" t="str">
        <x:v>PSE_TARIFF_2026</x:v>
      </x:c>
      <x:c r="B2517" s="59" t="str">
        <x:v>historical_data</x:v>
      </x:c>
      <x:c r="C2517" s="59" t="str">
        <x:v>UNKNOWN — własne snapshoty od 10.09.2026, jeśli zapisano próbkę.</x:v>
      </x:c>
    </x:row>
    <x:row r="2518" ht="30" customHeight="1">
      <x:c r="A2518" s="59" t="str">
        <x:v>PSE_TARIFF_2026</x:v>
      </x:c>
      <x:c r="B2518" s="59" t="str">
        <x:v>authentication</x:v>
      </x:c>
      <x:c r="C2518" s="59" t="str">
        <x:v>Odczyt publicznej strony bez konta; nie dowodzi dostępu do wszystkich danych.</x:v>
      </x:c>
    </x:row>
    <x:row r="2519" ht="30" customHeight="1">
      <x:c r="A2519" s="59" t="str">
        <x:v>PSE_TARIFF_2026</x:v>
      </x:c>
      <x:c r="B2519" s="59" t="str">
        <x:v>license</x:v>
      </x:c>
      <x:c r="C2519" s="59" t="str">
        <x:v>UNKNOWN — nie potwierdzono otwartej licencji wybranego zbioru.</x:v>
      </x:c>
    </x:row>
    <x:row r="2520" ht="30" customHeight="1">
      <x:c r="A2520" s="59" t="str">
        <x:v>PSE_TARIFF_2026</x:v>
      </x:c>
      <x:c r="B2520" s="59" t="str">
        <x:v>license_url</x:v>
      </x:c>
      <x:c r="C2520" s="59" t="str">
        <x:v>UNKNOWN — nie ustalono</x:v>
      </x:c>
    </x:row>
    <x:row r="2521" ht="30" customHeight="1">
      <x:c r="A2521" s="59" t="str">
        <x:v>PSE_TARIFF_2026</x:v>
      </x:c>
      <x:c r="B2521" s="59" t="str">
        <x:v>commercial_use</x:v>
      </x:c>
      <x:c r="C2521" s="59" t="str">
        <x:v>UNKNOWN</x:v>
      </x:c>
    </x:row>
    <x:row r="2522" ht="30" customHeight="1">
      <x:c r="A2522" s="59" t="str">
        <x:v>PSE_TARIFF_2026</x:v>
      </x:c>
      <x:c r="B2522" s="59" t="str">
        <x:v>machine_readable</x:v>
      </x:c>
      <x:c r="C2522" s="59" t="str">
        <x:v>PARTIAL — tekst PDF</x:v>
      </x:c>
    </x:row>
    <x:row r="2523" ht="30" customHeight="1">
      <x:c r="A2523" s="59" t="str">
        <x:v>PSE_TARIFF_2026</x:v>
      </x:c>
      <x:c r="B2523" s="59" t="str">
        <x:v>scraping_required</x:v>
      </x:c>
      <x:c r="C2523" s="59" t="str">
        <x:v>NO — bezpośredni PDF</x:v>
      </x:c>
    </x:row>
    <x:row r="2524" ht="30" customHeight="1">
      <x:c r="A2524" s="59" t="str">
        <x:v>PSE_TARIFF_2026</x:v>
      </x:c>
      <x:c r="B2524" s="59" t="str">
        <x:v>data_quality_score</x:v>
      </x:c>
      <x:c r="C2524" s="59" t="str">
        <x:v>UNKNOWN — nie ustalono</x:v>
      </x:c>
    </x:row>
    <x:row r="2525" ht="30" customHeight="1">
      <x:c r="A2525" s="59" t="str">
        <x:v>PSE_TARIFF_2026</x:v>
      </x:c>
      <x:c r="B2525" s="59" t="str">
        <x:v>quality_score_status</x:v>
      </x:c>
      <x:c r="C2525" s="59" t="str">
        <x:v>NOT_CALIBRATED — autorytet źródła nie jest procentem kompletności lub trafności.</x:v>
      </x:c>
    </x:row>
    <x:row r="2526" ht="30" customHeight="1">
      <x:c r="A2526" s="59" t="str">
        <x:v>PSE_TARIFF_2026</x:v>
      </x:c>
      <x:c r="B2526" s="59" t="str">
        <x:v>last_verified</x:v>
      </x:c>
      <x:c r="C2526" s="60" t="n">
        <x:v>46276</x:v>
      </x:c>
    </x:row>
    <x:row r="2527" ht="30" customHeight="1">
      <x:c r="A2527" s="59" t="str">
        <x:v>PSE_TARIFF_2026</x:v>
      </x:c>
      <x:c r="B2527" s="59" t="str">
        <x:v>last_successful_verification</x:v>
      </x:c>
      <x:c r="C2527" s="60" t="n">
        <x:v>46276</x:v>
      </x:c>
    </x:row>
    <x:row r="2528" ht="30" customHeight="1">
      <x:c r="A2528" s="59" t="str">
        <x:v>PSE_TARIFF_2026</x:v>
      </x:c>
      <x:c r="B2528" s="59" t="str">
        <x:v>source_date</x:v>
      </x:c>
      <x:c r="C2528" s="60" t="n">
        <x:v>45994</x:v>
      </x:c>
    </x:row>
    <x:row r="2529" ht="30" customHeight="1">
      <x:c r="A2529" s="59" t="str">
        <x:v>PSE_TARIFF_2026</x:v>
      </x:c>
      <x:c r="B2529" s="59" t="str">
        <x:v>publication_date</x:v>
      </x:c>
      <x:c r="C2529" s="59" t="str">
        <x:v>UNKNOWN — nie ustalono</x:v>
      </x:c>
    </x:row>
    <x:row r="2530" ht="30" customHeight="1">
      <x:c r="A2530" s="59" t="str">
        <x:v>PSE_TARIFF_2026</x:v>
      </x:c>
      <x:c r="B2530" s="59" t="str">
        <x:v>source_version</x:v>
      </x:c>
      <x:c r="C2530" s="59" t="str">
        <x:v>Tekst uwzględniający decyzję z 16.01.2026; data tabel inna</x:v>
      </x:c>
    </x:row>
    <x:row r="2531" ht="30" customHeight="1">
      <x:c r="A2531" s="59" t="str">
        <x:v>PSE_TARIFF_2026</x:v>
      </x:c>
      <x:c r="B2531" s="59" t="str">
        <x:v>source_page</x:v>
      </x:c>
      <x:c r="C2531" s="59" t="str">
        <x:v>42, 43, 46 — tabele 6/7 i ich data stanu</x:v>
      </x:c>
    </x:row>
    <x:row r="2532" ht="30" customHeight="1">
      <x:c r="A2532" s="59" t="str">
        <x:v>PSE_TARIFF_2026</x:v>
      </x:c>
      <x:c r="B2532" s="59" t="str">
        <x:v>valid_from</x:v>
      </x:c>
      <x:c r="C2532" s="59" t="str">
        <x:v>UNKNOWN — nie ustalono</x:v>
      </x:c>
    </x:row>
    <x:row r="2533" ht="30" customHeight="1">
      <x:c r="A2533" s="59" t="str">
        <x:v>PSE_TARIFF_2026</x:v>
      </x:c>
      <x:c r="B2533" s="59" t="str">
        <x:v>valid_to</x:v>
      </x:c>
      <x:c r="C2533" s="59" t="str">
        <x:v>UNKNOWN — nie ustalono</x:v>
      </x:c>
    </x:row>
    <x:row r="2534" ht="30" customHeight="1">
      <x:c r="A2534" s="59" t="str">
        <x:v>PSE_TARIFF_2026</x:v>
      </x:c>
      <x:c r="B2534" s="59" t="str">
        <x:v>current_future_scope</x:v>
      </x:c>
      <x:c r="C2534" s="59" t="str">
        <x:v>SOURCE_DEPENDENT</x:v>
      </x:c>
    </x:row>
    <x:row r="2535" ht="30" customHeight="1">
      <x:c r="A2535" s="59" t="str">
        <x:v>PSE_TARIFF_2026</x:v>
      </x:c>
      <x:c r="B2535" s="59" t="str">
        <x:v>value_classification_default</x:v>
      </x:c>
      <x:c r="C2535" s="59" t="str">
        <x:v>REPORTED</x:v>
      </x:c>
    </x:row>
    <x:row r="2536" ht="38" customHeight="1">
      <x:c r="A2536" s="59" t="str">
        <x:v>PSE_TARIFF_2026</x:v>
      </x:c>
      <x:c r="B2536" s="59" t="str">
        <x:v>automation_notes</x:v>
      </x:c>
      <x:c r="C2536" s="59" t="str">
        <x:v>Jednorazowy przegląd; brak zgody na stały scraper wynikającej z samego dostępu. Sprawdzić warunki, robots.txt i limity przed wdrożeniem.</x:v>
      </x:c>
    </x:row>
    <x:row r="2537" ht="30" customHeight="1">
      <x:c r="A2537" s="59" t="str">
        <x:v>PSE_TARIFF_2026</x:v>
      </x:c>
      <x:c r="B2537" s="59" t="str">
        <x:v>probe_ids</x:v>
      </x:c>
      <x:c r="C2537" s="59" t="str">
        <x:v>[ "PSE_TARIFF_2026" ]</x:v>
      </x:c>
    </x:row>
    <x:row r="2538" ht="30" customHeight="1">
      <x:c r="A2538" s="59" t="str">
        <x:v>PSE_TARIFF_2026</x:v>
      </x:c>
      <x:c r="B2538" s="59" t="str">
        <x:v>related_urls</x:v>
      </x:c>
      <x:c r="C2538" s="59" t="str">
        <x:v>[]</x:v>
      </x:c>
    </x:row>
    <x:row r="2539" ht="30" customHeight="1">
      <x:c r="A2539" s="59" t="str">
        <x:v>PSE_TARIFF_2026</x:v>
      </x:c>
      <x:c r="B2539" s="59" t="str">
        <x:v>source_id</x:v>
      </x:c>
      <x:c r="C2539" s="59" t="str">
        <x:v>PSE_TARIFF_2026</x:v>
      </x:c>
    </x:row>
    <x:row r="2540" ht="30" customHeight="1">
      <x:c r="A2540" s="59" t="str">
        <x:v>PSE_TARIFF_2026</x:v>
      </x:c>
      <x:c r="B2540" s="59" t="str">
        <x:v>operator</x:v>
      </x:c>
      <x:c r="C2540" s="59" t="str">
        <x:v>PSE</x:v>
      </x:c>
    </x:row>
    <x:row r="2541" ht="30" customHeight="1">
      <x:c r="A2541" s="59" t="str">
        <x:v>PSE_TARIFF_2026</x:v>
      </x:c>
      <x:c r="B2541" s="59" t="str">
        <x:v>source_name</x:v>
      </x:c>
      <x:c r="C2541" s="59" t="str">
        <x:v>Taryfa PSE 2026 — odbiorcy i miejsca dostarczania</x:v>
      </x:c>
    </x:row>
    <x:row r="2542" ht="30" customHeight="1">
      <x:c r="A2542" s="59" t="str">
        <x:v>PSE_TARIFF_2026</x:v>
      </x:c>
      <x:c r="B2542" s="59" t="str">
        <x:v>url</x:v>
      </x:c>
      <x:c r="C2542" s="59" t="str">
        <x:v>https://www.pse.pl/documents/20182/7005343691/20260116_Tekst_Taryfy_na_2026_tekst_jednolity.pdf</x:v>
      </x:c>
    </x:row>
    <x:row r="2543" ht="30" customHeight="1">
      <x:c r="A2543" s="59" t="str">
        <x:v>PSE_TARIFF_2026</x:v>
      </x:c>
      <x:c r="B2543" s="59" t="str">
        <x:v>data_owner</x:v>
      </x:c>
      <x:c r="C2543" s="59" t="str">
        <x:v>PSE S.A.</x:v>
      </x:c>
    </x:row>
    <x:row r="2544" ht="30" customHeight="1">
      <x:c r="A2544" s="59" t="str">
        <x:v>PSE_TARIFF_2026</x:v>
      </x:c>
      <x:c r="B2544" s="59" t="str">
        <x:v>data_category</x:v>
      </x:c>
      <x:c r="C2544" s="59" t="str">
        <x:v>operator_delivery_points</x:v>
      </x:c>
    </x:row>
    <x:row r="2545" ht="30" customHeight="1">
      <x:c r="A2545" s="59" t="str">
        <x:v>PSE_TARIFF_2026</x:v>
      </x:c>
      <x:c r="B2545" s="59" t="str">
        <x:v>data_format</x:v>
      </x:c>
      <x:c r="C2545" s="59" t="str">
        <x:v>[ "PDF" ]</x:v>
      </x:c>
    </x:row>
    <x:row r="2546" ht="30" customHeight="1">
      <x:c r="A2546" s="59" t="str">
        <x:v>PSE_TARIFF_2026</x:v>
      </x:c>
      <x:c r="B2546" s="59" t="str">
        <x:v>verification_status</x:v>
      </x:c>
      <x:c r="C2546" s="59" t="str">
        <x:v>CONTENT_REVIEWED</x:v>
      </x:c>
    </x:row>
    <x:row r="2547" ht="30" customHeight="1">
      <x:c r="A2547" s="59" t="str">
        <x:v>PSE_TARIFF_2026</x:v>
      </x:c>
      <x:c r="B2547" s="59" t="str">
        <x:v>reliability</x:v>
      </x:c>
      <x:c r="C2547" s="59" t="str">
        <x:v>B</x:v>
      </x:c>
    </x:row>
    <x:row r="2548" ht="30" customHeight="1">
      <x:c r="A2548" s="59" t="str">
        <x:v>PSE_TARIFF_2026</x:v>
      </x:c>
      <x:c r="B2548" s="59" t="str">
        <x:v>key_fields</x:v>
      </x:c>
      <x:c r="C2548" s="59" t="str">
        <x:v>[ "symbol odbiorcy", "nazwa operatora", "nazwa węzła", "typ MD", "grupa MD" ]</x:v>
      </x:c>
    </x:row>
    <x:row r="2549" ht="30" customHeight="1">
      <x:c r="A2549" s="59" t="str">
        <x:v>PSE_TARIFF_2026</x:v>
      </x:c>
      <x:c r="B2549" s="59" t="str">
        <x:v>potential_application</x:v>
      </x:c>
      <x:c r="C2549" s="59" t="str">
        <x:v>Potwierdzenie relacji taryfowej PGE–Radkowice; nie własność urządzeń</x:v>
      </x:c>
    </x:row>
    <x:row r="2550" ht="38" customHeight="1">
      <x:c r="A2550" s="59" t="str">
        <x:v>PSE_TARIFF_2026</x:v>
      </x:c>
      <x:c r="B2550" s="59" t="str">
        <x:v>known_limitations</x:v>
      </x:c>
      <x:c r="C2550" s="59" t="str">
        <x:v>[ "Tabela może pozostawać niezmieniona mimo zmian umów; nie jest bieżącą telemetrią ani schematem własności", "source_date dotyczy tabel 6 i 7, nie wszystkich rozdziałów taryfy" ]</x:v>
      </x:c>
    </x:row>
    <x:row r="2551" ht="30" customHeight="1">
      <x:c r="A2551" s="59" t="str">
        <x:v>PSE_TARIFF_2026</x:v>
      </x:c>
      <x:c r="B2551" s="59" t="str">
        <x:v>priority</x:v>
      </x:c>
      <x:c r="C2551" s="59" t="str">
        <x:v>P0</x:v>
      </x:c>
    </x:row>
    <x:row r="2552" ht="80" customHeight="1">
      <x:c r="A2552" s="59" t="str">
        <x:v>PSE_TARIFF_2026</x:v>
      </x:c>
      <x:c r="B2552" s="59" t="str">
        <x:v>evidence</x:v>
      </x:c>
      <x:c r="C2552"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3" ht="30" customHeight="1">
      <x:c r="A2553" s="59" t="str">
        <x:v>PSE_TARIFF_2026</x:v>
      </x:c>
      <x:c r="B2553" s="59" t="str">
        <x:v>retrieval_date</x:v>
      </x:c>
      <x:c r="C2553" s="59" t="str">
        <x:v>[ "2026-09-11T10:50:16.7756540Z" ]</x:v>
      </x:c>
    </x:row>
    <x:row r="2554" ht="30" customHeight="1">
      <x:c r="A2554" s="59" t="str">
        <x:v>PGE_RADK_CAPACITY_ATTEMPT</x:v>
      </x:c>
      <x:c r="B2554" s="59" t="str">
        <x:v>country</x:v>
      </x:c>
      <x:c r="C2554" s="59" t="str">
        <x:v>PL</x:v>
      </x:c>
    </x:row>
    <x:row r="2555" ht="30" customHeight="1">
      <x:c r="A2555" s="59" t="str">
        <x:v>PGE_RADK_CAPACITY_ATTEMPT</x:v>
      </x:c>
      <x:c r="B2555" s="59" t="str">
        <x:v>geographical_scope</x:v>
      </x:c>
      <x:c r="C2555" s="59" t="str">
        <x:v>Zakres publikacji danego operatora/instytucji; nie założono pełnego pokrycia kraju.</x:v>
      </x:c>
    </x:row>
    <x:row r="2556" ht="30" customHeight="1">
      <x:c r="A2556" s="59" t="str">
        <x:v>PGE_RADK_CAPACITY_ATTEMPT</x:v>
      </x:c>
      <x:c r="B2556" s="59" t="str">
        <x:v>grid_voltage</x:v>
      </x:c>
      <x:c r="C2556" s="59" t="str">
        <x:v>[ "UNKNOWN_OR_NOT_APPLICABLE" ]</x:v>
      </x:c>
    </x:row>
    <x:row r="2557" ht="30" customHeight="1">
      <x:c r="A2557" s="59" t="str">
        <x:v>PGE_RADK_CAPACITY_ATTEMPT</x:v>
      </x:c>
      <x:c r="B2557" s="59" t="str">
        <x:v>api_available</x:v>
      </x:c>
      <x:c r="C2557" s="59" t="str">
        <x:v>UNKNOWN</x:v>
      </x:c>
    </x:row>
    <x:row r="2558" ht="30" customHeight="1">
      <x:c r="A2558" s="59" t="str">
        <x:v>PGE_RADK_CAPACITY_ATTEMPT</x:v>
      </x:c>
      <x:c r="B2558" s="59" t="str">
        <x:v>gis_available</x:v>
      </x:c>
      <x:c r="C2558" s="59" t="str">
        <x:v>UNKNOWN</x:v>
      </x:c>
    </x:row>
    <x:row r="2559" ht="30" customHeight="1">
      <x:c r="A2559" s="59" t="str">
        <x:v>PGE_RADK_CAPACITY_ATTEMPT</x:v>
      </x:c>
      <x:c r="B2559" s="59" t="str">
        <x:v>update_frequency</x:v>
      </x:c>
      <x:c r="C2559" s="59" t="str">
        <x:v>UNKNOWN — nie ustalono gwarantowanego cyklu publikacji.</x:v>
      </x:c>
    </x:row>
    <x:row r="2560" ht="30" customHeight="1">
      <x:c r="A2560" s="59" t="str">
        <x:v>PGE_RADK_CAPACITY_ATTEMPT</x:v>
      </x:c>
      <x:c r="B2560" s="59" t="str">
        <x:v>historical_data</x:v>
      </x:c>
      <x:c r="C2560" s="59" t="str">
        <x:v>UNKNOWN — własne snapshoty od 10.09.2026, jeśli zapisano próbkę.</x:v>
      </x:c>
    </x:row>
    <x:row r="2561" ht="30" customHeight="1">
      <x:c r="A2561" s="59" t="str">
        <x:v>PGE_RADK_CAPACITY_ATTEMPT</x:v>
      </x:c>
      <x:c r="B2561" s="59" t="str">
        <x:v>authentication</x:v>
      </x:c>
      <x:c r="C2561" s="59" t="str">
        <x:v>UNKNOWN — pełna treść nie została zweryfikowana.</x:v>
      </x:c>
    </x:row>
    <x:row r="2562" ht="30" customHeight="1">
      <x:c r="A2562" s="59" t="str">
        <x:v>PGE_RADK_CAPACITY_ATTEMPT</x:v>
      </x:c>
      <x:c r="B2562" s="59" t="str">
        <x:v>license</x:v>
      </x:c>
      <x:c r="C2562" s="59" t="str">
        <x:v>UNKNOWN — nie potwierdzono otwartej licencji wybranego zbioru.</x:v>
      </x:c>
    </x:row>
    <x:row r="2563" ht="30" customHeight="1">
      <x:c r="A2563" s="59" t="str">
        <x:v>PGE_RADK_CAPACITY_ATTEMPT</x:v>
      </x:c>
      <x:c r="B2563" s="59" t="str">
        <x:v>license_url</x:v>
      </x:c>
      <x:c r="C2563" s="59" t="str">
        <x:v>UNKNOWN — nie ustalono</x:v>
      </x:c>
    </x:row>
    <x:row r="2564" ht="30" customHeight="1">
      <x:c r="A2564" s="59" t="str">
        <x:v>PGE_RADK_CAPACITY_ATTEMPT</x:v>
      </x:c>
      <x:c r="B2564" s="59" t="str">
        <x:v>commercial_use</x:v>
      </x:c>
      <x:c r="C2564" s="59" t="str">
        <x:v>UNKNOWN</x:v>
      </x:c>
    </x:row>
    <x:row r="2565" ht="30" customHeight="1">
      <x:c r="A2565" s="59" t="str">
        <x:v>PGE_RADK_CAPACITY_ATTEMPT</x:v>
      </x:c>
      <x:c r="B2565" s="59" t="str">
        <x:v>machine_readable</x:v>
      </x:c>
      <x:c r="C2565" s="59" t="str">
        <x:v>UNKNOWN</x:v>
      </x:c>
    </x:row>
    <x:row r="2566" ht="30" customHeight="1">
      <x:c r="A2566" s="59" t="str">
        <x:v>PGE_RADK_CAPACITY_ATTEMPT</x:v>
      </x:c>
      <x:c r="B2566" s="59" t="str">
        <x:v>scraping_required</x:v>
      </x:c>
      <x:c r="C2566" s="59" t="str">
        <x:v>UNKNOWN — przed scraperem preferować oficjalny plik lub API.</x:v>
      </x:c>
    </x:row>
    <x:row r="2567" ht="30" customHeight="1">
      <x:c r="A2567" s="59" t="str">
        <x:v>PGE_RADK_CAPACITY_ATTEMPT</x:v>
      </x:c>
      <x:c r="B2567" s="59" t="str">
        <x:v>data_quality_score</x:v>
      </x:c>
      <x:c r="C2567" s="59" t="str">
        <x:v>UNKNOWN — nie ustalono</x:v>
      </x:c>
    </x:row>
    <x:row r="2568" ht="30" customHeight="1">
      <x:c r="A2568" s="59" t="str">
        <x:v>PGE_RADK_CAPACITY_ATTEMPT</x:v>
      </x:c>
      <x:c r="B2568" s="59" t="str">
        <x:v>quality_score_status</x:v>
      </x:c>
      <x:c r="C2568" s="59" t="str">
        <x:v>NOT_CALIBRATED — autorytet źródła nie jest procentem kompletności lub trafności.</x:v>
      </x:c>
    </x:row>
    <x:row r="2569" ht="30" customHeight="1">
      <x:c r="A2569" s="59" t="str">
        <x:v>PGE_RADK_CAPACITY_ATTEMPT</x:v>
      </x:c>
      <x:c r="B2569" s="59" t="str">
        <x:v>last_verified</x:v>
      </x:c>
      <x:c r="C2569" s="60" t="n">
        <x:v>46276</x:v>
      </x:c>
    </x:row>
    <x:row r="2570" ht="30" customHeight="1">
      <x:c r="A2570" s="59" t="str">
        <x:v>PGE_RADK_CAPACITY_ATTEMPT</x:v>
      </x:c>
      <x:c r="B2570" s="59" t="str">
        <x:v>last_successful_verification</x:v>
      </x:c>
      <x:c r="C2570" s="59" t="str">
        <x:v>UNKNOWN — nie ustalono</x:v>
      </x:c>
    </x:row>
    <x:row r="2571" ht="30" customHeight="1">
      <x:c r="A2571" s="59" t="str">
        <x:v>PGE_RADK_CAPACITY_ATTEMPT</x:v>
      </x:c>
      <x:c r="B2571" s="59" t="str">
        <x:v>source_date</x:v>
      </x:c>
      <x:c r="C2571" s="59" t="str">
        <x:v>UNKNOWN — nie ustalono</x:v>
      </x:c>
    </x:row>
    <x:row r="2572" ht="30" customHeight="1">
      <x:c r="A2572" s="59" t="str">
        <x:v>PGE_RADK_CAPACITY_ATTEMPT</x:v>
      </x:c>
      <x:c r="B2572" s="59" t="str">
        <x:v>publication_date</x:v>
      </x:c>
      <x:c r="C2572" s="59" t="str">
        <x:v>UNKNOWN — nie ustalono</x:v>
      </x:c>
    </x:row>
    <x:row r="2573" ht="30" customHeight="1">
      <x:c r="A2573" s="59" t="str">
        <x:v>PGE_RADK_CAPACITY_ATTEMPT</x:v>
      </x:c>
      <x:c r="B2573" s="59" t="str">
        <x:v>source_version</x:v>
      </x:c>
      <x:c r="C2573" s="59" t="str">
        <x:v>UNKNOWN — nie ustalono</x:v>
      </x:c>
    </x:row>
    <x:row r="2574" ht="30" customHeight="1">
      <x:c r="A2574" s="59" t="str">
        <x:v>PGE_RADK_CAPACITY_ATTEMPT</x:v>
      </x:c>
      <x:c r="B2574" s="59" t="str">
        <x:v>source_page</x:v>
      </x:c>
      <x:c r="C2574" s="59" t="str">
        <x:v>UNKNOWN — nie ustalono</x:v>
      </x:c>
    </x:row>
    <x:row r="2575" ht="30" customHeight="1">
      <x:c r="A2575" s="59" t="str">
        <x:v>PGE_RADK_CAPACITY_ATTEMPT</x:v>
      </x:c>
      <x:c r="B2575" s="59" t="str">
        <x:v>valid_from</x:v>
      </x:c>
      <x:c r="C2575" s="59" t="str">
        <x:v>UNKNOWN — nie ustalono</x:v>
      </x:c>
    </x:row>
    <x:row r="2576" ht="30" customHeight="1">
      <x:c r="A2576" s="59" t="str">
        <x:v>PGE_RADK_CAPACITY_ATTEMPT</x:v>
      </x:c>
      <x:c r="B2576" s="59" t="str">
        <x:v>valid_to</x:v>
      </x:c>
      <x:c r="C2576" s="59" t="str">
        <x:v>UNKNOWN — nie ustalono</x:v>
      </x:c>
    </x:row>
    <x:row r="2577" ht="30" customHeight="1">
      <x:c r="A2577" s="59" t="str">
        <x:v>PGE_RADK_CAPACITY_ATTEMPT</x:v>
      </x:c>
      <x:c r="B2577" s="59" t="str">
        <x:v>current_future_scope</x:v>
      </x:c>
      <x:c r="C2577" s="59" t="str">
        <x:v>SOURCE_DEPENDENT</x:v>
      </x:c>
    </x:row>
    <x:row r="2578" ht="30" customHeight="1">
      <x:c r="A2578" s="59" t="str">
        <x:v>PGE_RADK_CAPACITY_ATTEMPT</x:v>
      </x:c>
      <x:c r="B2578" s="59" t="str">
        <x:v>value_classification_default</x:v>
      </x:c>
      <x:c r="C2578" s="59" t="str">
        <x:v>REPORTED</x:v>
      </x:c>
    </x:row>
    <x:row r="2579" ht="38" customHeight="1">
      <x:c r="A2579" s="59" t="str">
        <x:v>PGE_RADK_CAPACITY_ATTEMPT</x:v>
      </x:c>
      <x:c r="B2579" s="59" t="str">
        <x:v>automation_notes</x:v>
      </x:c>
      <x:c r="C2579" s="59" t="str">
        <x:v>Jednorazowy przegląd; brak zgody na stały scraper wynikającej z samego dostępu. Sprawdzić warunki, robots.txt i limity przed wdrożeniem.</x:v>
      </x:c>
    </x:row>
    <x:row r="2580" ht="30" customHeight="1">
      <x:c r="A2580" s="59" t="str">
        <x:v>PGE_RADK_CAPACITY_ATTEMPT</x:v>
      </x:c>
      <x:c r="B2580" s="59" t="str">
        <x:v>probe_ids</x:v>
      </x:c>
      <x:c r="C2580" s="59" t="str">
        <x:v>[]</x:v>
      </x:c>
    </x:row>
    <x:row r="2581" ht="30" customHeight="1">
      <x:c r="A2581" s="59" t="str">
        <x:v>PGE_RADK_CAPACITY_ATTEMPT</x:v>
      </x:c>
      <x:c r="B2581" s="59" t="str">
        <x:v>related_urls</x:v>
      </x:c>
      <x:c r="C2581" s="59" t="str">
        <x:v>[]</x:v>
      </x:c>
    </x:row>
    <x:row r="2582" ht="30" customHeight="1">
      <x:c r="A2582" s="59" t="str">
        <x:v>PGE_RADK_CAPACITY_ATTEMPT</x:v>
      </x:c>
      <x:c r="B2582" s="59" t="str">
        <x:v>source_id</x:v>
      </x:c>
      <x:c r="C2582" s="59" t="str">
        <x:v>PGE_RADK_CAPACITY_ATTEMPT</x:v>
      </x:c>
    </x:row>
    <x:row r="2583" ht="30" customHeight="1">
      <x:c r="A2583" s="59" t="str">
        <x:v>PGE_RADK_CAPACITY_ATTEMPT</x:v>
      </x:c>
      <x:c r="B2583" s="59" t="str">
        <x:v>operator</x:v>
      </x:c>
      <x:c r="C2583" s="59" t="str">
        <x:v>PGE</x:v>
      </x:c>
    </x:row>
    <x:row r="2584" ht="30" customHeight="1">
      <x:c r="A2584" s="59" t="str">
        <x:v>PGE_RADK_CAPACITY_ATTEMPT</x:v>
      </x:c>
      <x:c r="B2584" s="59" t="str">
        <x:v>source_name</x:v>
      </x:c>
      <x:c r="C2584" s="59" t="str">
        <x:v>Próba dostępu do pliku mocy PGE I kw.2026</x:v>
      </x:c>
    </x:row>
    <x:row r="2585" ht="38" customHeight="1">
      <x:c r="A2585" s="59" t="str">
        <x:v>PGE_RADK_CAPACITY_ATTEMPT</x:v>
      </x:c>
      <x:c r="B2585" s="59" t="str">
        <x:v>url</x:v>
      </x:c>
      <x:c r="C2585" s="59" t="str">
        <x:v>https://pgedystrybucja.pl/content/download/71691b9fb622cdf89306ec0dc0c1ac3d/file/dostepne-moce-pge-i-kw-2026.pdf?contentId=2208&amp;inLanguage=pol-PL&amp;version=6</x:v>
      </x:c>
    </x:row>
    <x:row r="2586" ht="30" customHeight="1">
      <x:c r="A2586" s="59" t="str">
        <x:v>PGE_RADK_CAPACITY_ATTEMPT</x:v>
      </x:c>
      <x:c r="B2586" s="59" t="str">
        <x:v>data_owner</x:v>
      </x:c>
      <x:c r="C2586" s="59" t="str">
        <x:v>PGE Dystrybucja S.A.</x:v>
      </x:c>
    </x:row>
    <x:row r="2587" ht="30" customHeight="1">
      <x:c r="A2587" s="59" t="str">
        <x:v>PGE_RADK_CAPACITY_ATTEMPT</x:v>
      </x:c>
      <x:c r="B2587" s="59" t="str">
        <x:v>data_category</x:v>
      </x:c>
      <x:c r="C2587" s="59" t="str">
        <x:v>reported_connection_capacity</x:v>
      </x:c>
    </x:row>
    <x:row r="2588" ht="30" customHeight="1">
      <x:c r="A2588" s="59" t="str">
        <x:v>PGE_RADK_CAPACITY_ATTEMPT</x:v>
      </x:c>
      <x:c r="B2588" s="59" t="str">
        <x:v>data_format</x:v>
      </x:c>
      <x:c r="C2588" s="59" t="str">
        <x:v>[ "PDF — oczekiwany, nie otrzymany" ]</x:v>
      </x:c>
    </x:row>
    <x:row r="2589" ht="30" customHeight="1">
      <x:c r="A2589" s="59" t="str">
        <x:v>PGE_RADK_CAPACITY_ATTEMPT</x:v>
      </x:c>
      <x:c r="B2589" s="59" t="str">
        <x:v>verification_status</x:v>
      </x:c>
      <x:c r="C2589" s="59" t="str">
        <x:v>BLOCKED</x:v>
      </x:c>
    </x:row>
    <x:row r="2590" ht="30" customHeight="1">
      <x:c r="A2590" s="59" t="str">
        <x:v>PGE_RADK_CAPACITY_ATTEMPT</x:v>
      </x:c>
      <x:c r="B2590" s="59" t="str">
        <x:v>reliability</x:v>
      </x:c>
      <x:c r="C2590" s="59" t="str">
        <x:v>B</x:v>
      </x:c>
    </x:row>
    <x:row r="2591" ht="30" customHeight="1">
      <x:c r="A2591" s="59" t="str">
        <x:v>PGE_RADK_CAPACITY_ATTEMPT</x:v>
      </x:c>
      <x:c r="B2591" s="59" t="str">
        <x:v>key_fields</x:v>
      </x:c>
      <x:c r="C2591" s="59" t="str">
        <x:v>[ "UNKNOWN — brak poprawnego pliku" ]</x:v>
      </x:c>
    </x:row>
    <x:row r="2592" ht="30" customHeight="1">
      <x:c r="A2592" s="59" t="str">
        <x:v>PGE_RADK_CAPACITY_ATTEMPT</x:v>
      </x:c>
      <x:c r="B2592" s="59" t="str">
        <x:v>potential_application</x:v>
      </x:c>
      <x:c r="C2592" s="59" t="str">
        <x:v>Kandydat do informacji o grupach mocy PGE po poprawnym odczycie</x:v>
      </x:c>
    </x:row>
    <x:row r="2593" ht="38" customHeight="1">
      <x:c r="A2593" s="59" t="str">
        <x:v>PGE_RADK_CAPACITY_ATTEMPT</x:v>
      </x:c>
      <x:c r="B2593" s="59" t="str">
        <x:v>known_limitations</x:v>
      </x:c>
      <x:c r="C2593" s="59" t="str">
        <x:v>[ "HTTP 200, 346 bajtów, brak sygnatury PDF; nie pobrano wartości mocy", "Dowód próby: data/catalog/pge_radkowice_access_2026-09-11.json" ]</x:v>
      </x:c>
    </x:row>
    <x:row r="2594" ht="30" customHeight="1">
      <x:c r="A2594" s="59" t="str">
        <x:v>PGE_RADK_CAPACITY_ATTEMPT</x:v>
      </x:c>
      <x:c r="B2594" s="59" t="str">
        <x:v>priority</x:v>
      </x:c>
      <x:c r="C2594" s="59" t="str">
        <x:v>P0</x:v>
      </x:c>
    </x:row>
    <x:row r="2595" ht="30" customHeight="1">
      <x:c r="A2595" s="59" t="str">
        <x:v>PGE_RADK_CAPACITY_ATTEMPT</x:v>
      </x:c>
      <x:c r="B2595" s="59" t="str">
        <x:v>evidence</x:v>
      </x:c>
      <x:c r="C2595" s="59" t="str">
        <x:v>[]</x:v>
      </x:c>
    </x:row>
    <x:row r="2596" ht="30" customHeight="1">
      <x:c r="A2596" s="59" t="str">
        <x:v>PGE_RADK_CAPACITY_ATTEMPT</x:v>
      </x:c>
      <x:c r="B2596" s="59" t="str">
        <x:v>retrieval_date</x:v>
      </x:c>
      <x:c r="C2596" s="59" t="str">
        <x:v>[]</x:v>
      </x:c>
    </x:row>
  </x:sheetData>
  <x:pageMargins left="0.7" right="0.7" top="0.75" bottom="0.75" header="0.3" footer="0.3"/>
  <x:tableParts count="1">
    <x:tablePart xmlns:r="http://schemas.openxmlformats.org/officeDocument/2006/relationships" r:id="R3e1853201a8f45b6"/>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30" customHeight="1">
      <x:c r="A36" s="59" t="str">
        <x:v>PGE_EXPORT_DISCOVERY</x:v>
      </x:c>
      <x:c r="B36" s="59" t="str">
        <x:v>Dostęp / treść</x:v>
      </x:c>
      <x:c r="C36" s="59" t="str">
        <x:v>DISCOVERED</x:v>
      </x:c>
      <x:c r="D36" s="59" t="str">
        <x:v>Treść i aktualność niepotwierdzone; nazwa sugeruje historyczny kwartał.</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30" customHeight="1">
      <x:c r="A38" s="59" t="str">
        <x:v>PGE_PLAN_DISCOVERY</x:v>
      </x:c>
      <x:c r="B38" s="59" t="str">
        <x:v>Dostęp / treść</x:v>
      </x:c>
      <x:c r="C38" s="59" t="str">
        <x:v>BLOCKED</x:v>
      </x:c>
      <x:c r="D38" s="59" t="str">
        <x:v>Nie potwierdzono pełnego tekstu ani aktualnego statusu uzgodnienia.</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8" customHeight="1">
      <x:c r="A66" s="59" t="str">
        <x:v>KSE-008</x:v>
      </x:c>
      <x:c r="B66" s="59" t="str">
        <x:v>Zadanie</x:v>
      </x:c>
      <x:c r="C66" s="59" t="str">
        <x:v>Zrobione</x:v>
      </x:c>
      <x:c r="D66" s="59" t="str">
        <x:v>Konflikt dat pozostaje nierozstrzygnięty; ukończono kontrolę i kwarantannę.</x:v>
      </x:c>
      <x:c r="E66" s="59" t="str">
        <x:v>Utrzymać kwarantannę do uzyskania spójnej publikacji lub wyjaśnienia operatora.</x:v>
      </x:c>
    </x:row>
    <x:row r="67" ht="38" customHeight="1">
      <x:c r="A67" s="59" t="str">
        <x:v>KSE-009</x:v>
      </x:c>
      <x:c r="B67" s="59" t="str">
        <x:v>Zadanie</x:v>
      </x:c>
      <x:c r="C67" s="59" t="str">
        <x:v>Zagrożone</x:v>
      </x:c>
      <x:c r="D67" s="59" t="str">
        <x:v>HTTP 200 zwracał stronę odrzucenia zamiast danych.</x:v>
      </x:c>
      <x:c r="E67" s="59" t="str">
        <x:v>Bezpośredni PDF nadal zwraca blokadę (11.09); sprawdzić oficjalny alternatywny kanał lub dokumenty przekazane przez użytkownika.</x:v>
      </x:c>
    </x:row>
    <x:row r="68" ht="38" customHeight="1">
      <x:c r="A68" s="59" t="str">
        <x:v>KSE-010</x:v>
      </x:c>
      <x:c r="B68" s="59" t="str">
        <x:v>Zadanie</x:v>
      </x:c>
      <x:c r="C68" s="59" t="str">
        <x:v>Do zrobienia</x:v>
      </x:c>
      <x:c r="D68" s="59" t="str">
        <x:v>Publiczny dostęp nie rozstrzyga komercyjnego wykorzystania; zastrzeżenia Stoen.</x:v>
      </x:c>
      <x:c r="E68" s="59" t="str">
        <x:v>Sprawdzić podstawę wykorzystania XLSX PSE, portalu inwestycji i BIP Chęcin dla pilota Radkowic.</x:v>
      </x:c>
    </x:row>
    <x:row r="69" ht="38" customHeight="1">
      <x:c r="A69" s="59" t="str">
        <x:v>KSE-011</x:v>
      </x:c>
      <x:c r="B69" s="59" t="str">
        <x:v>Zadanie</x:v>
      </x:c>
      <x:c r="C69" s="59" t="str">
        <x:v>Do zrobienia</x:v>
      </x:c>
      <x:c r="D69" s="59" t="str">
        <x:v>Dostarczenie klucza nie jest dowodem jego działania; test jeszcze niewykonany.</x:v>
      </x:c>
      <x:c r="E69" s="59" t="str">
        <x:v>W odrębnym kroku wykonać małe zapytanie z lokalnym poświadczeniem, bez logowania tokenu.</x:v>
      </x:c>
    </x:row>
    <x:row r="70" ht="38" customHeight="1">
      <x:c r="A70" s="59" t="str">
        <x:v>KSE-013</x:v>
      </x:c>
      <x:c r="B70" s="59" t="str">
        <x:v>Zadanie</x:v>
      </x:c>
      <x:c r="C70" s="59" t="str">
        <x:v>W toku</x:v>
      </x:c>
      <x:c r="D70" s="59" t="str">
        <x:v>Brak potwierdzonych granic własności i kompletnego pipeline PGE; prawa źródeł nadal otwarte.</x:v>
      </x:c>
      <x:c r="E70" s="59" t="str">
        <x:v>Radkowice wybrane badawczo; uzupełnić granice PSE/PGE, źródła 110 kV i podstawę wykorzystania przed zamknięciem zadania.</x:v>
      </x:c>
    </x:row>
    <x:row r="71" ht="38" customHeight="1">
      <x:c r="A71" s="59" t="str">
        <x:v>KSE-029</x:v>
      </x:c>
      <x:c r="B71" s="59" t="str">
        <x:v>Zadanie</x:v>
      </x:c>
      <x:c r="C71" s="59" t="str">
        <x:v>Do zrobienia</x:v>
      </x:c>
      <x:c r="D71" s="59" t="str">
        <x:v>Publiczne dane mogą nie wystarczyć; brak gwarancji osiągalności etapu.</x:v>
      </x:c>
      <x:c r="E71" s="59" t="str">
        <x:v>Ocenić dostęp do parametrów, profili i topologii operatora oraz solverów.</x:v>
      </x:c>
    </x:row>
  </x:sheetData>
  <x:pageMargins left="0.7" right="0.7" top="0.75" bottom="0.75" header="0.3" footer="0.3"/>
  <x:tableParts count="1">
    <x:tablePart xmlns:r="http://schemas.openxmlformats.org/officeDocument/2006/relationships" r:id="R561946f89e794af0"/>
  </x:tableParts>
</x:worksheet>
</file>

<file path=xl/worksheets/sheet8.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38" customHeight="1">
      <x:c r="A7" s="59" t="str">
        <x:v>README.md</x:v>
      </x:c>
      <x:c r="B7" s="59" t="str">
        <x:v>Grid Connection Intelligence - Polska</x:v>
      </x:c>
      <x:c r="C7" s="59" t="str">
        <x:v>Stan na 10.09.2026: zakończony pierwszy przegląd źródeł i prób dostępu. Projekt jest na etapie badań;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0" customHeight="1">
      <x:c r="A9" s="59" t="str">
        <x:v>README.md</x:v>
      </x:c>
      <x:c r="B9" s="59" t="str">
        <x:v>Dokumenty</x:v>
      </x:c>
      <x:c r="C9" s="59" t="str">
        <x:v>- Rejestr TODO (TODO.md) - Raport Excel — generowanie i aktualizacja (docs/project_reporting.md)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66" customHeight="1">
      <x:c r="A12" s="59" t="str">
        <x:v>README.md</x:v>
      </x:c>
      <x:c r="B12" s="59" t="str">
        <x:v>Struktura</x:v>
      </x:c>
      <x:c r="C12" s="59" t="str">
        <x:v>connectors/ rezerwuje miejsce dla źródeł PSE, PGE, ENEA, TAURON, Energa, Stoen, ENTSO-E, BIP i GIS. Nie zawiera jeszcze connectorów produkcyjnych. data/raw/research/2026-09-10/ zawiera niezmieniane próbki źródłowe; data/staging/research/ — podglądy kontrolne PDF. data/catalog/ zawiera rejestr i manifesty pobrań z SHA-256. data/processed/ i data/reference/ pozostają bez danych analitycznych. Nie utworzono fikcyjnej infrastruktury.</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52" customHeight="1">
      <x:c r="A15" s="59" t="str">
        <x:v>README.md</x:v>
      </x:c>
      <x:c r="B15" s="59" t="str">
        <x:v>Odtworzenie kontroli</x:v>
      </x:c>
      <x:c r="C15" s="59" t="str">
        <x:v>Pierwszy skrypt generuje katalog i jego widok Markdown z jawnych notatek data/catalog/source_notes.json. Drugi sprawdza integralność zachowanych próbek, strukturę katalogu i podstawowe formaty danych. Są to narzędzia badawcze, nie pipeline normalizujący dane do modelu sieci.</x:v>
      </x:c>
    </x:row>
    <x:row r="16" ht="52" customHeight="1">
      <x:c r="A16" s="59" t="str">
        <x:v>README.md</x:v>
      </x:c>
      <x:c r="B16" s="59" t="str">
        <x:v>Odtworzenie kontroli</x:v>
      </x:c>
      <x:c r="C16"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17" ht="52" customHeight="1">
      <x:c r="A17" s="59" t="str">
        <x:v>README.md</x:v>
      </x:c>
      <x:c r="B17" s="59" t="str">
        <x:v>Odtworzenie kontroli</x:v>
      </x:c>
      <x:c r="C17" s="59" t="str">
        <x:v>Próbki źródłowe są lokalnym materiałem audytowym i nie są przeznaczone do publikacji w Git. Dostęp techniczny nie stanowi potwierdzenia praw do komercyjnego ponownego wykorzystania. Nie wybrano jeszcze ostatecznej architektury, regionu pilotażowego ani wag scoringu.</x:v>
      </x:c>
    </x:row>
    <x:row r="18" ht="38" customHeight="1">
      <x:c r="A18" s="59" t="str">
        <x:v>README.md</x:v>
      </x:c>
      <x:c r="B18" s="59" t="str">
        <x:v>Odtworzenie kontroli</x:v>
      </x:c>
      <x:c r="C18" s="59" t="str">
        <x:v>Folder _secrets/ jest lokalny i wykluczony z Git, także w podkatalogach. Nie dodawać go przez git add -f ani do archiwów źródeł; poświadczenia nie są danymi badawczymi.</x:v>
      </x:c>
    </x:row>
    <x:row r="19" ht="38" customHeight="1">
      <x:c r="A19" s="59" t="str">
        <x:v>docs/01_data_research.md</x:v>
      </x:c>
      <x:c r="B19" s="59" t="str">
        <x:v>Publiczne dane dla Grid Connection Intelligence w Polsce</x:v>
      </x:c>
      <x:c r="C19" s="59" t="str">
        <x:v>Etap 1 — raport badawczy. Data sprawdzenia źródeł: 10 września 2026 r.</x:v>
      </x:c>
    </x:row>
    <x:row r="20" ht="52" customHeight="1">
      <x:c r="A20" s="59" t="str">
        <x:v>docs/01_data_research.md</x:v>
      </x:c>
      <x:c r="B20" s="59" t="str">
        <x:v>Publiczne dane dla Grid Connection Intelligence w Polsce</x:v>
      </x:c>
      <x:c r="C20"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1" ht="66" customHeight="1">
      <x:c r="A21" s="59" t="str">
        <x:v>docs/01_data_research.md</x:v>
      </x:c>
      <x:c r="B21" s="59" t="str">
        <x:v>1. Executive summary</x:v>
      </x:c>
      <x:c r="C21"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2" ht="66" customHeight="1">
      <x:c r="A22" s="59" t="str">
        <x:v>docs/01_data_research.md</x:v>
      </x:c>
      <x:c r="B22" s="59" t="str">
        <x:v>1. Executive summary</x:v>
      </x:c>
      <x:c r="C22"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3" ht="30" customHeight="1">
      <x:c r="A23" s="59" t="str">
        <x:v>docs/01_data_research.md</x:v>
      </x:c>
      <x:c r="B23" s="59" t="str">
        <x:v>1. Executive summary</x:v>
      </x:c>
      <x:c r="C23" s="59" t="str">
        <x:v>Poziom sieci / Realistyczny produkt z danych publicznych / Granica dokładności</x:v>
      </x:c>
    </x:row>
    <x:row r="24" ht="52" customHeight="1">
      <x:c r="A24" s="59" t="str">
        <x:v>docs/01_data_research.md</x:v>
      </x:c>
      <x:c r="B24" s="59" t="str">
        <x:v>1. Executive summary</x:v>
      </x:c>
      <x:c r="C24"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5" ht="52" customHeight="1">
      <x:c r="A25" s="59" t="str">
        <x:v>docs/01_data_research.md</x:v>
      </x:c>
      <x:c r="B25" s="59" t="str">
        <x:v>1. Executive summary</x:v>
      </x:c>
      <x:c r="C25"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6" ht="52" customHeight="1">
      <x:c r="A26" s="59" t="str">
        <x:v>docs/01_data_research.md</x:v>
      </x:c>
      <x:c r="B26" s="59" t="str">
        <x:v>1. Executive summary</x:v>
      </x:c>
      <x:c r="C26"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7" ht="52" customHeight="1">
      <x:c r="A27" s="59" t="str">
        <x:v>docs/01_data_research.md</x:v>
      </x:c>
      <x:c r="B27" s="59" t="str">
        <x:v>1. Executive summary</x:v>
      </x:c>
      <x:c r="C27"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8" ht="66" customHeight="1">
      <x:c r="A28" s="59" t="str">
        <x:v>docs/01_data_research.md</x:v>
      </x:c>
      <x:c r="B28" s="59" t="str">
        <x:v>1. Executive summary</x:v>
      </x:c>
      <x:c r="C28"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9" ht="52" customHeight="1">
      <x:c r="A29" s="59" t="str">
        <x:v>docs/01_data_research.md</x:v>
      </x:c>
      <x:c r="B29" s="59" t="str">
        <x:v>1. Executive summary</x:v>
      </x:c>
      <x:c r="C29"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0" ht="66" customHeight="1">
      <x:c r="A30" s="59" t="str">
        <x:v>docs/01_data_research.md</x:v>
      </x:c>
      <x:c r="B30" s="59" t="str">
        <x:v>2. Jak wykonano badanie i jak czytać jego wyniki</x:v>
      </x:c>
      <x:c r="C30"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1" ht="30" customHeight="1">
      <x:c r="A31" s="59" t="str">
        <x:v>docs/01_data_research.md</x:v>
      </x:c>
      <x:c r="B31" s="59" t="str">
        <x:v>2. Jak wykonano badanie i jak czytać jego wyniki</x:v>
      </x:c>
      <x:c r="C31" s="59" t="str">
        <x:v>Badanie obejmuje trzy różne rodzaje dowodu:</x:v>
      </x:c>
    </x:row>
    <x:row r="32" ht="66" customHeight="1">
      <x:c r="A32" s="59" t="str">
        <x:v>docs/01_data_research.md</x:v>
      </x:c>
      <x:c r="B32" s="59" t="str">
        <x:v>2. Jak wykonano badanie i jak czytać jego wyniki</x:v>
      </x:c>
      <x:c r="C32"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3" ht="52" customHeight="1">
      <x:c r="A33" s="59" t="str">
        <x:v>docs/01_data_research.md</x:v>
      </x:c>
      <x:c r="B33" s="59" t="str">
        <x:v>2. Jak wykonano badanie i jak czytać jego wyniki</x:v>
      </x:c>
      <x:c r="C33"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4" ht="66" customHeight="1">
      <x:c r="A34" s="59" t="str">
        <x:v>docs/01_data_research.md</x:v>
      </x:c>
      <x:c r="B34" s="59" t="str">
        <x:v>2. Jak wykonano badanie i jak czytać jego wyniki</x:v>
      </x:c>
      <x:c r="C34"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5" ht="38" customHeight="1">
      <x:c r="A35" s="59" t="str">
        <x:v>docs/01_data_research.md</x:v>
      </x:c>
      <x:c r="B35" s="59" t="str">
        <x:v>2. Jak wykonano badanie i jak czytać jego wyniki</x:v>
      </x:c>
      <x:c r="C35"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6" ht="80" customHeight="1">
      <x:c r="A36" s="59" t="str">
        <x:v>docs/01_data_research.md</x:v>
      </x:c>
      <x:c r="B36" s="59" t="str">
        <x:v>3.1. Dane o podmiotach i etapach przyłączenia</x:v>
      </x:c>
      <x:c r="C36"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37" ht="66" customHeight="1">
      <x:c r="A37" s="59" t="str">
        <x:v>docs/01_data_research.md</x:v>
      </x:c>
      <x:c r="B37" s="59" t="str">
        <x:v>3.1. Dane o podmiotach i etapach przyłączenia</x:v>
      </x:c>
      <x:c r="C37"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38" ht="80" customHeight="1">
      <x:c r="A38" s="59" t="str">
        <x:v>docs/01_data_research.md</x:v>
      </x:c>
      <x:c r="B38" s="59" t="str">
        <x:v>3.2. Publikowane moce przyłączeniowe</x:v>
      </x:c>
      <x:c r="C38"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39" ht="38" customHeight="1">
      <x:c r="A39" s="59" t="str">
        <x:v>docs/01_data_research.md</x:v>
      </x:c>
      <x:c r="B39" s="59" t="str">
        <x:v>3.2. Publikowane moce przyłączeniowe</x:v>
      </x:c>
      <x:c r="C39" s="59" t="str">
        <x:v>(https://www.pse.pl/documents/20182/51490/informacja_o_dostepnosci_mocy_przylaczeniowej_do_sieci_przesylowej.pdf/81835e70-c6bb-4ed1-8154-1959a45b44f1).</x:v>
      </x:c>
    </x:row>
    <x:row r="40" ht="80" customHeight="1">
      <x:c r="A40" s="59" t="str">
        <x:v>docs/01_data_research.md</x:v>
      </x:c>
      <x:c r="B40" s="59" t="str">
        <x:v>3.3. API raportowe</x:v>
      </x:c>
      <x:c r="C40"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1" ht="80" customHeight="1">
      <x:c r="A41" s="59" t="str">
        <x:v>docs/01_data_research.md</x:v>
      </x:c>
      <x:c r="B41" s="59" t="str">
        <x:v>3.3. API raportowe</x:v>
      </x:c>
      <x:c r="C41"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2" ht="66" customHeight="1">
      <x:c r="A42" s="59" t="str">
        <x:v>docs/01_data_research.md</x:v>
      </x:c>
      <x:c r="B42" s="59" t="str">
        <x:v>3.4. Topologia i przyszła sieć</x:v>
      </x:c>
      <x:c r="C42"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3" ht="66" customHeight="1">
      <x:c r="A43" s="59" t="str">
        <x:v>docs/01_data_research.md</x:v>
      </x:c>
      <x:c r="B43" s="59" t="str">
        <x:v>3.4. Topologia i przyszła sieć</x:v>
      </x:c>
      <x:c r="C43"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4" ht="80" customHeight="1">
      <x:c r="A44" s="59" t="str">
        <x:v>docs/01_data_research.md</x:v>
      </x:c>
      <x:c r="B44" s="59" t="str">
        <x:v>4.1. Energa-Operator</x:v>
      </x:c>
      <x:c r="C44"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5" ht="66" customHeight="1">
      <x:c r="A45" s="59" t="str">
        <x:v>docs/01_data_research.md</x:v>
      </x:c>
      <x:c r="B45" s="59" t="str">
        <x:v>4.1. Energa-Operator</x:v>
      </x:c>
      <x:c r="C45"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6" ht="66" customHeight="1">
      <x:c r="A46" s="59" t="str">
        <x:v>docs/01_data_research.md</x:v>
      </x:c>
      <x:c r="B46" s="59" t="str">
        <x:v>4.1. Energa-Operator</x:v>
      </x:c>
      <x:c r="C46"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47" ht="52" customHeight="1">
      <x:c r="A47" s="59" t="str">
        <x:v>docs/01_data_research.md</x:v>
      </x:c>
      <x:c r="B47" s="59" t="str">
        <x:v>4.1. Energa-Operator</x:v>
      </x:c>
      <x:c r="C47" s="59" t="str">
        <x:v>Plan 2026–2031 jest opisany jako uzgodniony. Może zasilać rejestr przyszłych inwestycji, lecz planowana data nie jest potwierdzeniem oddania do ruchu. Energa — plan rozwoju i status, sprawdzono 10.09.2026 (https://energa-operator.pl/raporty-i-liczby/plan-rozwoju).</x:v>
      </x:c>
    </x:row>
    <x:row r="48" ht="66" customHeight="1">
      <x:c r="A48" s="59" t="str">
        <x:v>docs/01_data_research.md</x:v>
      </x:c>
      <x:c r="B48" s="59" t="str">
        <x:v>4.2. ENEA Operator</x:v>
      </x:c>
      <x:c r="C48"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49" ht="80" customHeight="1">
      <x:c r="A49" s="59" t="str">
        <x:v>docs/01_data_research.md</x:v>
      </x:c>
      <x:c r="B49" s="59" t="str">
        <x:v>4.2. ENEA Operator</x:v>
      </x:c>
      <x:c r="C49"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0" ht="38" customHeight="1">
      <x:c r="A50" s="59" t="str">
        <x:v>docs/01_data_research.md</x:v>
      </x:c>
      <x:c r="B50" s="59" t="str">
        <x:v>4.2. ENEA Operator</x:v>
      </x:c>
      <x:c r="C50" s="59" t="str">
        <x:v>Plan 2026–2031 jest przedstawiony jako uzgodniony z URE. To źródło inwestycji, nie dynamicznych przepływów. ENEA — plan rozwoju, sprawdzono 10.09.2026 (https://www.operator.enea.pl/plan-rozwoju-enea-operator-na-lata-2026-2031).</x:v>
      </x:c>
    </x:row>
    <x:row r="51" ht="80" customHeight="1">
      <x:c r="A51" s="59" t="str">
        <x:v>docs/01_data_research.md</x:v>
      </x:c>
      <x:c r="B51" s="59" t="str">
        <x:v>4.3. TAURON Dystrybucja</x:v>
      </x:c>
      <x:c r="C51"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2" ht="66" customHeight="1">
      <x:c r="A52" s="59" t="str">
        <x:v>docs/01_data_research.md</x:v>
      </x:c>
      <x:c r="B52" s="59" t="str">
        <x:v>4.3. TAURON Dystrybucja</x:v>
      </x:c>
      <x:c r="C52"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3" ht="52" customHeight="1">
      <x:c r="A53" s="59" t="str">
        <x:v>docs/01_data_research.md</x:v>
      </x:c>
      <x:c r="B53" s="59" t="str">
        <x:v>4.4. Stoen Operator</x:v>
      </x:c>
      <x:c r="C53"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4" ht="66" customHeight="1">
      <x:c r="A54" s="59" t="str">
        <x:v>docs/01_data_research.md</x:v>
      </x:c>
      <x:c r="B54" s="59" t="str">
        <x:v>4.4. Stoen Operator</x:v>
      </x:c>
      <x:c r="C54"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5" ht="66" customHeight="1">
      <x:c r="A55" s="59" t="str">
        <x:v>docs/01_data_research.md</x:v>
      </x:c>
      <x:c r="B55" s="59" t="str">
        <x:v>4.4. Stoen Operator</x:v>
      </x:c>
      <x:c r="C55"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6" ht="94" customHeight="1">
      <x:c r="A56" s="59" t="str">
        <x:v>docs/01_data_research.md</x:v>
      </x:c>
      <x:c r="B56" s="59" t="str">
        <x:v>4.5. PGE Dystrybucja</x:v>
      </x:c>
      <x:c r="C56"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57" ht="66" customHeight="1">
      <x:c r="A57" s="59" t="str">
        <x:v>docs/01_data_research.md</x:v>
      </x:c>
      <x:c r="B57" s="59" t="str">
        <x:v>4.6. Mniejsi operatorzy i pokrycie projektów odbiorczych</x:v>
      </x:c>
      <x:c r="C57"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58" ht="52" customHeight="1">
      <x:c r="A58" s="59" t="str">
        <x:v>docs/01_data_research.md</x:v>
      </x:c>
      <x:c r="B58" s="59" t="str">
        <x:v>4.6. Mniejsi operatorzy i pokrycie projektów odbiorczych</x:v>
      </x:c>
      <x:c r="C58"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59" ht="66" customHeight="1">
      <x:c r="A59" s="59" t="str">
        <x:v>docs/01_data_research.md</x:v>
      </x:c>
      <x:c r="B59" s="59" t="str">
        <x:v>5. Rejestry administracyjne i odkrywanie projektów</x:v>
      </x:c>
      <x:c r="C59"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0" ht="80" customHeight="1">
      <x:c r="A60" s="59" t="str">
        <x:v>docs/01_data_research.md</x:v>
      </x:c>
      <x:c r="B60" s="59" t="str">
        <x:v>5. Rejestry administracyjne i odkrywanie projektów</x:v>
      </x:c>
      <x:c r="C60"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1" ht="52" customHeight="1">
      <x:c r="A61" s="59" t="str">
        <x:v>docs/01_data_research.md</x:v>
      </x:c>
      <x:c r="B61" s="59" t="str">
        <x:v>5. Rejestry administracyjne i odkrywanie projektów</x:v>
      </x:c>
      <x:c r="C61"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2" ht="80" customHeight="1">
      <x:c r="A62" s="59" t="str">
        <x:v>docs/01_data_research.md</x:v>
      </x:c>
      <x:c r="B62" s="59" t="str">
        <x:v>5. Rejestry administracyjne i odkrywanie projektów</x:v>
      </x:c>
      <x:c r="C62"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3" ht="38" customHeight="1">
      <x:c r="A63" s="59" t="str">
        <x:v>docs/01_data_research.md</x:v>
      </x:c>
      <x:c r="B63" s="59" t="str">
        <x:v>6. Dane przestrzenne</x:v>
      </x:c>
      <x:c r="C63" s="59" t="str">
        <x:v>Warstwa GIS może wykluczać ewidentnie problematyczne korytarze i wspierać wybór kandydatów. Nie wyznacza samodzielnie możliwej do uzyskania służebności, warunków przekroczenia drogi ani wykonalności przyłącza.</x:v>
      </x:c>
    </x:row>
    <x:row r="64" ht="30" customHeight="1">
      <x:c r="A64" s="59" t="str">
        <x:v>docs/01_data_research.md</x:v>
      </x:c>
      <x:c r="B64" s="59" t="str">
        <x:v>6. Dane przestrzenne</x:v>
      </x:c>
      <x:c r="C64" s="59" t="str">
        <x:v>Źródło i data kontroli / Potwierdzony interfejs / zawartość / Ograniczenie</x:v>
      </x:c>
    </x:row>
    <x:row r="65" ht="66" customHeight="1">
      <x:c r="A65" s="59" t="str">
        <x:v>docs/01_data_research.md</x:v>
      </x:c>
      <x:c r="B65" s="59" t="str">
        <x:v>6. Dane przestrzenne</x:v>
      </x:c>
      <x:c r="C65"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6" ht="52" customHeight="1">
      <x:c r="A66" s="59" t="str">
        <x:v>docs/01_data_research.md</x:v>
      </x:c>
      <x:c r="B66" s="59" t="str">
        <x:v>6. Dane przestrzenne</x:v>
      </x:c>
      <x:c r="C66" s="59" t="str">
        <x:v>BDOT10k (https://www.geoportal.gov.pl/pl/dane/baza-danych-obiektow-topograficznych-bdot10k/), 10.09.2026 / Pakiety danych i usługa WMS do pobierania; drogi, kolej, obiekty topograficzne / Parametry sieci elektrycznej i stan łączników nie wynikają z topografii</x:v>
      </x:c>
    </x:row>
    <x:row r="67" ht="52" customHeight="1">
      <x:c r="A67" s="59" t="str">
        <x:v>docs/01_data_research.md</x:v>
      </x:c>
      <x:c r="B67" s="59" t="str">
        <x:v>6. Dane przestrzenne</x:v>
      </x:c>
      <x:c r="C67"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68" ht="52" customHeight="1">
      <x:c r="A68" s="59" t="str">
        <x:v>docs/01_data_research.md</x:v>
      </x:c>
      <x:c r="B68" s="59" t="str">
        <x:v>6. Dane przestrzenne</x:v>
      </x:c>
      <x:c r="C68" s="59" t="str">
        <x:v>Ortofotomapa (https://www.geoportal.gov.pl/pl/dane/ortofotomapa-orto/), 10.09.2026 / WMS/WMTS i pobieranie; strona opisuje bezpłatne wykorzystanie / Data zdjęcia różna od daty pobrania; widoczny przewód nie potwierdza napięcia ani połączenia elektrycznego</x:v>
      </x:c>
    </x:row>
    <x:row r="69" ht="38" customHeight="1">
      <x:c r="A69" s="59" t="str">
        <x:v>docs/01_data_research.md</x:v>
      </x:c>
      <x:c r="B69" s="59" t="str">
        <x:v>6. Dane przestrzenne</x:v>
      </x:c>
      <x:c r="C69" s="59" t="str">
        <x:v>NMT (https://www.geoportal.gov.pl/pl/dane/numeryczny-model-terenu-nmt/), 10.09.2026 / Pliki wysokościowe/usługi opisane przez GUGiK / Rozdzielczość, pionowy układ odniesienia i aktualność wymagają zachowania w metadanych</x:v>
      </x:c>
    </x:row>
    <x:row r="70" ht="38" customHeight="1">
      <x:c r="A70" s="59" t="str">
        <x:v>docs/01_data_research.md</x:v>
      </x:c>
      <x:c r="B70" s="59" t="str">
        <x:v>6. Dane przestrzenne</x:v>
      </x:c>
      <x:c r="C70" s="59" t="str">
        <x:v>Integracja MPZP (https://mapy.geoportal.gov.pl/wss/ext/KrajowaIntegracjaMiejscowychPlanowZagospodarowaniaPrzestrzennego?lang=pol), 10.09.2026 / Zintegrowane prezentowanie planów / Obraz mapy nie zastępuje tekstu uchwały i ustaleń konkretnej gminy</x:v>
      </x:c>
    </x:row>
    <x:row r="71" ht="38" customHeight="1">
      <x:c r="A71" s="59" t="str">
        <x:v>docs/01_data_research.md</x:v>
      </x:c>
      <x:c r="B71" s="59" t="str">
        <x:v>6. Dane przestrzenne</x:v>
      </x:c>
      <x:c r="C71" s="59" t="str">
        <x:v>Rejestr Urbanistyczny (https://rejestr-urbanistyczny.gov.pl/published), 10.09.2026 / Otwarty interfejs strony / Nie potwierdzono kompletności, eksportu i stabilnego publicznego API; nie uznano go za gotowy krajowy connector</x:v>
      </x:c>
    </x:row>
    <x:row r="72" ht="52" customHeight="1">
      <x:c r="A72" s="59" t="str">
        <x:v>docs/01_data_research.md</x:v>
      </x:c>
      <x:c r="B72" s="59" t="str">
        <x:v>6. Dane przestrzenne</x:v>
      </x:c>
      <x:c r="C72" s="59" t="str">
        <x:v>GDOŚ WFS (https://sdi.gdos.gov.pl/wfs?SERVICE=WFS&amp;REQUEST=GetCapabilities), 10.09.2026 / Potwierdzone GetCapabilities; chronione obszary i Natura 2000 / Usługa nie zastępuje aktów ustanawiających ochronę; nie przeprowadzono walidacji wszystkich geometrii</x:v>
      </x:c>
    </x:row>
    <x:row r="73" ht="52" customHeight="1">
      <x:c r="A73" s="59" t="str">
        <x:v>docs/01_data_research.md</x:v>
      </x:c>
      <x:c r="B73" s="59" t="str">
        <x:v>6. Dane przestrzenne</x:v>
      </x:c>
      <x:c r="C73"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4" ht="52" customHeight="1">
      <x:c r="A74" s="59" t="str">
        <x:v>docs/01_data_research.md</x:v>
      </x:c>
      <x:c r="B74" s="59" t="str">
        <x:v>6. Dane przestrzenne</x:v>
      </x:c>
      <x:c r="C74"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5" ht="52" customHeight="1">
      <x:c r="A75" s="59" t="str">
        <x:v>docs/01_data_research.md</x:v>
      </x:c>
      <x:c r="B75" s="59" t="str">
        <x:v>6. Dane przestrzenne</x:v>
      </x:c>
      <x:c r="C75"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6" ht="80" customHeight="1">
      <x:c r="A76" s="59" t="str">
        <x:v>docs/01_data_research.md</x:v>
      </x:c>
      <x:c r="B76" s="59" t="str">
        <x:v>7.1. Dane systemowe</x:v>
      </x:c>
      <x:c r="C76"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77" ht="30" customHeight="1">
      <x:c r="A77" s="59" t="str">
        <x:v>docs/01_data_research.md</x:v>
      </x:c>
      <x:c r="B77" s="59" t="str">
        <x:v>7.1. Dane systemowe</x:v>
      </x:c>
      <x:c r="C77" s="59" t="str">
        <x:v>(https://transparencyplatform.zendesk.com/hc/en-us/articles/12783148966036-API-Rate-Limit-Part-1), sprawdzono 10.09.2026.</x:v>
      </x:c>
    </x:row>
    <x:row r="78" ht="52" customHeight="1">
      <x:c r="A78" s="59" t="str">
        <x:v>docs/01_data_research.md</x:v>
      </x:c>
      <x:c r="B78" s="59" t="str">
        <x:v>7.1. Dane systemowe</x:v>
      </x:c>
      <x:c r="C78"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79" ht="94" customHeight="1">
      <x:c r="A79" s="59" t="str">
        <x:v>docs/01_data_research.md</x:v>
      </x:c>
      <x:c r="B79" s="59" t="str">
        <x:v>7.1. Dane systemowe</x:v>
      </x:c>
      <x:c r="C79"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0" ht="30" customHeight="1">
      <x:c r="A80" s="59" t="str">
        <x:v>docs/01_data_research.md</x:v>
      </x:c>
      <x:c r="B80" s="59" t="str">
        <x:v>7.1. Dane systemowe</x:v>
      </x:c>
      <x:c r="C80" s="59" t="str">
        <x:v>Ember — dokumentacja (https://api.ember-energy.org/v1/docs), sprawdzono 10.09.2026.</x:v>
      </x:c>
    </x:row>
    <x:row r="81" ht="66" customHeight="1">
      <x:c r="A81" s="59" t="str">
        <x:v>docs/01_data_research.md</x:v>
      </x:c>
      <x:c r="B81" s="59" t="str">
        <x:v>7.1. Dane systemowe</x:v>
      </x:c>
      <x:c r="C81"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2" ht="80" customHeight="1">
      <x:c r="A82" s="59" t="str">
        <x:v>docs/01_data_research.md</x:v>
      </x:c>
      <x:c r="B82" s="59" t="str">
        <x:v>7.1. Dane systemowe</x:v>
      </x:c>
      <x:c r="C82"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3" ht="38" customHeight="1">
      <x:c r="A83" s="59" t="str">
        <x:v>docs/01_data_research.md</x:v>
      </x:c>
      <x:c r="B83" s="59" t="str">
        <x:v>7.2. Czy istnieje gotowy model topologii Polski?</x:v>
      </x:c>
      <x:c r="C83" s="59" t="str">
        <x:v>Istnieją materiały do zbudowania grafu referencyjnego, ale w badaniu nie potwierdzono gotowego publicznego modelu odpowiadającego bieżącej polskiej sieci operacyjnej i wszystkim potrzebom przyłączeniowym.</x:v>
      </x:c>
    </x:row>
    <x:row r="84" ht="30" customHeight="1">
      <x:c r="A84" s="59" t="str">
        <x:v>docs/01_data_research.md</x:v>
      </x:c>
      <x:c r="B84" s="59" t="str">
        <x:v>7.2. Czy istnieje gotowy model topologii Polski?</x:v>
      </x:c>
      <x:c r="C84" s="59" t="str">
        <x:v>Źródło, sprawdzone 10.09.2026 / Możliwe zastosowanie / Czego nie dowodzi</x:v>
      </x:c>
    </x:row>
    <x:row r="85" ht="38" customHeight="1">
      <x:c r="A85" s="59" t="str">
        <x:v>docs/01_data_research.md</x:v>
      </x:c>
      <x:c r="B85" s="59" t="str">
        <x:v>7.2. Czy istnieje gotowy model topologii Polski?</x:v>
      </x:c>
      <x:c r="C85" s="59" t="str">
        <x:v>ENTSO-E Grid Map (https://www.entsoe.eu/data/map/downloads/) / Mapa przeglądowa sieci przesyłowej; dostępne wydanie opisane jako aktualizowane w 2024 r. / Układu ruchowego i parametrów każdego elementu w 2026 r.</x:v>
      </x:c>
    </x:row>
    <x:row r="86" ht="52" customHeight="1">
      <x:c r="A86" s="59" t="str">
        <x:v>docs/01_data_research.md</x:v>
      </x:c>
      <x:c r="B86" s="59" t="str">
        <x:v>7.2. Czy istnieje gotowy model topologii Polski?</x:v>
      </x:c>
      <x:c r="C86"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87" ht="38" customHeight="1">
      <x:c r="A87" s="59" t="str">
        <x:v>docs/01_data_research.md</x:v>
      </x:c>
      <x:c r="B87" s="59" t="str">
        <x:v>7.2. Czy istnieje gotowy model topologii Polski?</x:v>
      </x:c>
      <x:c r="C87" s="59" t="str">
        <x:v>OpenInfraMap (https://openinframap.org/about) / Czytelny podgląd warstwy energetycznej OSM / Niezależnego potwierdzenia OSM — to wizualizacja tych samych danych</x:v>
      </x:c>
    </x:row>
    <x:row r="88" ht="52" customHeight="1">
      <x:c r="A88" s="59" t="str">
        <x:v>docs/01_data_research.md</x:v>
      </x:c>
      <x:c r="B88" s="59" t="str">
        <x:v>7.2. Czy istnieje gotowy model topologii Polski?</x:v>
      </x:c>
      <x:c r="C88"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89" ht="52" customHeight="1">
      <x:c r="A89" s="59" t="str">
        <x:v>docs/01_data_research.md</x:v>
      </x:c>
      <x:c r="B89" s="59" t="str">
        <x:v>7.2. Czy istnieje gotowy model topologii Polski?</x:v>
      </x:c>
      <x:c r="C89"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0" ht="52" customHeight="1">
      <x:c r="A90" s="59" t="str">
        <x:v>docs/01_data_research.md</x:v>
      </x:c>
      <x:c r="B90" s="59" t="str">
        <x:v>7.2. Czy istnieje gotowy model topologii Polski?</x:v>
      </x:c>
      <x:c r="C90"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1" ht="38" customHeight="1">
      <x:c r="A91" s="59" t="str">
        <x:v>docs/01_data_research.md</x:v>
      </x:c>
      <x:c r="B91" s="59" t="str">
        <x:v>7.3. Biblioteki — ocena przydatności, bez dodawania zależności</x:v>
      </x:c>
      <x:c r="C91" s="59" t="str">
        <x:v>Narzędzie, sprawdzone 10.09.2026 / Zastosowanie po spełnieniu warunków / Decyzja etapu 1</x:v>
      </x:c>
    </x:row>
    <x:row r="92" ht="38" customHeight="1">
      <x:c r="A92" s="59" t="str">
        <x:v>docs/01_data_research.md</x:v>
      </x:c>
      <x:c r="B92" s="59" t="str">
        <x:v>7.3. Biblioteki — ocena przydatności, bez dodawania zależności</x:v>
      </x:c>
      <x:c r="C92" s="59" t="str">
        <x:v>pandapower (https://github.com/e2nIEE/pandapower) / Analiza rozpływów przy kompletnych parametrach i założeniach / Kandydat do późniejszej walidacji; wbudowane przykłady nie są aktualnym modelem Polski</x:v>
      </x:c>
    </x:row>
    <x:row r="93" ht="38" customHeight="1">
      <x:c r="A93" s="59" t="str">
        <x:v>docs/01_data_research.md</x:v>
      </x:c>
      <x:c r="B93" s="59" t="str">
        <x:v>7.3. Biblioteki — ocena przydatności, bez dodawania zależności</x:v>
      </x:c>
      <x:c r="C93" s="59" t="str">
        <x:v>PyPSA-Eur (https://github.com/PyPSA/pypsa-eur) / Scenariusze systemowe i przygotowanie modeli / Przeanalizować metody, zachować licencje poszczególnych danych niezależnie od kodu</x:v>
      </x:c>
    </x:row>
    <x:row r="94" ht="38" customHeight="1">
      <x:c r="A94" s="59" t="str">
        <x:v>docs/01_data_research.md</x:v>
      </x:c>
      <x:c r="B94" s="59" t="str">
        <x:v>7.3. Biblioteki — ocena przydatności, bez dodawania zależności</x:v>
      </x:c>
      <x:c r="C94" s="59" t="str">
        <x:v>GridCal / VeraGrid (https://github.com/SanPen/VeraGrid) / Narzędzia analizy sieci; repozytorium obecnie pod nazwą VeraGrid, licencja MPL-2.0 / Alternatywa do porównania dopiero z rzeczywistym przypadkiem testowym</x:v>
      </x:c>
    </x:row>
    <x:row r="95" ht="38" customHeight="1">
      <x:c r="A95" s="59" t="str">
        <x:v>docs/01_data_research.md</x:v>
      </x:c>
      <x:c r="B95" s="59" t="str">
        <x:v>7.3. Biblioteki — ocena przydatności, bez dodawania zależności</x:v>
      </x:c>
      <x:c r="C95" s="59" t="str">
        <x:v>MATPOWER (https://github.com/MATPOWER/matpower) / Referencyjne obliczenia i przypadki testowe / Benchmark, nie źródło aktualnego KSE</x:v>
      </x:c>
    </x:row>
    <x:row r="96" ht="38" customHeight="1">
      <x:c r="A96" s="59" t="str">
        <x:v>docs/01_data_research.md</x:v>
      </x:c>
      <x:c r="B96" s="59" t="str">
        <x:v>7.3. Biblioteki — ocena przydatności, bez dodawania zależności</x:v>
      </x:c>
      <x:c r="C96" s="59" t="str">
        <x:v>PowerModels.jl (https://github.com/lanl-ansi/PowerModels.jl) / Formułowanie problemów optymalizacji sieci / Dodatkowy stos Julia nie jest uzasadniony dla etapu dokumentacyjnego</x:v>
      </x:c>
    </x:row>
    <x:row r="97" ht="38" customHeight="1">
      <x:c r="A97" s="59" t="str">
        <x:v>docs/01_data_research.md</x:v>
      </x:c>
      <x:c r="B97" s="59" t="str">
        <x:v>7.3. Biblioteki — ocena przydatności, bez dodawania zależności</x:v>
      </x:c>
      <x:c r="C97" s="59" t="str">
        <x:v>Dobór solvera nie usuwa braku danych wejściowych. Warunki licencyjne kodu należy sprawdzać dla przypiętej wersji, a danych — osobno. Nie instalowano tych bibliotek ani nie uruchamiano obliczeń rozpływowych.</x:v>
      </x:c>
    </x:row>
    <x:row r="98" ht="38" customHeight="1">
      <x:c r="A98" s="59" t="str">
        <x:v>docs/01_data_research.md</x:v>
      </x:c>
      <x:c r="B98" s="59" t="str">
        <x:v>8. Czy można odtworzyć project → feeder → GPZ → 110 kV → SE PSE?</x:v>
      </x:c>
      <x:c r="C98" s="59" t="str">
        <x:v>Częściowo, dla wybranych projektów i odcinków. Nie wykazano możliwości kompletnego odtworzenia tego łańcucha w całej Polsce.</x:v>
      </x:c>
    </x:row>
    <x:row r="99" ht="38" customHeight="1">
      <x:c r="A99" s="59" t="str">
        <x:v>docs/01_data_research.md</x:v>
      </x:c>
      <x:c r="B99" s="59" t="str">
        <x:v>8. Czy można odtworzyć project → feeder → GPZ → 110 kV → SE PSE?</x:v>
      </x:c>
      <x:c r="C99" s="59" t="str">
        <x:v>Relacja / Dostępny dowód / Zasada modelowania</x:v>
      </x:c>
    </x:row>
    <x:row r="100" ht="38" customHeight="1">
      <x:c r="A100" s="59" t="str">
        <x:v>docs/01_data_research.md</x:v>
      </x:c>
      <x:c r="B100" s="59" t="str">
        <x:v>8. Czy można odtworzyć project → feeder → GPZ → 110 kV → SE PSE?</x:v>
      </x:c>
      <x:c r="C100" s="59" t="str">
        <x:v>Projekt → punkt wskazany w wykazie / Nazwa stacji/linii, napięcie, etap procedury / Relacja confirmed wyłącznie w zakresie treści dokumentu; WP nie oznacza fizycznego przyłączenia działającego projektu</x:v>
      </x:c>
    </x:row>
    <x:row r="101" ht="38" customHeight="1">
      <x:c r="A101" s="59" t="str">
        <x:v>docs/01_data_research.md</x:v>
      </x:c>
      <x:c r="B101" s="59" t="str">
        <x:v>8. Czy można odtworzyć project → feeder → GPZ → 110 kV → SE PSE?</x:v>
      </x:c>
      <x:c r="C101" s="59" t="str">
        <x:v>Projekt → odpływ SN / Niekiedy dokument lokalny lub techniczne warunki / Przy braku dokumentu unknown; najbliższy przewód nie wystarcza</x:v>
      </x:c>
    </x:row>
    <x:row r="102" ht="38" customHeight="1">
      <x:c r="A102" s="59" t="str">
        <x:v>docs/01_data_research.md</x:v>
      </x:c>
      <x:c r="B102" s="59" t="str">
        <x:v>8. Czy można odtworzyć project → feeder → GPZ → 110 kV → SE PSE?</x:v>
      </x:c>
      <x:c r="C102" s="59" t="str">
        <x:v>Odpływ → GPZ / Lokalne schematy i dane operatora, jeśli dostępne / Sam przebieg linii na mapie zwykle nie rozstrzyga układu zasilania</x:v>
      </x:c>
    </x:row>
    <x:row r="103" ht="38" customHeight="1">
      <x:c r="A103" s="59" t="str">
        <x:v>docs/01_data_research.md</x:v>
      </x:c>
      <x:c r="B103" s="59" t="str">
        <x:v>8. Czy można odtworzyć project → feeder → GPZ → 110 kV → SE PSE?</x:v>
      </x:c>
      <x:c r="C103" s="59" t="str">
        <x:v>GPZ → sieć 110 kV / Dokumenty operatora, mapy i OSM jako pomoc / Rozdzielić dowód przebiegu od połączenia elektrycznego i od bieżącego stanu łączników</x:v>
      </x:c>
    </x:row>
    <x:row r="104" ht="38" customHeight="1">
      <x:c r="A104" s="59" t="str">
        <x:v>docs/01_data_research.md</x:v>
      </x:c>
      <x:c r="B104" s="59" t="str">
        <x:v>8. Czy można odtworzyć project → feeder → GPZ → 110 kV → SE PSE?</x:v>
      </x:c>
      <x:c r="C104" s="59" t="str">
        <x:v>Sieć 110 kV → SE PSE / Wskazane stacje i transformacja, dokumenty inwestycji / Nie przypisywać wszystkich projektów do najbliższej SE PSE; możliwe wiele dróg zasilania</x:v>
      </x:c>
    </x:row>
    <x:row r="105" ht="52" customHeight="1">
      <x:c r="A105" s="59" t="str">
        <x:v>docs/01_data_research.md</x:v>
      </x:c>
      <x:c r="B105" s="59" t="str">
        <x:v>8. Czy można odtworzyć project → feeder → GPZ → 110 kV → SE PSE?</x:v>
      </x:c>
      <x:c r="C105"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6" ht="66" customHeight="1">
      <x:c r="A106" s="59" t="str">
        <x:v>docs/01_data_research.md</x:v>
      </x:c>
      <x:c r="B106" s="59" t="str">
        <x:v>Co można policzyć odpowiedzialnie</x:v>
      </x:c>
      <x:c r="C106"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07" ht="52" customHeight="1">
      <x:c r="A107" s="59" t="str">
        <x:v>docs/01_data_research.md</x:v>
      </x:c>
      <x:c r="B107" s="59" t="str">
        <x:v>Co można policzyć odpowiedzialnie</x:v>
      </x:c>
      <x:c r="C107"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08" ht="52" customHeight="1">
      <x:c r="A108" s="59" t="str">
        <x:v>docs/01_data_research.md</x:v>
      </x:c>
      <x:c r="B108" s="59" t="str">
        <x:v>Czego brakuje do modelu elektrycznego</x:v>
      </x:c>
      <x:c r="C108"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09" ht="52" customHeight="1">
      <x:c r="A109" s="59" t="str">
        <x:v>docs/01_data_research.md</x:v>
      </x:c>
      <x:c r="B109" s="59" t="str">
        <x:v>Czego brakuje do modelu elektrycznego</x:v>
      </x:c>
      <x:c r="C109"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0" ht="66" customHeight="1">
      <x:c r="A110" s="59" t="str">
        <x:v>docs/01_data_research.md</x:v>
      </x:c>
      <x:c r="B110" s="59" t="str">
        <x:v>Estymacje i ich warunki dopuszczenia</x:v>
      </x:c>
      <x:c r="C110"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1" ht="52" customHeight="1">
      <x:c r="A111" s="59" t="str">
        <x:v>docs/01_data_research.md</x:v>
      </x:c>
      <x:c r="B111" s="59" t="str">
        <x:v>Estymacje i ich warunki dopuszczenia</x:v>
      </x:c>
      <x:c r="C111"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2" ht="80" customHeight="1">
      <x:c r="A112" s="59" t="str">
        <x:v>docs/01_data_research.md</x:v>
      </x:c>
      <x:c r="B112" s="59" t="str">
        <x:v>BESS i hybrydy</x:v>
      </x:c>
      <x:c r="C112"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3" ht="38" customHeight="1">
      <x:c r="A113" s="59" t="str">
        <x:v>docs/01_data_research.md</x:v>
      </x:c>
      <x:c r="B113" s="59" t="str">
        <x:v>10. Licencje i możliwość automatyzacji</x:v>
      </x:c>
      <x:c r="C113" s="59" t="str">
        <x:v>Potwierdzono działanie części kanałów technicznych; nie potwierdzono kompletnego prawa do komercyjnego wykorzystania wszystkich potrzebnych danych. To dwa niezależne warunki wejścia do MVP.</x:v>
      </x:c>
    </x:row>
    <x:row r="114" ht="30" customHeight="1">
      <x:c r="A114" s="59" t="str">
        <x:v>docs/01_data_research.md</x:v>
      </x:c>
      <x:c r="B114" s="59" t="str">
        <x:v>10. Licencje i możliwość automatyzacji</x:v>
      </x:c>
      <x:c r="C114" s="59" t="str">
        <x:v>Grupa źródeł / Stan ustaleń prawnych / Konsekwencja</x:v>
      </x:c>
    </x:row>
    <x:row r="115" ht="52" customHeight="1">
      <x:c r="A115" s="59" t="str">
        <x:v>docs/01_data_research.md</x:v>
      </x:c>
      <x:c r="B115" s="59" t="str">
        <x:v>10. Licencje i możliwość automatyzacji</x:v>
      </x:c>
      <x:c r="C115"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6" ht="38" customHeight="1">
      <x:c r="A116" s="59" t="str">
        <x:v>docs/01_data_research.md</x:v>
      </x:c>
      <x:c r="B116" s="59" t="str">
        <x:v>10. Licencje i możliwość automatyzacji</x:v>
      </x:c>
      <x:c r="C116" s="59" t="str">
        <x:v>OSM / OpenInfraMap / Geofabrik / ODbL, obowiązki atrybucji i warunki dla baz pochodnych / Zaprojektować rozdzielenie pochodzenia; nie zakładać, że połączenie z własnymi danymi usuwa zobowiązania</x:v>
      </x:c>
    </x:row>
    <x:row r="117" ht="38" customHeight="1">
      <x:c r="A117" s="59" t="str">
        <x:v>docs/01_data_research.md</x:v>
      </x:c>
      <x:c r="B117" s="59" t="str">
        <x:v>10. Licencje i możliwość automatyzacji</x:v>
      </x:c>
      <x:c r="C117" s="59" t="str">
        <x:v>ENTSO-E / Lista dopuszczonych danych i wyjątków / Sprawdzić konkretny typ danych oraz dostawcę; mapa i API nie mają automatycznie wspólnej licencji</x:v>
      </x:c>
    </x:row>
    <x:row r="118" ht="38" customHeight="1">
      <x:c r="A118" s="59" t="str">
        <x:v>docs/01_data_research.md</x:v>
      </x:c>
      <x:c r="B118" s="59" t="str">
        <x:v>10. Licencje i możliwość automatyzacji</x:v>
      </x:c>
      <x:c r="C118" s="59" t="str">
        <x:v>GUGiK / GDOŚ / Wody Polskie / BDL / Zróżnicowane zasady produktu i dostępu; ortofotomapa ma jasny opis swobodnego użycia / Nie przenosić licencji jednej warstwy na EGiB, wszystkie produkty wodne lub dane właścicielskie</x:v>
      </x:c>
    </x:row>
    <x:row r="119" ht="38" customHeight="1">
      <x:c r="A119" s="59" t="str">
        <x:v>docs/01_data_research.md</x:v>
      </x:c>
      <x:c r="B119" s="59" t="str">
        <x:v>10. Licencje i możliwość automatyzacji</x:v>
      </x:c>
      <x:c r="C119" s="59" t="str">
        <x:v>Copernicus / Warunki produktu i usługi, osobne warunki treści portalu / Sprawdzać wybrany produkt; dostęp do konta i limit usługi nie określają same praw do danych</x:v>
      </x:c>
    </x:row>
    <x:row r="120" ht="38" customHeight="1">
      <x:c r="A120" s="59" t="str">
        <x:v>docs/01_data_research.md</x:v>
      </x:c>
      <x:c r="B120" s="59" t="str">
        <x:v>10. Licencje i możliwość automatyzacji</x:v>
      </x:c>
      <x:c r="C120" s="59" t="str">
        <x:v>Biblioteki i modele / Licencja kodu odrębna od wejściowych danych oraz konkretnego przypadku sieci / Przypiąć wersję i licencję przed zależnością produkcyjną</x:v>
      </x:c>
    </x:row>
    <x:row r="121" ht="66" customHeight="1">
      <x:c r="A121" s="59" t="str">
        <x:v>docs/01_data_research.md</x:v>
      </x:c>
      <x:c r="B121" s="59" t="str">
        <x:v>10. Licencje i możliwość automatyzacji</x:v>
      </x:c>
      <x:c r="C121"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2" ht="38" customHeight="1">
      <x:c r="A122" s="59" t="str">
        <x:v>docs/01_data_research.md</x:v>
      </x:c>
      <x:c r="B122" s="59" t="str">
        <x:v>11. Jak często aktualizować dane</x:v>
      </x:c>
      <x:c r="C122" s="59" t="str">
        <x:v>Poniższe okresy to proponowana polityka przyszłego systemu, a nie pomiar częstotliwości każdego źródła. Rzeczywista częstotliwość publikacji jest opisana osobno w katalogu.</x:v>
      </x:c>
    </x:row>
    <x:row r="123" ht="30" customHeight="1">
      <x:c r="A123" s="59" t="str">
        <x:v>docs/01_data_research.md</x:v>
      </x:c>
      <x:c r="B123" s="59" t="str">
        <x:v>11. Jak często aktualizować dane</x:v>
      </x:c>
      <x:c r="C123" s="59" t="str">
        <x:v>Rodzaj / Proponowane sprawdzanie / Zasada</x:v>
      </x:c>
    </x:row>
    <x:row r="124" ht="38" customHeight="1">
      <x:c r="A124" s="59" t="str">
        <x:v>docs/01_data_research.md</x:v>
      </x:c>
      <x:c r="B124" s="59" t="str">
        <x:v>11. Jak często aktualizować dane</x:v>
      </x:c>
      <x:c r="C124" s="59" t="str">
        <x:v>Wykazy przyłączeń i dostępności / Raz dziennie lekka kontrola strony/wersji, pobranie tylko po zmianie / Snapshot także wtedy, gdy nazwa pliku jest stała; nie zmieniać daty obserwacji przy samym ponownym pobraniu</x:v>
      </x:c>
    </x:row>
    <x:row r="125" ht="38" customHeight="1">
      <x:c r="A125" s="59" t="str">
        <x:v>docs/01_data_research.md</x:v>
      </x:c>
      <x:c r="B125" s="59" t="str">
        <x:v>11. Jak często aktualizować dane</x:v>
      </x:c>
      <x:c r="C125" s="59" t="str">
        <x:v>PSE / ENTSO-E szeregi / Według faktycznej rozdzielczości i potrzeb analizy, z oknem na korekty / Stronicowanie, filtry czasu, cache, retry z backoff i limity; zachować wersje skorygowanych obserwacji</x:v>
      </x:c>
    </x:row>
    <x:row r="126" ht="38" customHeight="1">
      <x:c r="A126" s="59" t="str">
        <x:v>docs/01_data_research.md</x:v>
      </x:c>
      <x:c r="B126" s="59" t="str">
        <x:v>11. Jak często aktualizować dane</x:v>
      </x:c>
      <x:c r="C126" s="59" t="str">
        <x:v>Plany rozwoju i inwestycje / Co tydzień oraz przy publikacji zmian / Osobno projekt, plan uzgodniony i potwierdzenie realizacji</x:v>
      </x:c>
    </x:row>
    <x:row r="127" ht="38" customHeight="1">
      <x:c r="A127" s="59" t="str">
        <x:v>docs/01_data_research.md</x:v>
      </x:c>
      <x:c r="B127" s="59" t="str">
        <x:v>11. Jak często aktualizować dane</x:v>
      </x:c>
      <x:c r="C127" s="59" t="str">
        <x:v>BIP dla pilota / Ostrożna kontrola wybranych serwisów, np. dzienna po uzgodnieniu dostępu / Nowe obwieszczenie nie zmienia automatycznie zaawansowania całego projektu</x:v>
      </x:c>
    </x:row>
    <x:row r="128" ht="38" customHeight="1">
      <x:c r="A128" s="59" t="str">
        <x:v>docs/01_data_research.md</x:v>
      </x:c>
      <x:c r="B128" s="59" t="str">
        <x:v>11. Jak często aktualizować dane</x:v>
      </x:c>
      <x:c r="C128" s="59" t="str">
        <x:v>OSM/GIS topografia / Według wersji dostawcy i potrzeb, zwykle okresowe snapshoty / Nie pobierać ponownie całego kraju do każdego raportu</x:v>
      </x:c>
    </x:row>
    <x:row r="129" ht="52" customHeight="1">
      <x:c r="A129" s="59" t="str">
        <x:v>docs/01_data_research.md</x:v>
      </x:c>
      <x:c r="B129" s="59" t="str">
        <x:v>11. Jak często aktualizować dane</x:v>
      </x:c>
      <x:c r="C129"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0" ht="94" customHeight="1">
      <x:c r="A130" s="59" t="str">
        <x:v>docs/01_data_research.md</x:v>
      </x:c>
      <x:c r="B130" s="59" t="str">
        <x:v>12. Największe luki i sposoby ich zamykania</x:v>
      </x:c>
      <x:c r="C130"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1" ht="52" customHeight="1">
      <x:c r="A131" s="59" t="str">
        <x:v>docs/01_data_research.md</x:v>
      </x:c>
      <x:c r="B131" s="59" t="str">
        <x:v>12. Największe luki i sposoby ich zamykania</x:v>
      </x:c>
      <x:c r="C131"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2" ht="66" customHeight="1">
      <x:c r="A132" s="59" t="str">
        <x:v>docs/01_data_research.md</x:v>
      </x:c>
      <x:c r="B132" s="59" t="str">
        <x:v>13. Rekomendacja po etapie 1</x:v>
      </x:c>
      <x:c r="C132"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3" ht="80" customHeight="1">
      <x:c r="A133" s="59" t="str">
        <x:v>docs/01_data_research.md</x:v>
      </x:c>
      <x:c r="B133" s="59" t="str">
        <x:v>13. Rekomendacja po etapie 1</x:v>
      </x:c>
      <x:c r="C133"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4" ht="66" customHeight="1">
      <x:c r="A134" s="59" t="str">
        <x:v>docs/01_data_research.md</x:v>
      </x:c>
      <x:c r="B134" s="59" t="str">
        <x:v>13. Rekomendacja po etapie 1</x:v>
      </x:c>
      <x:c r="C134"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5" ht="52" customHeight="1">
      <x:c r="A135" s="59" t="str">
        <x:v>docs/01_data_research.md</x:v>
      </x:c>
      <x:c r="B135" s="59" t="str">
        <x:v>13. Rekomendacja po etapie 1</x:v>
      </x:c>
      <x:c r="C135"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6" ht="66" customHeight="1">
      <x:c r="A136" s="59" t="str">
        <x:v>docs/01_data_research.md</x:v>
      </x:c>
      <x:c r="B136" s="59" t="str">
        <x:v>13. Rekomendacja po etapie 1</x:v>
      </x:c>
      <x:c r="C136"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37" ht="38" customHeight="1">
      <x:c r="A137" s="59" t="str">
        <x:v>docs/02_feasibility_matrix.md</x:v>
      </x:c>
      <x:c r="B137" s="59" t="str">
        <x:v>Wstępna macierz wykonalności</x:v>
      </x:c>
      <x:c r="C137" s="59" t="str">
        <x:v>10.09.2026 — wynik badań etapu 1; nie jest deklaracją wdrożonej funkcjonalności. Pełne dowody, daty i linki: raport (01_data_research.md) i katalog (data_sources.md). Identyfikatory poniżej odnoszą się do katalogu JSON.</x:v>
      </x:c>
    </x:row>
    <x:row r="138" ht="52" customHeight="1">
      <x:c r="A138" s="59" t="str">
        <x:v>docs/02_feasibility_matrix.md</x:v>
      </x:c>
      <x:c r="B138" s="59" t="str">
        <x:v>Wstępna macierz wykonalności</x:v>
      </x:c>
      <x:c r="C138"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39" ht="30" customHeight="1">
      <x:c r="A139" s="59" t="str">
        <x:v>docs/02_feasibility_matrix.md</x:v>
      </x:c>
      <x:c r="B139" s="59" t="str">
        <x:v>Wstępna macierz wykonalności</x:v>
      </x:c>
      <x:c r="C139" s="59" t="str">
        <x:v>Moduł / precyzyjnie określona wielkość / Klasa / Dowód i warunek / Ograniczenie / wynik przy braku wejść</x:v>
      </x:c>
    </x:row>
    <x:row r="140" ht="38" customHeight="1">
      <x:c r="A140" s="59" t="str">
        <x:v>docs/02_feasibility_matrix.md</x:v>
      </x:c>
      <x:c r="B140" s="59" t="str">
        <x:v>Wstępna macierz wykonalności</x:v>
      </x:c>
      <x:c r="C140" s="59" t="str">
        <x:v>Wskazane stacje, rozdzielnie i szyny w publikacji PSE / AVAILABLE_DIRECTLY / PSE_API: próbka specwezlow / Nie jest kompletnym grafem ani listą wszystkich GPZ</x:v>
      </x:c>
    </x:row>
    <x:row r="141" ht="38" customHeight="1">
      <x:c r="A141" s="59" t="str">
        <x:v>docs/02_feasibility_matrix.md</x:v>
      </x:c>
      <x:c r="B141" s="59" t="str">
        <x:v>Wstępna macierz wykonalności</x:v>
      </x:c>
      <x:c r="C141" s="59" t="str">
        <x:v>Opublikowane miejsce przyłączenia konkretnego projektu / AVAILABLE_DIRECTLY / PSE_PIPELINE, TAURON_PIPELINE; dokument wskazuje miejsce / Może być nieustalone; WP nie oznacza fizycznego przyłączenia</x:v>
      </x:c>
    </x:row>
    <x:row r="142" ht="38" customHeight="1">
      <x:c r="A142" s="59" t="str">
        <x:v>docs/02_feasibility_matrix.md</x:v>
      </x:c>
      <x:c r="B142" s="59" t="str">
        <x:v>Wstępna macierz wykonalności</x:v>
      </x:c>
      <x:c r="C142" s="59" t="str">
        <x:v>Pełna liczba wszystkich projektów na dowolnym GPZ / NOT_CURRENTLY_AVAILABLE / Nie wykazano kompletności publicznych wykazów i przypisań / Nie przedstawiać znanej części jako pełnej liczby</x:v>
      </x:c>
    </x:row>
    <x:row r="143" ht="38" customHeight="1">
      <x:c r="A143" s="59" t="str">
        <x:v>docs/02_feasibility_matrix.md</x:v>
      </x:c>
      <x:c r="B143" s="59" t="str">
        <x:v>Wstępna macierz wykonalności</x:v>
      </x:c>
      <x:c r="C143" s="59" t="str">
        <x:v>Liczba znanych projektów przypisanych dokumentem do punktu / CALCULABLE / Deduplikacja, spójny snapshot, status i pewność relacji / Raportować pokrycie i projekty nieprzypisane</x:v>
      </x:c>
    </x:row>
    <x:row r="144" ht="38" customHeight="1">
      <x:c r="A144" s="59" t="str">
        <x:v>docs/02_feasibility_matrix.md</x:v>
      </x:c>
      <x:c r="B144" s="59" t="str">
        <x:v>Wstępna macierz wykonalności</x:v>
      </x:c>
      <x:c r="C144" s="59" t="str">
        <x:v>Moc znanych projektów na tym samym punkcie / CALCULABLE / Jawne MW i definicja mocy; PSE_PIPELINE / wykazy OSD / Osobno kierunek, etap, zainstalowana moc i PCC; nie jest przepływem</x:v>
      </x:c>
    </x:row>
    <x:row r="145" ht="38" customHeight="1">
      <x:c r="A145" s="59" t="str">
        <x:v>docs/02_feasibility_matrix.md</x:v>
      </x:c>
      <x:c r="B145" s="59" t="str">
        <x:v>Wstępna macierz wykonalności</x:v>
      </x:c>
      <x:c r="C145" s="59" t="str">
        <x:v>Pełna istniejąca generacja danego GPZ / NOT_CURRENTLY_AVAILABLE / URE_REGISTERS i wykazy operatorów mają różne zakresy / Możliwy częściowy udokumentowany inwentarz</x:v>
      </x:c>
    </x:row>
    <x:row r="146" ht="38" customHeight="1">
      <x:c r="A146" s="59" t="str">
        <x:v>docs/02_feasibility_matrix.md</x:v>
      </x:c>
      <x:c r="B146" s="59" t="str">
        <x:v>Wstępna macierz wykonalności</x:v>
      </x:c>
      <x:c r="C146" s="59" t="str">
        <x:v>Wskazana przez operatora moc przyłączeniowa w jego jednostce raportowania / AVAILABLE_DIRECTLY / PSE_CAPACITY, ENERGA_EXPORT/IMPORT, STOEN_EXPORT/IMPORT / Horyzont, grupa ograniczeń, kierunek i założenia są częścią wartości</x:v>
      </x:c>
    </x:row>
    <x:row r="147" ht="38" customHeight="1">
      <x:c r="A147" s="59" t="str">
        <x:v>docs/02_feasibility_matrix.md</x:v>
      </x:c>
      <x:c r="B147" s="59" t="str">
        <x:v>Wstępna macierz wykonalności</x:v>
      </x:c>
      <x:c r="C147" s="59" t="str">
        <x:v>Niezależna bieżąca wolna moc dowolnego GPZ / NOT_CURRENTLY_AVAILABLE / Brak kompletnej topologii, lokalnych profili i parametrów / value=null, classification=UNKNOWN</x:v>
      </x:c>
    </x:row>
    <x:row r="148" ht="38" customHeight="1">
      <x:c r="A148" s="59" t="str">
        <x:v>docs/02_feasibility_matrix.md</x:v>
      </x:c>
      <x:c r="B148" s="59" t="str">
        <x:v>Wstępna macierz wykonalności</x:v>
      </x:c>
      <x:c r="C148" s="59" t="str">
        <x:v>Moc znamionowa konkretnego transformatora opisana w dokumencie / AVAILABLE_DIRECTLY / Tylko jeśli właściwy dokument podaje parametr i obiekt / Ten research nie zwalidował pełnego inwentarza; brak wartości = UNKNOWN</x:v>
      </x:c>
    </x:row>
    <x:row r="149" ht="38" customHeight="1">
      <x:c r="A149" s="59" t="str">
        <x:v>docs/02_feasibility_matrix.md</x:v>
      </x:c>
      <x:c r="B149" s="59" t="str">
        <x:v>Wstępna macierz wykonalności</x:v>
      </x:c>
      <x:c r="C149" s="59" t="str">
        <x:v>Krajowy kompletny rejestr mocy transformatorów GPZ / NOT_CURRENTLY_AVAILABLE / Nie znaleziono kompletnego otwartego zbioru w badanym zakresie / Nie wnioskować z napięcia, zdjęcia lub typowej konstrukcji</x:v>
      </x:c>
    </x:row>
    <x:row r="150" ht="38" customHeight="1">
      <x:c r="A150" s="59" t="str">
        <x:v>docs/02_feasibility_matrix.md</x:v>
      </x:c>
      <x:c r="B150" s="59" t="str">
        <x:v>Wstępna macierz wykonalności</x:v>
      </x:c>
      <x:c r="C150" s="59" t="str">
        <x:v>Rzeczywiste obciążenie dowolnego transformatora GPZ / NOT_CURRENTLY_AVAILABLE / Brak publicznego pełnego pokrycia telemetrią / Moc znamionowa i suma PV nie wystarczą</x:v>
      </x:c>
    </x:row>
    <x:row r="151" ht="38" customHeight="1">
      <x:c r="A151" s="59" t="str">
        <x:v>docs/02_feasibility_matrix.md</x:v>
      </x:c>
      <x:c r="B151" s="59" t="str">
        <x:v>Wstępna macierz wykonalności</x:v>
      </x:c>
      <x:c r="C151" s="59" t="str">
        <x:v>Obciążenie dowolnej linii 110 kV / NOT_CURRENTLY_AVAILABLE / Brak parametrów i bieżącego układu/profili / Mapy linii nie pozwalają tego wyliczyć</x:v>
      </x:c>
    </x:row>
    <x:row r="152" ht="38" customHeight="1">
      <x:c r="A152" s="59" t="str">
        <x:v>docs/02_feasibility_matrix.md</x:v>
      </x:c>
      <x:c r="B152" s="59" t="str">
        <x:v>Wstępna macierz wykonalności</x:v>
      </x:c>
      <x:c r="C152" s="59" t="str">
        <x:v>Dane o bilansie i generacji na poziomie KSE / AVAILABLE_DIRECTLY / PSE_API; Energy-Charts jako dodatkowe źródło / Nie przenosić na lokalny GPZ</x:v>
      </x:c>
    </x:row>
    <x:row r="153" ht="38" customHeight="1">
      <x:c r="A153" s="59" t="str">
        <x:v>docs/02_feasibility_matrix.md</x:v>
      </x:c>
      <x:c r="B153" s="59" t="str">
        <x:v>Wstępna macierz wykonalności</x:v>
      </x:c>
      <x:c r="C153" s="59" t="str">
        <x:v>Raportowane redysponowanie z rozróżnieniem przyczyny / AVAILABLE_DIRECTLY / PSE_API poze-redoze, schemat i próbka / Lokalizacja ograniczenia nie wynika z agregatu; null nie jest zerem</x:v>
      </x:c>
    </x:row>
    <x:row r="154" ht="38" customHeight="1">
      <x:c r="A154" s="59" t="str">
        <x:v>docs/02_feasibility_matrix.md</x:v>
      </x:c>
      <x:c r="B154" s="59" t="str">
        <x:v>Wstępna macierz wykonalności</x:v>
      </x:c>
      <x:c r="C154" s="59" t="str">
        <x:v>Congestion konkretnego elementu w dowolnej lokalizacji / NOT_CURRENTLY_AVAILABLE / Brak powszechnego lokalnego dowodu / Możliwy opis udokumentowanego ograniczenia, bez udawanej mapy przeciążeń</x:v>
      </x:c>
    </x:row>
    <x:row r="155" ht="38" customHeight="1">
      <x:c r="A155" s="59" t="str">
        <x:v>docs/02_feasibility_matrix.md</x:v>
      </x:c>
      <x:c r="B155" s="59" t="str">
        <x:v>Wstępna macierz wykonalności</x:v>
      </x:c>
      <x:c r="C155" s="59" t="str">
        <x:v>Moc eksportowa/importowa BESS jako osobne pola projektu / AVAILABLE_DIRECTLY / PSE_PIPELINE i kierunkowe wykazy w badanym zakresie / Dostępność konkretnego pola zależy od rekordu; brak MWh nie uzupełniać domysłem</x:v>
      </x:c>
    </x:row>
    <x:row r="156" ht="38" customHeight="1">
      <x:c r="A156" s="59" t="str">
        <x:v>docs/02_feasibility_matrix.md</x:v>
      </x:c>
      <x:c r="B156" s="59" t="str">
        <x:v>Wstępna macierz wykonalności</x:v>
      </x:c>
      <x:c r="C156" s="59" t="str">
        <x:v>Czas magazynowania przy znanych MWh i mocy rozładowania / CALCULABLE / MWh / MW, dodatni mianownik, jawne znaczenie mocy i pojemności / Wymaga zgodnych nominalnych/użytecznych wartości; nie oznacza profilu pracy</x:v>
      </x:c>
    </x:row>
    <x:row r="157" ht="38" customHeight="1">
      <x:c r="A157" s="59" t="str">
        <x:v>docs/02_feasibility_matrix.md</x:v>
      </x:c>
      <x:c r="B157" s="59" t="str">
        <x:v>Wstępna macierz wykonalności</x:v>
      </x:c>
      <x:c r="C157" s="59" t="str">
        <x:v>Techniczna możliwość przyłączenia dowolnego BESS / NOT_CURRENTLY_AVAILABLE / Osobne import/eksport nie zastępują pełnej analizy sieci / Możliwy screening przesłanek dla obu kierunków</x:v>
      </x:c>
    </x:row>
    <x:row r="158" ht="38" customHeight="1">
      <x:c r="A158" s="59" t="str">
        <x:v>docs/02_feasibility_matrix.md</x:v>
      </x:c>
      <x:c r="B158" s="59" t="str">
        <x:v>Wstępna macierz wykonalności</x:v>
      </x:c>
      <x:c r="C158" s="59" t="str">
        <x:v>Scenariuszowy profil generacji PV/Wind / ESTIMABLE / Potrzebne parametry instalacji, pogoda, metoda i walidacja / Jeszcze nie wdrożono ani nie zwalidowano lokalnego modelu profili</x:v>
      </x:c>
    </x:row>
    <x:row r="159" ht="38" customHeight="1">
      <x:c r="A159" s="59" t="str">
        <x:v>docs/02_feasibility_matrix.md</x:v>
      </x:c>
      <x:c r="B159" s="59" t="str">
        <x:v>Wstępna macierz wykonalności</x:v>
      </x:c>
      <x:c r="C159" s="59" t="str">
        <x:v>Zastępcza lokalizacja/relacja sieciowa / ESTIMABLE / Kilka zgodnych dowodów; wynik relacji oznaczony INFERRED / Samo najbliższe GPZ nie wystarcza; konflikt zachować</x:v>
      </x:c>
    </x:row>
    <x:row r="160" ht="38" customHeight="1">
      <x:c r="A160" s="59" t="str">
        <x:v>docs/02_feasibility_matrix.md</x:v>
      </x:c>
      <x:c r="B160" s="59" t="str">
        <x:v>Wstępna macierz wykonalności</x:v>
      </x:c>
      <x:c r="C160" s="59" t="str">
        <x:v>Pełny łańcuch project–feeder–GPZ–PSE dla każdego projektu / NOT_CURRENTLY_AVAILABLE / Fragmenty dokumentacyjne + pomocnicza geometria / Dopuszczalne nieznane odcinki grafu</x:v>
      </x:c>
    </x:row>
    <x:row r="161" ht="38" customHeight="1">
      <x:c r="A161" s="59" t="str">
        <x:v>docs/02_feasibility_matrix.md</x:v>
      </x:c>
      <x:c r="B161" s="59" t="str">
        <x:v>Wstępna macierz wykonalności</x:v>
      </x:c>
      <x:c r="C161" s="59" t="str">
        <x:v>Udokumentowane planowane inwestycje / AVAILABLE_DIRECTLY / PSE_PLAN, ENERGA_PLAN, ENEA_PLAN / Projekt/uzgodnienie/realizacja to odrębne statusy</x:v>
      </x:c>
    </x:row>
    <x:row r="162" ht="38" customHeight="1">
      <x:c r="A162" s="59" t="str">
        <x:v>docs/02_feasibility_matrix.md</x:v>
      </x:c>
      <x:c r="B162" s="59" t="str">
        <x:v>Wstępna macierz wykonalności</x:v>
      </x:c>
      <x:c r="C162" s="59" t="str">
        <x:v>Przyszła dostępna moc z konkretnego wariantu publikacji / AVAILABLE_DIRECTLY / Jeśli operator podał wartość, datę i założenia; PSE_CAPACITY / Nie wyliczać prostym dodaniem MVA inwestycji do obecnych MW</x:v>
      </x:c>
    </x:row>
    <x:row r="163" ht="38" customHeight="1">
      <x:c r="A163" s="59" t="str">
        <x:v>docs/02_feasibility_matrix.md</x:v>
      </x:c>
      <x:c r="B163" s="59" t="str">
        <x:v>Wstępna macierz wykonalności</x:v>
      </x:c>
      <x:c r="C163" s="59" t="str">
        <x:v>Przyszła fizyczna dostępność każdego punktu / NOT_CURRENTLY_AVAILABLE / Brak kompletnych przyszłych profili, topologii i realizacji planów / Możliwa narracja wariantowa, nie gwarancja</x:v>
      </x:c>
    </x:row>
    <x:row r="164" ht="38" customHeight="1">
      <x:c r="A164" s="59" t="str">
        <x:v>docs/02_feasibility_matrix.md</x:v>
      </x:c>
      <x:c r="B164" s="59" t="str">
        <x:v>Wstępna macierz wykonalności</x:v>
      </x:c>
      <x:c r="C164" s="59" t="str">
        <x:v>Potencjalne korytarze i przecięcia ograniczeń GIS / CALCULABLE / Zweryfikowana geometria, CRS i aktualne warstwy / Nie jest prawem do gruntu ani pełną wykonalnością trasy</x:v>
      </x:c>
    </x:row>
    <x:row r="165" ht="38" customHeight="1">
      <x:c r="A165" s="59" t="str">
        <x:v>docs/02_feasibility_matrix.md</x:v>
      </x:c>
      <x:c r="B165" s="59" t="str">
        <x:v>Wstępna macierz wykonalności</x:v>
      </x:c>
      <x:c r="C165" s="59" t="str">
        <x:v>Rzeczywista możliwość pozyskania trasy przyłącza / NOT_CURRENTLY_AVAILABLE / Potrzebne prawa do nieruchomości, uzgodnienia i projekt techniczny / Publiczne działki i WMS nie wystarczą</x:v>
      </x:c>
    </x:row>
    <x:row r="166" ht="38" customHeight="1">
      <x:c r="A166" s="59" t="str">
        <x:v>docs/02_feasibility_matrix.md</x:v>
      </x:c>
      <x:c r="B166" s="59" t="str">
        <x:v>Wstępna macierz wykonalności</x:v>
      </x:c>
      <x:c r="C166" s="59" t="str">
        <x:v>Grid Connection Score 0–100 o zwalidowanej trafności / NOT_CURRENTLY_AVAILABLE / Nie skalibrowano wag, celu i zbioru referencyjnego / Nie wyświetlać arbitralnej liczby</x:v>
      </x:c>
    </x:row>
    <x:row r="167" ht="38" customHeight="1">
      <x:c r="A167" s="59" t="str">
        <x:v>docs/02_feasibility_matrix.md</x:v>
      </x:c>
      <x:c r="B167" s="59" t="str">
        <x:v>Wstępna macierz wykonalności</x:v>
      </x:c>
      <x:c r="C167" s="59" t="str">
        <x:v>Procentowe prawdopodobieństwo uzyskania WP / NOT_CURRENTLY_AVAILABLE / Brak reprezentatywnych etykiet wyników i wystarczających predyktorów / Nie utożsamiać historycznego udziału odmów z szansą konkretnego projektu</x:v>
      </x:c>
    </x:row>
    <x:row r="168" ht="38" customHeight="1">
      <x:c r="A168" s="59" t="str">
        <x:v>docs/02_feasibility_matrix.md</x:v>
      </x:c>
      <x:c r="B168" s="59" t="str">
        <x:v>Wstępna macierz wykonalności</x:v>
      </x:c>
      <x:c r="C168" s="59" t="str">
        <x:v>Historia wiedzy od rozpoczęcia archiwizacji / CALCULABLE / Snapshoty, manifesty, wersje normalizacji i metody / Nie odtworzy brakujących historycznych źródeł sprzed archiwizacji</x:v>
      </x:c>
    </x:row>
    <x:row r="169" ht="38" customHeight="1">
      <x:c r="A169" s="59" t="str">
        <x:v>docs/02_feasibility_matrix.md</x:v>
      </x:c>
      <x:c r="B169" s="59" t="str">
        <x:v>Wstępna macierz wykonalności</x:v>
      </x:c>
      <x:c r="C169" s="59" t="str">
        <x:v>Najważniejsze rozróżnienie: wiarygodne przepisanie wartości operatora jest możliwe znacznie wcześniej niż wiarygodne obliczenie tej samej wielkości samodzielnie. Produkt powinien wyraźnie pokazywać, którą czynność wykonał.</x:v>
      </x:c>
    </x:row>
    <x:row r="170" ht="30" customHeight="1">
      <x:c r="A170" s="59" t="str">
        <x:v>docs/03_system_architecture.md</x:v>
      </x:c>
      <x:c r="B170" s="59" t="str">
        <x:v>Kierunek architektury po researchu</x:v>
      </x:c>
      <x:c r="C170" s="59" t="str">
        <x:v>10.09.2026 — propozycja do etapu 2, bez instalacji bazy i bez wyboru ostatecznego stosu.</x:v>
      </x:c>
    </x:row>
    <x:row r="171" ht="52" customHeight="1">
      <x:c r="A171" s="59" t="str">
        <x:v>docs/03_system_architecture.md</x:v>
      </x:c>
      <x:c r="B171" s="59" t="str">
        <x:v>Kierunek architektury po researchu</x:v>
      </x:c>
      <x:c r="C171"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72" ht="30" customHeight="1">
      <x:c r="A172" s="59" t="str">
        <x:v>docs/03_system_architecture.md</x:v>
      </x:c>
      <x:c r="B172" s="59" t="str">
        <x:v>Kierunek architektury po researchu</x:v>
      </x:c>
      <x:c r="C172" s="59" t="str">
        <x:v>Wariant / Korzyść dla projektu / Koszt / ograniczenie / Wstępna ocena</x:v>
      </x:c>
    </x:row>
    <x:row r="173" ht="38" customHeight="1">
      <x:c r="A173" s="59" t="str">
        <x:v>docs/03_system_architecture.md</x:v>
      </x:c>
      <x:c r="B173" s="59" t="str">
        <x:v>Kierunek architektury po researchu</x:v>
      </x:c>
      <x:c r="C173" s="59" t="str">
        <x:v>PostgreSQL + PostGIS / Jeden magazyn danych domenowych, źródeł, historii i geometrii; graf jako węzły/krawędzie / Złożone przejścia grafowe trzeba świadomie zaprojektować / Preferowany kandydat MVP</x:v>
      </x:c>
    </x:row>
    <x:row r="174" ht="38" customHeight="1">
      <x:c r="A174" s="59" t="str">
        <x:v>docs/03_system_architecture.md</x:v>
      </x:c>
      <x:c r="B174" s="59" t="str">
        <x:v>Kierunek architektury po researchu</x:v>
      </x:c>
      <x:c r="C174" s="59" t="str">
        <x:v>PostgreSQL + PostGIS + pgRouting / Algorytmy trasowania/analizy grafowej w tym samym środowisku / Kolejne rozszerzenie; koszt grafu nie jest modelem przepływu energii / Dodać tylko dla uzasadnionego zapytania lub warstwy trasowej</x:v>
      </x:c>
    </x:row>
    <x:row r="175" ht="38" customHeight="1">
      <x:c r="A175" s="59" t="str">
        <x:v>docs/03_system_architecture.md</x:v>
      </x:c>
      <x:c r="B175" s="59" t="str">
        <x:v>Kierunek architektury po researchu</x:v>
      </x:c>
      <x:c r="C175" s="59" t="str">
        <x:v>Neo4j / Naturalna reprezentacja węzłów i relacji z właściwościami / Wymaga oceny obsługi historii, GIS, edycji/licencji i utrzymania / Brak potrzeby wykazanej badaniem danych</x:v>
      </x:c>
    </x:row>
    <x:row r="176" ht="38" customHeight="1">
      <x:c r="A176" s="59" t="str">
        <x:v>docs/03_system_architecture.md</x:v>
      </x:c>
      <x:c r="B176" s="59" t="str">
        <x:v>Kierunek architektury po researchu</x:v>
      </x:c>
      <x:c r="C176" s="59" t="str">
        <x:v>PostgreSQL/PostGIS + Neo4j / Osobna projekcja do intensywnej eksploracji grafu / Synchronizacja dwóch magazynów, ryzyko niespójności i trudniejszy audyt / Odłożyć do czasu mierzalnej potrzeby</x:v>
      </x:c>
    </x:row>
    <x:row r="177" ht="66" customHeight="1">
      <x:c r="A177" s="59" t="str">
        <x:v>docs/03_system_architecture.md</x:v>
      </x:c>
      <x:c r="B177" s="59" t="str">
        <x:v>Kierunek architektury po researchu</x:v>
      </x:c>
      <x:c r="C177"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78" ht="52" customHeight="1">
      <x:c r="A178" s="59" t="str">
        <x:v>docs/03_system_architecture.md</x:v>
      </x:c>
      <x:c r="B178" s="59" t="str">
        <x:v>Przepływ danych do zaprojektowania</x:v>
      </x:c>
      <x:c r="C178"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79" ht="52" customHeight="1">
      <x:c r="A179" s="59" t="str">
        <x:v>docs/03_system_architecture.md</x:v>
      </x:c>
      <x:c r="B179" s="59" t="str">
        <x:v>Przepływ danych do zaprojektowania</x:v>
      </x:c>
      <x:c r="C179"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80" ht="52" customHeight="1">
      <x:c r="A180" s="59" t="str">
        <x:v>docs/03_system_architecture.md</x:v>
      </x:c>
      <x:c r="B180" s="59" t="str">
        <x:v>Przepływ danych do zaprojektowania</x:v>
      </x:c>
      <x:c r="C180"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81" ht="52" customHeight="1">
      <x:c r="A181" s="59" t="str">
        <x:v>docs/04_data_model.md</x:v>
      </x:c>
      <x:c r="B181" s="59" t="str">
        <x:v>Wymagania dla przyszłego modelu danych</x:v>
      </x:c>
      <x:c r="C181"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82" ht="30" customHeight="1">
      <x:c r="A182" s="59" t="str">
        <x:v>docs/04_data_model.md</x:v>
      </x:c>
      <x:c r="B182" s="59" t="str">
        <x:v>Wymagania dla przyszłego modelu danych</x:v>
      </x:c>
      <x:c r="C182" s="59" t="str">
        <x:v>10.09.2026 — notatka z etapu 1. To nie jest wdrożony schemat bazy.</x:v>
      </x:c>
    </x:row>
    <x:row r="183" ht="66" customHeight="1">
      <x:c r="A183" s="59" t="str">
        <x:v>docs/04_data_model.md</x:v>
      </x:c>
      <x:c r="B183" s="59" t="str">
        <x:v>Wymagania dla przyszłego modelu danych</x:v>
      </x:c>
      <x:c r="C183"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84" ht="30" customHeight="1">
      <x:c r="A184" s="59" t="str">
        <x:v>docs/04_data_model.md</x:v>
      </x:c>
      <x:c r="B184" s="59" t="str">
        <x:v>Wymagania dla przyszłego modelu danych</x:v>
      </x:c>
      <x:c r="C184" s="59" t="str">
        <x:v>Obszar / Wymaganie wynikające z badań</x:v>
      </x:c>
    </x:row>
    <x:row r="185" ht="38" customHeight="1">
      <x:c r="A185" s="59" t="str">
        <x:v>docs/04_data_model.md</x:v>
      </x:c>
      <x:c r="B185" s="59" t="str">
        <x:v>Wymagania dla przyszłego modelu danych</x:v>
      </x:c>
      <x:c r="C185" s="59" t="str">
        <x:v>Tożsamość / Własny stabilny ID, identyfikatory operatora, aliasy, operator, napięcie, geometria; brak scalenia wyłącznie po podobieństwie nazwy</x:v>
      </x:c>
    </x:row>
    <x:row r="186" ht="38" customHeight="1">
      <x:c r="A186" s="59" t="str">
        <x:v>docs/04_data_model.md</x:v>
      </x:c>
      <x:c r="B186" s="59" t="str">
        <x:v>Wymagania dla przyszłego modelu danych</x:v>
      </x:c>
      <x:c r="C186" s="59" t="str">
        <x:v>Obserwacja / Wartość i jednostka, klasyfikacja REPORTED/MEASURED/CALCULATED/ESTIMATED/INFERRED/UNKNOWN, źródło i snapshot, strona/arkusz/wiersz/pole, daty</x:v>
      </x:c>
    </x:row>
    <x:row r="187" ht="38" customHeight="1">
      <x:c r="A187" s="59" t="str">
        <x:v>docs/04_data_model.md</x:v>
      </x:c>
      <x:c r="B187" s="59" t="str">
        <x:v>Wymagania dla przyszłego modelu danych</x:v>
      </x:c>
      <x:c r="C187" s="59" t="str">
        <x:v>Czas / Osobno publication_date, observation_date/source_date, retrieval_date, valid_from/to oraz moment rejestracji wiedzy; nieznane daty pozostają null</x:v>
      </x:c>
    </x:row>
    <x:row r="188" ht="30" customHeight="1">
      <x:c r="A188" s="59" t="str">
        <x:v>docs/04_data_model.md</x:v>
      </x:c>
      <x:c r="B188" s="59" t="str">
        <x:v>Wymagania dla przyszłego modelu danych</x:v>
      </x:c>
      <x:c r="C188" s="59" t="str">
        <x:v>Konflikt / Obie wersje wartości lub daty, dowody, status rozstrzygnięcia; nie nadpisywać jednej drugą</x:v>
      </x:c>
    </x:row>
    <x:row r="189" ht="30" customHeight="1">
      <x:c r="A189" s="59" t="str">
        <x:v>docs/04_data_model.md</x:v>
      </x:c>
      <x:c r="B189" s="59" t="str">
        <x:v>Wymagania dla przyszłego modelu danych</x:v>
      </x:c>
      <x:c r="C189" s="59" t="str">
        <x:v>Relacja / Obiekt początkowy/końcowy, typ, confirmed/probable/inferred/unknown, dowody, okres, stan planowany/istniejący</x:v>
      </x:c>
    </x:row>
    <x:row r="190" ht="38" customHeight="1">
      <x:c r="A190" s="59" t="str">
        <x:v>docs/04_data_model.md</x:v>
      </x:c>
      <x:c r="B190" s="59" t="str">
        <x:v>Wymagania dla przyszłego modelu danych</x:v>
      </x:c>
      <x:c r="C190" s="59" t="str">
        <x:v>Projekt / Technologie jako składniki, SPV/inwestor z dowodami, etapy procedury jako historia; nie wszystkie wpisy są osobnymi projektami</x:v>
      </x:c>
    </x:row>
    <x:row r="191" ht="38" customHeight="1">
      <x:c r="A191" s="59" t="str">
        <x:v>docs/04_data_model.md</x:v>
      </x:c>
      <x:c r="B191" s="59" t="str">
        <x:v>Wymagania dla przyszłego modelu danych</x:v>
      </x:c>
      <x:c r="C191" s="59" t="str">
        <x:v>BESS / P_export_MW, P_import_MW, energy_capacity_MWh, duration_h, PCC_export_limit_MW, PCC_import_limit_MW; brakujące pola null</x:v>
      </x:c>
    </x:row>
    <x:row r="192" ht="30" customHeight="1">
      <x:c r="A192" s="59" t="str">
        <x:v>docs/04_data_model.md</x:v>
      </x:c>
      <x:c r="B192" s="59" t="str">
        <x:v>Wymagania dla przyszłego modelu danych</x:v>
      </x:c>
      <x:c r="C192" s="59" t="str">
        <x:v>Hybryda / Składniki zainstalowane niezależnie od limitów PCC i scenariusza pracy</x:v>
      </x:c>
    </x:row>
    <x:row r="193" ht="30" customHeight="1">
      <x:c r="A193" s="59" t="str">
        <x:v>docs/04_data_model.md</x:v>
      </x:c>
      <x:c r="B193" s="59" t="str">
        <x:v>Wymagania dla przyszłego modelu danych</x:v>
      </x:c>
      <x:c r="C193" s="59" t="str">
        <x:v>Dostępność operatora / Kierunek, napięcie, grupa/stacja, horyzont, wariant WP, ograniczenia i definicja raportu</x:v>
      </x:c>
    </x:row>
    <x:row r="194" ht="38" customHeight="1">
      <x:c r="A194" s="59" t="str">
        <x:v>docs/04_data_model.md</x:v>
      </x:c>
      <x:c r="B194" s="59" t="str">
        <x:v>Wymagania dla przyszłego modelu danych</x:v>
      </x:c>
      <x:c r="C194" s="59" t="str">
        <x:v>Inwestycja / planned/under_construction/commissioned/cancelled/unknown, status dokumentu i daty oczekiwane oddzielone od rzeczywistych</x:v>
      </x:c>
    </x:row>
    <x:row r="195" ht="38" customHeight="1">
      <x:c r="A195" s="59" t="str">
        <x:v>docs/04_data_model.md</x:v>
      </x:c>
      <x:c r="B195" s="59" t="str">
        <x:v>Wymagania dla przyszłego modelu danych</x:v>
      </x:c>
      <x:c r="C195" s="59" t="str">
        <x:v>Wynik analizy / Snapshot, parametry projektu, wersja metody, konfiguracja, czas analizy, źródła wejściowe i wyjaśnienie; score i confidence odrębne</x:v>
      </x:c>
    </x:row>
    <x:row r="196" ht="38" customHeight="1">
      <x:c r="A196" s="59" t="str">
        <x:v>docs/04_data_model.md</x:v>
      </x:c>
      <x:c r="B196" s="59" t="str">
        <x:v>Wymagania dla przyszłego modelu danych</x:v>
      </x:c>
      <x:c r="C196" s="59" t="str">
        <x:v>Szczegółowy projekt SQL/API oraz walidacja kontraktów należą do etapu 2. Katalog źródeł w etapie 1 nie jest zamiennikiem modelu obserwacji technicznych.</x:v>
      </x:c>
    </x:row>
    <x:row r="197" ht="66" customHeight="1">
      <x:c r="A197" s="59" t="str">
        <x:v>docs/04_data_model.md</x:v>
      </x:c>
      <x:c r="B197" s="59" t="str">
        <x:v>Wymagania dla przyszłego modelu danych</x:v>
      </x:c>
      <x:c r="C197"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198" ht="30" customHeight="1">
      <x:c r="A198" s="59" t="str">
        <x:v>docs/05_grid_capacity_methodology.md</x:v>
      </x:c>
      <x:c r="B198" s="59" t="str">
        <x:v>Granice metody oceny dostępności</x:v>
      </x:c>
      <x:c r="C198" s="59" t="str">
        <x:v>10.09.2026 — wymagania badawcze, brak zaimplementowanego silnika mocy.</x:v>
      </x:c>
    </x:row>
    <x:row r="199" ht="30" customHeight="1">
      <x:c r="A199" s="59" t="str">
        <x:v>docs/05_grid_capacity_methodology.md</x:v>
      </x:c>
      <x:c r="B199" s="59" t="str">
        <x:v>Granice metody oceny dostępności</x:v>
      </x:c>
      <x:c r="C199" s="59" t="str">
        <x:v>Pierwszy raport powinien oddzielać:</x:v>
      </x:c>
    </x:row>
    <x:row r="200" ht="66" customHeight="1">
      <x:c r="A200" s="59" t="str">
        <x:v>docs/05_grid_capacity_methodology.md</x:v>
      </x:c>
      <x:c r="B200" s="59" t="str">
        <x:v>Granice metody oceny dostępności</x:v>
      </x:c>
      <x:c r="C200"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01" ht="52" customHeight="1">
      <x:c r="A201" s="59" t="str">
        <x:v>docs/05_grid_capacity_methodology.md</x:v>
      </x:c>
      <x:c r="B201" s="59" t="str">
        <x:v>Granice metody oceny dostępności</x:v>
      </x:c>
      <x:c r="C201"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02" ht="52" customHeight="1">
      <x:c r="A202" s="59" t="str">
        <x:v>docs/05_grid_capacity_methodology.md</x:v>
      </x:c>
      <x:c r="B202" s="59" t="str">
        <x:v>Granice metody oceny dostępności</x:v>
      </x:c>
      <x:c r="C202"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03" ht="52" customHeight="1">
      <x:c r="A203" s="59" t="str">
        <x:v>docs/05_grid_capacity_methodology.md</x:v>
      </x:c>
      <x:c r="B203" s="59" t="str">
        <x:v>Granice metody oceny dostępności</x:v>
      </x:c>
      <x:c r="C203"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04" ht="38" customHeight="1">
      <x:c r="A204" s="59" t="str">
        <x:v>docs/05_grid_capacity_methodology.md</x:v>
      </x:c>
      <x:c r="B204" s="59" t="str">
        <x:v>Granice metody oceny dostępności</x:v>
      </x:c>
      <x:c r="C204" s="59" t="str">
        <x:v>W badaniu nie ustalono parametrów pozwalających wyznaczyć wiarygodny przedział wolnej mocy dla dowolnego GPZ. Nie utworzono sztucznych zakresów MW ani współczynników zastępczych. Dowody: raport, rozdziały 3–4 i 8–9 (01_data_research.md).</x:v>
      </x:c>
    </x:row>
    <x:row r="205" ht="30" customHeight="1">
      <x:c r="A205" s="59" t="str">
        <x:v>docs/06_scoring_methodology.md</x:v>
      </x:c>
      <x:c r="B205" s="59" t="str">
        <x:v>Status Grid Connection Score</x:v>
      </x:c>
      <x:c r="C205" s="59" t="str">
        <x:v>10.09.2026 — metoda nie jest jeszcze zdefiniowana ani wdrożona.</x:v>
      </x:c>
    </x:row>
    <x:row r="206" ht="52" customHeight="1">
      <x:c r="A206" s="59" t="str">
        <x:v>docs/06_scoring_methodology.md</x:v>
      </x:c>
      <x:c r="B206" s="59" t="str">
        <x:v>Status Grid Connection Score</x:v>
      </x:c>
      <x:c r="C206"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07" ht="30" customHeight="1">
      <x:c r="A207" s="59" t="str">
        <x:v>docs/06_scoring_methodology.md</x:v>
      </x:c>
      <x:c r="B207" s="59" t="str">
        <x:v>Status Grid Connection Score</x:v>
      </x:c>
      <x:c r="C207" s="59" t="str">
        <x:v>Potencjalna zmienna / Stan dowodów</x:v>
      </x:c>
    </x:row>
    <x:row r="208" ht="30" customHeight="1">
      <x:c r="A208" s="59" t="str">
        <x:v>docs/06_scoring_methodology.md</x:v>
      </x:c>
      <x:c r="B208" s="59" t="str">
        <x:v>Status Grid Connection Score</x:v>
      </x:c>
      <x:c r="C208" s="59" t="str">
        <x:v>Raportowana dostępność kierunkowa / Dostępna dla określonych jednostek i założeń operatorów</x:v>
      </x:c>
    </x:row>
    <x:row r="209" ht="30" customHeight="1">
      <x:c r="A209" s="59" t="str">
        <x:v>docs/06_scoring_methodology.md</x:v>
      </x:c>
      <x:c r="B209" s="59" t="str">
        <x:v>Status Grid Connection Score</x:v>
      </x:c>
      <x:c r="C209" s="59" t="str">
        <x:v>Znany pipeline i etap / Częściowo dostępny; wymaga deduplikacji i relacji infrastrukturalnych</x:v>
      </x:c>
    </x:row>
    <x:row r="210" ht="30" customHeight="1">
      <x:c r="A210" s="59" t="str">
        <x:v>docs/06_scoring_methodology.md</x:v>
      </x:c>
      <x:c r="B210" s="59" t="str">
        <x:v>Status Grid Connection Score</x:v>
      </x:c>
      <x:c r="C210" s="59" t="str">
        <x:v>Planowane wzmocnienia / Dostępne dokumentacyjnie; terminy i realizacja nie są pewne</x:v>
      </x:c>
    </x:row>
    <x:row r="211" ht="30" customHeight="1">
      <x:c r="A211" s="59" t="str">
        <x:v>docs/06_scoring_methodology.md</x:v>
      </x:c>
      <x:c r="B211" s="59" t="str">
        <x:v>Status Grid Connection Score</x:v>
      </x:c>
      <x:c r="C211" s="59" t="str">
        <x:v>Napięcie i odległość / Dostępne/obliczalne przy znanym obiekcie i geometrii; sama odległość nie rozstrzyga</x:v>
      </x:c>
    </x:row>
    <x:row r="212" ht="30" customHeight="1">
      <x:c r="A212" s="59" t="str">
        <x:v>docs/06_scoring_methodology.md</x:v>
      </x:c>
      <x:c r="B212" s="59" t="str">
        <x:v>Status Grid Connection Score</x:v>
      </x:c>
      <x:c r="C212" s="59" t="str">
        <x:v>Obciążenia i topologia ruchowa / Brak pełnego publicznego pokrycia</x:v>
      </x:c>
    </x:row>
    <x:row r="213" ht="30" customHeight="1">
      <x:c r="A213" s="59" t="str">
        <x:v>docs/06_scoring_methodology.md</x:v>
      </x:c>
      <x:c r="B213" s="59" t="str">
        <x:v>Status Grid Connection Score</x:v>
      </x:c>
      <x:c r="C213" s="59" t="str">
        <x:v>Elastyczność BESS / Parametry kierunkowe częściowo dostępne; strategia pracy i akceptacja warunków często nieznane</x:v>
      </x:c>
    </x:row>
    <x:row r="214" ht="38" customHeight="1">
      <x:c r="A214" s="59" t="str">
        <x:v>docs/06_scoring_methodology.md</x:v>
      </x:c>
      <x:c r="B214" s="59" t="str">
        <x:v>Status Grid Connection Score</x:v>
      </x:c>
      <x:c r="C214" s="59" t="str">
        <x:v>Odmowy, curtailment i redysponowanie / Konieczny właściwy zakres przestrzenny i przyczyna; brak podstaw do automatycznej lokalnej kary</x:v>
      </x:c>
    </x:row>
    <x:row r="215" ht="52" customHeight="1">
      <x:c r="A215" s="59" t="str">
        <x:v>docs/06_scoring_methodology.md</x:v>
      </x:c>
      <x:c r="B215" s="59" t="str">
        <x:v>Status Grid Connection Score</x:v>
      </x:c>
      <x:c r="C215"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16" ht="52" customHeight="1">
      <x:c r="A216" s="59" t="str">
        <x:v>docs/06_scoring_methodology.md</x:v>
      </x:c>
      <x:c r="B216" s="59" t="str">
        <x:v>Status Grid Connection Score</x:v>
      </x:c>
      <x:c r="C216"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17" ht="38" customHeight="1">
      <x:c r="A217" s="59" t="str">
        <x:v>docs/07_data_quality.md</x:v>
      </x:c>
      <x:c r="B217" s="59" t="str">
        <x:v>Jakość danych — ustalenia i kontrola etapu 1</x:v>
      </x:c>
      <x:c r="C217" s="59" t="str">
        <x:v>10.09.2026. Autorytet źródła A–H według AGENTS.md jest oddzielony od kompletności, świeżości, pewności relacji i praw do wykorzystania. Katalog nie zawiera arbitralnych liczbowych ocen jakości.</x:v>
      </x:c>
    </x:row>
    <x:row r="218" ht="30" customHeight="1">
      <x:c r="A218" s="59" t="str">
        <x:v>docs/07_data_quality.md</x:v>
      </x:c>
      <x:c r="B218" s="59" t="str">
        <x:v>Znalezione przypadki wymagające ostrożności</x:v>
      </x:c>
      <x:c r="C218" s="59" t="str">
        <x:v>Przypadek / Dowód / Obsługa</x:v>
      </x:c>
    </x:row>
    <x:row r="219" ht="30" customHeight="1">
      <x:c r="A219" s="59" t="str">
        <x:v>docs/07_data_quality.md</x:v>
      </x:c>
      <x:c r="B219" s="59" t="str">
        <x:v>Znalezione przypadki wymagające ostrożności</x:v>
      </x:c>
      <x:c r="C219" s="59" t="str">
        <x:v>HTTP 200 bez danych / PGE: zachowany HTML odrzucenia, 346 bajtów / BLOCKED; nie sukces parsera</x:v>
      </x:c>
    </x:row>
    <x:row r="220" ht="30" customHeight="1">
      <x:c r="A220" s="59" t="str">
        <x:v>docs/07_data_quality.md</x:v>
      </x:c>
      <x:c r="B220" s="59" t="str">
        <x:v>Znalezione przypadki wymagające ostrożności</x:v>
      </x:c>
      <x:c r="C220" s="59" t="str">
        <x:v>Sprzeczne daty / Energa pipeline: nazwa 31.08, nagłówek i metadane 30.06 / Zachować konflikt, source_date nierozstrzygnięta</x:v>
      </x:c>
    </x:row>
    <x:row r="221" ht="30" customHeight="1">
      <x:c r="A221" s="59" t="str">
        <x:v>docs/07_data_quality.md</x:v>
      </x:c>
      <x:c r="B221" s="59" t="str">
        <x:v>Znalezione przypadki wymagające ostrożności</x:v>
      </x:c>
      <x:c r="C221" s="59" t="str">
        <x:v>Inna data strony i arkusza / PSE: aktualizacja strony 01.09, XLSX stan 31.07 / Dwa odrębne pola, bez „odmładzania” danych</x:v>
      </x:c>
    </x:row>
    <x:row r="222" ht="30" customHeight="1">
      <x:c r="A222" s="59" t="str">
        <x:v>docs/07_data_quality.md</x:v>
      </x:c>
      <x:c r="B222" s="59" t="str">
        <x:v>Znalezione przypadki wymagające ostrożności</x:v>
      </x:c>
      <x:c r="C222" s="59" t="str">
        <x:v>Przyszłe zamiast obecnych mocy / PSE: tabela importowa nowych planowanych stacji / FUTURE_GRID; nie bieżąca rezerwa</x:v>
      </x:c>
    </x:row>
    <x:row r="223" ht="38" customHeight="1">
      <x:c r="A223" s="59" t="str">
        <x:v>docs/07_data_quality.md</x:v>
      </x:c>
      <x:c r="B223" s="59" t="str">
        <x:v>Znalezione przypadki wymagające ostrożności</x:v>
      </x:c>
      <x:c r="C223" s="59" t="str">
        <x:v>Starsze wejścia w nowej publikacji / Stoen: część informacji o małych źródłach z IV kw.2025 / Wiek wejść odrębny od daty wydania</x:v>
      </x:c>
    </x:row>
    <x:row r="224" ht="30" customHeight="1">
      <x:c r="A224" s="59" t="str">
        <x:v>docs/07_data_quality.md</x:v>
      </x:c>
      <x:c r="B224" s="59" t="str">
        <x:v>Znalezione przypadki wymagające ostrożności</x:v>
      </x:c>
      <x:c r="C224" s="59" t="str">
        <x:v>Null w API / PSE poze-redoze: brak wartości w próbce / UNKNOWN, bez zamiany na 0</x:v>
      </x:c>
    </x:row>
    <x:row r="225" ht="30" customHeight="1">
      <x:c r="A225" s="59" t="str">
        <x:v>docs/07_data_quality.md</x:v>
      </x:c>
      <x:c r="B225" s="59" t="str">
        <x:v>Znalezione przypadki wymagające ostrożności</x:v>
      </x:c>
      <x:c r="C225" s="59" t="str">
        <x:v>Najstarsze wyniki bez filtra / PSE $first=2: obserwacje z 2024 / Próba interfejsu, nie snapshot bieżącego KSE</x:v>
      </x:c>
    </x:row>
    <x:row r="226" ht="30" customHeight="1">
      <x:c r="A226" s="59" t="str">
        <x:v>docs/07_data_quality.md</x:v>
      </x:c>
      <x:c r="B226" s="59" t="str">
        <x:v>Znalezione przypadki wymagające ostrożności</x:v>
      </x:c>
      <x:c r="C226" s="59" t="str">
        <x:v>Anonimizacja i nieustalone punkty / TAURON: wybrane wiersze próbki / Brak scalenia „Osoba prawna” do jednego inwestora</x:v>
      </x:c>
    </x:row>
    <x:row r="227" ht="30" customHeight="1">
      <x:c r="A227" s="59" t="str">
        <x:v>docs/07_data_quality.md</x:v>
      </x:c>
      <x:c r="B227" s="59" t="str">
        <x:v>Znalezione przypadki wymagające ostrożności</x:v>
      </x:c>
      <x:c r="C227" s="59" t="str">
        <x:v>Mapowy podgląd bez eksportu / ENEA Power BI / Nie deklarować działającego API danych</x:v>
      </x:c>
    </x:row>
    <x:row r="228" ht="66" customHeight="1">
      <x:c r="A228" s="59" t="str">
        <x:v>docs/07_data_quality.md</x:v>
      </x:c>
      <x:c r="B228" s="59" t="str">
        <x:v>Wykonana kontrola</x:v>
      </x:c>
      <x:c r="C228"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29" ht="52" customHeight="1">
      <x:c r="A229" s="59" t="str">
        <x:v>docs/07_data_quality.md</x:v>
      </x:c>
      <x:c r="B229" s="59" t="str">
        <x:v>Wykonana kontrola</x:v>
      </x:c>
      <x:c r="C229"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30" ht="66" customHeight="1">
      <x:c r="A230" s="59" t="str">
        <x:v>docs/07_data_quality.md</x:v>
      </x:c>
      <x:c r="B230" s="59" t="str">
        <x:v>Wykonana kontrola</x:v>
      </x:c>
      <x:c r="C230"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31" ht="66" customHeight="1">
      <x:c r="A231" s="59" t="str">
        <x:v>docs/07_data_quality.md</x:v>
      </x:c>
      <x:c r="B231" s="59" t="str">
        <x:v>Kontrola dat Energi — 11.09.2026</x:v>
      </x:c>
      <x:c r="C231"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32" ht="52" customHeight="1">
      <x:c r="A232" s="59" t="str">
        <x:v>docs/07_data_quality.md</x:v>
      </x:c>
      <x:c r="B232" s="59" t="str">
        <x:v>Kontrola dat Energi — 11.09.2026</x:v>
      </x:c>
      <x:c r="C232"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33" ht="52" customHeight="1">
      <x:c r="A233" s="59" t="str">
        <x:v>docs/07_data_quality.md</x:v>
      </x:c>
      <x:c r="B233" s="59" t="str">
        <x:v>Kontrola dat Energi — 11.09.2026</x:v>
      </x:c>
      <x:c r="C233"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34" ht="30" customHeight="1">
      <x:c r="A234" s="59" t="str">
        <x:v>docs/07_data_quality.md</x:v>
      </x:c>
      <x:c r="B234" s="59" t="str">
        <x:v>Kontrola dat Energi — 11.09.2026</x:v>
      </x:c>
      <x:c r="C234" s="59" t="str">
        <x:v>Odtworzenie po przywróceniu archiwum (Python z requirements-research.txt; nowa nazwa wyjścia chroni historię):</x:v>
      </x:c>
    </x:row>
    <x:row r="235" ht="52" customHeight="1">
      <x:c r="A235" s="59" t="str">
        <x:v>docs/07_data_quality.md</x:v>
      </x:c>
      <x:c r="B235" s="59" t="str">
        <x:v>Kontrola dat Energi — 11.09.2026</x:v>
      </x:c>
      <x:c r="C235"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36" ht="38" customHeight="1">
      <x:c r="A236" s="59" t="str">
        <x:v>docs/07_data_quality.md</x:v>
      </x:c>
      <x:c r="B236" s="59" t="str">
        <x:v>Kontrola dat Energi — 11.09.2026</x:v>
      </x:c>
      <x:c r="C236" s="59" t="str">
        <x:v>Wykonano 7 testów, w tym rzeczywistego PDF; wszystkie przeszły. Metoda rozpoznaje wyłącznie wskazany wzorzec dat, więc zmieniony nagłówek powoduje zatrzymanie, a nie zgadywanie daty z wierszy projektów.</x:v>
      </x:c>
    </x:row>
    <x:row r="237" ht="66" customHeight="1">
      <x:c r="A237" s="59" t="str">
        <x:v>docs/07_data_quality.md</x:v>
      </x:c>
      <x:c r="B237" s="59" t="str">
        <x:v>Kontrola dat Energi — 11.09.2026</x:v>
      </x:c>
      <x:c r="C237"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38" ht="52" customHeight="1">
      <x:c r="A238" s="59" t="str">
        <x:v>docs/07_data_quality.md</x:v>
      </x:c>
      <x:c r="B238" s="59" t="str">
        <x:v>Kontrola dat Energi — 11.09.2026</x:v>
      </x:c>
      <x:c r="C238"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39" ht="30" customHeight="1">
      <x:c r="A239" s="59" t="str">
        <x:v>docs/08_roadmap.md</x:v>
      </x:c>
      <x:c r="B239" s="59" t="str">
        <x:v>Proponowane etapy po badaniu źródeł</x:v>
      </x:c>
      <x:c r="C239" s="59" t="str">
        <x:v>10.09.2026 — rekomendacja, nie rozpoczęta implementacja.</x:v>
      </x:c>
    </x:row>
    <x:row r="240" ht="30" customHeight="1">
      <x:c r="A240" s="59" t="str">
        <x:v>docs/08_roadmap.md</x:v>
      </x:c>
      <x:c r="B240" s="59" t="str">
        <x:v>Proponowane etapy po badaniu źródeł</x:v>
      </x:c>
      <x:c r="C240" s="59" t="str">
        <x:v>Etap / Wartość dla użytkownika / Warunki wejścia / zakończenia</x:v>
      </x:c>
    </x:row>
    <x:row r="241" ht="52" customHeight="1">
      <x:c r="A241" s="59" t="str">
        <x:v>docs/08_roadmap.md</x:v>
      </x:c>
      <x:c r="B241" s="59" t="str">
        <x:v>Proponowane etapy po badaniu źródeł</x:v>
      </x:c>
      <x:c r="C241"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42" ht="38" customHeight="1">
      <x:c r="A242" s="59" t="str">
        <x:v>docs/08_roadmap.md</x:v>
      </x:c>
      <x:c r="B242" s="59" t="str">
        <x:v>Proponowane etapy po badaniu źródeł</x:v>
      </x:c>
      <x:c r="C242" s="59" t="str">
        <x:v>V1 — rozszerzenie pokrycia / Kilku operatorów/obszarów, historia zmian, deduplikacja, konflikty, kontrola źródeł, podstawowa mapa dowodów / Mierzalna kompletność i poprawność na próbie referencyjnej; stabilna automatyzacja zgodna z warunkami</x:v>
      </x:c>
    </x:row>
    <x:row r="243" ht="38" customHeight="1">
      <x:c r="A243" s="59" t="str">
        <x:v>docs/08_roadmap.md</x:v>
      </x:c>
      <x:c r="B243" s="59" t="str">
        <x:v>Proponowane etapy po badaniu źródeł</x:v>
      </x:c>
      <x:c r="C243" s="59" t="str">
        <x:v>V2 — scenariusze i warunkowa analityka / Kandydaci przyłączenia, import/eksport BESS, ograniczenia PCC, warianty przyszłej sieci i trasy GIS / Zweryfikowane wejścia i zakres stosowalności; scoring tylko po osobnym opracowaniu i walidacji</x:v>
      </x:c>
    </x:row>
    <x:row r="244" ht="38" customHeight="1">
      <x:c r="A244" s="59" t="str">
        <x:v>docs/08_roadmap.md</x:v>
      </x:c>
      <x:c r="B244" s="59" t="str">
        <x:v>Proponowane etapy po badaniu źródeł</x:v>
      </x:c>
      <x:c r="C244" s="59" t="str">
        <x:v>LONG-TERM — model techniczny / Analizy elektryczne i lepsza kalibracja wyników dla uprawnionych obszarów / Dane operatora/inwestora: topologia, parametry, profile, zdarzenia N-1; referencyjne wyniki studiów</x:v>
      </x:c>
    </x:row>
    <x:row r="245" ht="52" customHeight="1">
      <x:c r="A245" s="59" t="str">
        <x:v>docs/08_roadmap.md</x:v>
      </x:c>
      <x:c r="B245" s="59" t="str">
        <x:v>Proponowane etapy po badaniu źródeł</x:v>
      </x:c>
      <x:c r="C245"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46" ht="38" customHeight="1">
      <x:c r="A246" s="59" t="str">
        <x:v>docs/08_roadmap.md</x:v>
      </x:c>
      <x:c r="B246" s="59" t="str">
        <x:v>Proponowane etapy po badaniu źródeł</x:v>
      </x:c>
      <x:c r="C246" s="59" t="str">
        <x:v>Rozbudowa UI następuje po wiarygodnym raporcie danych. Ogólnopolskie pokrycie nie jest warunkiem sukcesu pilota. Brak lokalnych danych elektrycznych może pozostać trwałą granicą produktu opartego wyłącznie na danych publicznych.</x:v>
      </x:c>
    </x:row>
    <x:row r="247" ht="66" customHeight="1">
      <x:c r="A247" s="59" t="str">
        <x:v>docs/08_roadmap.md</x:v>
      </x:c>
      <x:c r="B247" s="59" t="str">
        <x:v>Proponowane etapy po badaniu źródeł</x:v>
      </x:c>
      <x:c r="C247"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48" ht="38" customHeight="1">
      <x:c r="A248" s="59" t="str">
        <x:v>docs/gpz_pipeline.md</x:v>
      </x:c>
      <x:c r="B248" s="59" t="str">
        <x:v>Widok GPZ — projekty istniejące i pipeline</x:v>
      </x:c>
      <x:c r="C248" s="59" t="str">
        <x:v>Wymaganie użytkownika z 10.09.2026. Status: specyfikacja do pilota, bez wdrożonego interfejsu i bez wprowadzania danych projektowych.</x:v>
      </x:c>
    </x:row>
    <x:row r="249" ht="30" customHeight="1">
      <x:c r="A249" s="59" t="str">
        <x:v>docs/gpz_pipeline.md</x:v>
      </x:c>
      <x:c r="B249" s="59" t="str">
        <x:v>Widok GPZ — projekty istniejące i pipeline</x:v>
      </x:c>
      <x:c r="C249" s="59" t="str">
        <x:v>Po wybraniu GPZ użytkownik powinien zobaczyć projekty w trzech grupach, z datą stanu źródeł i możliwością obejrzenia dowodów:</x:v>
      </x:c>
    </x:row>
    <x:row r="250" ht="30" customHeight="1">
      <x:c r="A250" s="59" t="str">
        <x:v>docs/gpz_pipeline.md</x:v>
      </x:c>
      <x:c r="B250" s="59" t="str">
        <x:v>Widok GPZ — projekty istniejące i pipeline</x:v>
      </x:c>
      <x:c r="C250" s="59" t="str">
        <x:v>Grupa / Warunek zakwalifikowania / Szczegóły widoczne dla użytkownika</x:v>
      </x:c>
    </x:row>
    <x:row r="251" ht="38" customHeight="1">
      <x:c r="A251" s="59" t="str">
        <x:v>docs/gpz_pipeline.md</x:v>
      </x:c>
      <x:c r="B251" s="59" t="str">
        <x:v>Widok GPZ — projekty istniejące i pipeline</x:v>
      </x:c>
      <x:c r="C251" s="59" t="str">
        <x:v>A. Przyłączone / Źródło potwierdza wykonane przyłączenie do tej stacji / Data przyłączenia, status eksploatacji, jeśli osobno znany; sama umowa lub WP nie wystarcza</x:v>
      </x:c>
    </x:row>
    <x:row r="252" ht="38" customHeight="1">
      <x:c r="A252" s="59" t="str">
        <x:v>docs/gpz_pipeline.md</x:v>
      </x:c>
      <x:c r="B252" s="59" t="str">
        <x:v>Widok GPZ — projekty istniejące i pipeline</x:v>
      </x:c>
      <x:c r="C252" s="59" t="str">
        <x:v>B. Planowane do przyłączenia / Udokumentowane planowane przyłączenie, bez potwierdzenia wykonania / Osobno: plan wstępny, wydane WP, umowa, budowa; plan bez wniosku nie jest rezerwacją mocy</x:v>
      </x:c>
    </x:row>
    <x:row r="253" ht="38" customHeight="1">
      <x:c r="A253" s="59" t="str">
        <x:v>docs/gpz_pipeline.md</x:v>
      </x:c>
      <x:c r="B253" s="59" t="str">
        <x:v>Widok GPZ — projekty istniejące i pipeline</x:v>
      </x:c>
      <x:c r="C253"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54" ht="52" customHeight="1">
      <x:c r="A254" s="59" t="str">
        <x:v>docs/gpz_pipeline.md</x:v>
      </x:c>
      <x:c r="B254" s="59" t="str">
        <x:v>Widok GPZ — projekty istniejące i pipeline</x:v>
      </x:c>
      <x:c r="C254"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55" ht="52" customHeight="1">
      <x:c r="A255" s="59" t="str">
        <x:v>docs/gpz_pipeline.md</x:v>
      </x:c>
      <x:c r="B255" s="59" t="str">
        <x:v>Widok GPZ — projekty istniejące i pipeline</x:v>
      </x:c>
      <x:c r="C255"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56" ht="52" customHeight="1">
      <x:c r="A256" s="59" t="str">
        <x:v>docs/gpz_pipeline.md</x:v>
      </x:c>
      <x:c r="B256" s="59" t="str">
        <x:v>Powiązanie projektu ze stacją</x:v>
      </x:c>
      <x:c r="C256"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57" ht="52" customHeight="1">
      <x:c r="A257" s="59" t="str">
        <x:v>docs/gpz_pipeline.md</x:v>
      </x:c>
      <x:c r="B257" s="59" t="str">
        <x:v>Powiązanie projektu ze stacją</x:v>
      </x:c>
      <x:c r="C257"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58" ht="52" customHeight="1">
      <x:c r="A258" s="59" t="str">
        <x:v>docs/gpz_pipeline.md</x:v>
      </x:c>
      <x:c r="B258" s="59" t="str">
        <x:v>Informacje i podsumowania</x:v>
      </x:c>
      <x:c r="C258"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59" ht="52" customHeight="1">
      <x:c r="A259" s="59" t="str">
        <x:v>docs/gpz_pipeline.md</x:v>
      </x:c>
      <x:c r="B259" s="59" t="str">
        <x:v>Informacje i podsumowania</x:v>
      </x:c>
      <x:c r="C259"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60" ht="52" customHeight="1">
      <x:c r="A260" s="59" t="str">
        <x:v>docs/gpz_pipeline.md</x:v>
      </x:c>
      <x:c r="B260" s="59" t="str">
        <x:v>Informacje i podsumowania</x:v>
      </x:c>
      <x:c r="C260"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61" ht="52" customHeight="1">
      <x:c r="A261" s="59" t="str">
        <x:v>docs/gpz_pipeline.md</x:v>
      </x:c>
      <x:c r="B261" s="59" t="str">
        <x:v>Informacje i podsumowania</x:v>
      </x:c>
      <x:c r="C261"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62" ht="80" customHeight="1">
      <x:c r="A262" s="59" t="str">
        <x:v>docs/gpz_pipeline.md</x:v>
      </x:c>
      <x:c r="B262" s="59" t="str">
        <x:v>Warunki gotowości pilota</x:v>
      </x:c>
      <x:c r="C262"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63" ht="38" customHeight="1">
      <x:c r="A263" s="59" t="str">
        <x:v>docs/gpz_pipeline.md</x:v>
      </x:c>
      <x:c r="B263" s="59" t="str">
        <x:v>Warunki gotowości pilota</x:v>
      </x:c>
      <x:c r="C263" s="59" t="str">
        <x:v>Źródła kandydackie i ich ograniczenia są już opisane w katalogu (data_sources.md) oraz macierzy wykonalności (02_feasibility_matrix.md). Specyfikacja nie potwierdza kompletności takich list dla wszystkich GPZ w Polsce.</x:v>
      </x:c>
    </x:row>
    <x:row r="264" ht="80" customHeight="1">
      <x:c r="A264" s="59" t="str">
        <x:v>docs/decision_log.md</x:v>
      </x:c>
      <x:c r="B264" s="59" t="str">
        <x:v>2026-09-10 — Zakres etapu 1</x:v>
      </x:c>
      <x:c r="C264"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65" ht="80" customHeight="1">
      <x:c r="A265" s="59" t="str">
        <x:v>docs/decision_log.md</x:v>
      </x:c>
      <x:c r="B265" s="59" t="str">
        <x:v>2026-09-10 — Proweniencja i status weryfikacji</x:v>
      </x:c>
      <x:c r="C265"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66" ht="80" customHeight="1">
      <x:c r="A266" s="59" t="str">
        <x:v>docs/decision_log.md</x:v>
      </x:c>
      <x:c r="B266" s="59" t="str">
        <x:v>2026-09-10 — Brak sztucznej dokładności i scoringu</x:v>
      </x:c>
      <x:c r="C266"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67" ht="94" customHeight="1">
      <x:c r="A267" s="59" t="str">
        <x:v>docs/decision_log.md</x:v>
      </x:c>
      <x:c r="B267" s="59" t="str">
        <x:v>2026-09-10 — Daty i grupy raportowania są częścią danych</x:v>
      </x:c>
      <x:c r="C267"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68" ht="38" customHeight="1">
      <x:c r="A268" s="59" t="str">
        <x:v>docs/decision_log.md</x:v>
      </x:c>
      <x:c r="B268" s="59" t="str">
        <x:v>2026-09-10 — Daty i grupy raportowania są częścią danych</x:v>
      </x:c>
      <x:c r="C268" s="59" t="str">
        <x:v>Consequences: Rozstrzygnięcie konfliktu i interpretacja tabel są warunkami normalizacji.</x:v>
      </x:c>
    </x:row>
    <x:row r="269" ht="80" customHeight="1">
      <x:c r="A269" s="59" t="str">
        <x:v>docs/decision_log.md</x:v>
      </x:c>
      <x:c r="B269" s="59" t="str">
        <x:v>2026-09-10 — Architektura pozostaje propozycją</x:v>
      </x:c>
      <x:c r="C269"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70" ht="94" customHeight="1">
      <x:c r="A270" s="59" t="str">
        <x:v>docs/decision_log.md</x:v>
      </x:c>
      <x:c r="B270" s="59" t="str">
        <x:v>2026-09-10 — Git i odtwarzalne snapshoty</x:v>
      </x:c>
      <x:c r="C270"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71" ht="38" customHeight="1">
      <x:c r="A271" s="59" t="str">
        <x:v>docs/decision_log.md</x:v>
      </x:c>
      <x:c r="B271" s="59" t="str">
        <x:v>2026-09-10 — Git i odtwarzalne snapshoty</x:v>
      </x:c>
      <x:c r="C271" s="59" t="str">
        <x:v>ZIP; nie skonfigurowano zewnętrznego magazynu danych. Consequences: Autor z adresem GitHub noreply, lokalne commity po sprawdzeniu, push odrębny od zapisu lokalnego; zależności badawcze przypięte do wersji.</x:v>
      </x:c>
    </x:row>
    <x:row r="272" ht="30" customHeight="1">
      <x:c r="A272" s="59" t="str">
        <x:v>docs/decision_log.md</x:v>
      </x:c>
      <x:c r="B272" s="59" t="str">
        <x:v>2026-09-10 — Lokalne sekrety i widok pipeline GPZ</x:v>
      </x:c>
      <x:c r="C272" s="59" t="str">
        <x:v>Date: 2026-09-10</x:v>
      </x:c>
    </x:row>
    <x:row r="273" ht="30" customHeight="1">
      <x:c r="A273" s="59" t="str">
        <x:v>docs/decision_log.md</x:v>
      </x:c>
      <x:c r="B273" s="59" t="str">
        <x:v>2026-09-10 — Lokalne sekrety i widok pipeline GPZ</x:v>
      </x:c>
      <x:c r="C273" s="59" t="str">
        <x:v>Decision: Wykluczyć _secrets/ z Git i opisać trzy grupy projektów wybranego GPZ.</x:v>
      </x:c>
    </x:row>
    <x:row r="274" ht="38" customHeight="1">
      <x:c r="A274" s="59" t="str">
        <x:v>docs/decision_log.md</x:v>
      </x:c>
      <x:c r="B274" s="59" t="str">
        <x:v>2026-09-10 — Lokalne sekrety i widok pipeline GPZ</x:v>
      </x:c>
      <x:c r="C274" s="59" t="str">
        <x:v>Context: Użytkownik dodał lokalne poświadczenie ENTSO-E oraz wskazał potrzebę rozróżnienia projektów przyłączonych, planowanych i wniosków bez odpowiedzi.</x:v>
      </x:c>
    </x:row>
    <x:row r="275" ht="38" customHeight="1">
      <x:c r="A275" s="59" t="str">
        <x:v>docs/decision_log.md</x:v>
      </x:c>
      <x:c r="B275" s="59" t="str">
        <x:v>2026-09-10 — Lokalne sekrety i widok pipeline GPZ</x:v>
      </x:c>
      <x:c r="C275" s="59" t="str">
        <x:v>Options considered: Sam status projektu; odrębne wykonanie przyłączenia, eksploatacja i procedury wniosków. Interpretowanie pustej daty odpowiedzi jako oczekiwania albo jawne UNKNOWN.</x:v>
      </x:c>
    </x:row>
    <x:row r="276" ht="38" customHeight="1">
      <x:c r="A276" s="59" t="str">
        <x:v>docs/decision_log.md</x:v>
      </x:c>
      <x:c r="B276" s="59" t="str">
        <x:v>2026-09-10 — Lokalne sekrety i widok pipeline GPZ</x:v>
      </x:c>
      <x:c r="C276" s="59" t="str">
        <x:v>Selected option: Specyfikacja gpz_pipeline.md, odrębne wnioski i dowody statusu; brak potwierdzenia odpowiedzi nie jest potwierdzonym oczekiwaniem. Folder sekretów ignorowany rekurencyjnie, bez odczytu zawartości.</x:v>
      </x:c>
    </x:row>
    <x:row r="277" ht="30" customHeight="1">
      <x:c r="A277" s="59" t="str">
        <x:v>docs/decision_log.md</x:v>
      </x:c>
      <x:c r="B277" s="59" t="str">
        <x:v>2026-09-10 — Lokalne sekrety i widok pipeline GPZ</x:v>
      </x:c>
      <x:c r="C277" s="59" t="str">
        <x:v>Reason: Użyteczność raportu GPZ przy zachowaniu poprawnych statusów, deduplikacji i ochrony poświadczeń.</x:v>
      </x:c>
    </x:row>
    <x:row r="278" ht="30" customHeight="1">
      <x:c r="A278" s="59" t="str">
        <x:v>docs/decision_log.md</x:v>
      </x:c>
      <x:c r="B278" s="59" t="str">
        <x:v>2026-09-10 — Lokalne sekrety i widok pipeline GPZ</x:v>
      </x:c>
      <x:c r="C278" s="59" t="str">
        <x:v>Trade-offs: Nie każdy publiczny rekord pozwala wypełnić jedną z trzech grup; potrzebna kategoria nieznana/konfliktowa.</x:v>
      </x:c>
    </x:row>
    <x:row r="279" ht="30" customHeight="1">
      <x:c r="A279" s="59" t="str">
        <x:v>docs/decision_log.md</x:v>
      </x:c>
      <x:c r="B279" s="59" t="str">
        <x:v>2026-09-10 — Lokalne sekrety i widok pipeline GPZ</x:v>
      </x:c>
      <x:c r="C279" s="59" t="str">
        <x:v>Consequences: Rozszerzono wymagania pilota i modelu danych; nie wdrożono jeszcze funkcji ani nie użyto klucza API.</x:v>
      </x:c>
    </x:row>
    <x:row r="280" ht="30" customHeight="1">
      <x:c r="A280" s="59" t="str">
        <x:v>docs/decision_log.md</x:v>
      </x:c>
      <x:c r="B280" s="59" t="str">
        <x:v>2026-09-10 — Stały TODO i generowany raport Excel</x:v>
      </x:c>
      <x:c r="C280" s="59" t="str">
        <x:v>Date: 2026-09-10</x:v>
      </x:c>
    </x:row>
    <x:row r="281" ht="30" customHeight="1">
      <x:c r="A281" s="59" t="str">
        <x:v>docs/decision_log.md</x:v>
      </x:c>
      <x:c r="B281" s="59" t="str">
        <x:v>2026-09-10 — Stały TODO i generowany raport Excel</x:v>
      </x:c>
      <x:c r="C281" s="59" t="str">
        <x:v>Decision: Utrzymywać jeden strukturalny rejestr zadań i generować z plików projektu szczegółowy raport XLSX.</x:v>
      </x:c>
    </x:row>
    <x:row r="282" ht="30" customHeight="1">
      <x:c r="A282" s="59" t="str">
        <x:v>docs/decision_log.md</x:v>
      </x:c>
      <x:c r="B282" s="59" t="str">
        <x:v>2026-09-10 — Stały TODO i generowany raport Excel</x:v>
      </x:c>
      <x:c r="C282" s="59" t="str">
        <x:v>Context: Użytkownik poprosił o prowadzenie TODO oraz skrypt do pełnego raportowania projektu; wybrał szablon Project Tracker.</x:v>
      </x:c>
    </x:row>
    <x:row r="283" ht="38" customHeight="1">
      <x:c r="A283" s="59" t="str">
        <x:v>docs/decision_log.md</x:v>
      </x:c>
      <x:c r="B283" s="59" t="str">
        <x:v>2026-09-10 — Stały TODO i generowany raport Excel</x:v>
      </x:c>
      <x:c r="C283" s="59" t="str">
        <x:v>Options considered: Ręcznie aktualizowany Excel; osobne niesynchronizowane listy; JSON jako źródło i generowane widoki Markdown/Excel.</x:v>
      </x:c>
    </x:row>
    <x:row r="284" ht="38" customHeight="1">
      <x:c r="A284" s="59" t="str">
        <x:v>docs/decision_log.md</x:v>
      </x:c>
      <x:c r="B284" s="59" t="str">
        <x:v>2026-09-10 — Stały TODO i generowany raport Excel</x:v>
      </x:c>
      <x:c r="C284" s="59" t="str">
        <x:v>Selected option: data/project/todo.json, stałe ID, zależności i kryteria; generator Node.js z dołączonym artifact-tool oraz zachowanym szablonem. Pełny raport obejmuje wszystkie źródła, wykonalność, ryzyka, dokumentację i zapisane kontrole.</x:v>
      </x:c>
    </x:row>
    <x:row r="285" ht="38" customHeight="1">
      <x:c r="A285" s="59" t="str">
        <x:v>docs/decision_log.md</x:v>
      </x:c>
      <x:c r="B285" s="59" t="str">
        <x:v>2026-09-10 — Stały TODO i generowany raport Excel</x:v>
      </x:c>
      <x:c r="C285" s="59" t="str">
        <x:v>Reason: Utrzymanie historii w Git i odtwarzalnego powiązania raportu z konkretnymi wejściami. Brak podwójnej ręcznej edycji statusów.</x:v>
      </x:c>
    </x:row>
    <x:row r="286" ht="52" customHeight="1">
      <x:c r="A286" s="59" t="str">
        <x:v>docs/decision_log.md</x:v>
      </x:c>
      <x:c r="B286" s="59" t="str">
        <x:v>2026-09-10 — Stały TODO i generowany raport Excel</x:v>
      </x:c>
      <x:c r="C286"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287" ht="38" customHeight="1">
      <x:c r="A287" s="59" t="str">
        <x:v>docs/decision_log.md</x:v>
      </x:c>
      <x:c r="B287" s="59" t="str">
        <x:v>2026-09-10 — Stały TODO i generowany raport Excel</x:v>
      </x:c>
      <x:c r="C287" s="59" t="str">
        <x:v>Consequences: Dodano walidację zależności, dowodów zakończenia, schematu wykonalności oraz manifest raportu z hashami wejść. Sekrety pozostają poza raportem. Nie rozpoczęto implementacji analitycznej aplikacji.</x:v>
      </x:c>
    </x:row>
    <x:row r="288" ht="38" customHeight="1">
      <x:c r="A288" s="59" t="str">
        <x:v>docs/decision_log.md</x:v>
      </x:c>
      <x:c r="B288" s="59" t="str">
        <x:v>2026-09-11 — kwarantanna sprzecznej daty pipeline</x:v>
      </x:c>
      <x:c r="C288" s="59" t="str">
        <x:v>Decision / Context: Publikacja Energi wskazuje różne daty w nazwie pliku i nagłówku. Ponowny odczyt oficjalnej strony nie dostarczył rozstrzygnięcia.</x:v>
      </x:c>
    </x:row>
    <x:row r="289" ht="30" customHeight="1">
      <x:c r="A289" s="59" t="str">
        <x:v>docs/decision_log.md</x:v>
      </x:c>
      <x:c r="B289" s="59" t="str">
        <x:v>2026-09-11 — kwarantanna sprzecznej daty pipeline</x:v>
      </x:c>
      <x:c r="C289" s="59" t="str">
        <x:v>Options considered: Data z nazwy; data z nagłówka; zachowanie wszystkich twierdzeń i kwarantanna.</x:v>
      </x:c>
    </x:row>
    <x:row r="290" ht="38" customHeight="1">
      <x:c r="A290" s="59" t="str">
        <x:v>docs/decision_log.md</x:v>
      </x:c>
      <x:c r="B290" s="59" t="str">
        <x:v>2026-09-11 — kwarantanna sprzecznej daty pipeline</x:v>
      </x:c>
      <x:c r="C290" s="59" t="str">
        <x:v>Selected option / Reason: Ostatni wariant, source_date=null, DATE_CONFLICT. Nie ma podstaw do wyboru jednej daty dla całego zbioru. KSE-008 kończy się kontrolą ryzyka, a nie usunięciem sprzeczności u operatora.</x:v>
      </x:c>
    </x:row>
    <x:row r="291" ht="52" customHeight="1">
      <x:c r="A291" s="59" t="str">
        <x:v>docs/decision_log.md</x:v>
      </x:c>
      <x:c r="B291" s="59" t="str">
        <x:v>2026-09-11 — kwarantanna sprzecznej daty pipeline</x:v>
      </x:c>
      <x:c r="C291"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292" ht="38" customHeight="1">
      <x:c r="A292" s="59" t="str">
        <x:v>docs/decision_log.md</x:v>
      </x:c>
      <x:c r="B292" s="59" t="str">
        <x:v>2026-09-11 — Radkowice jako obszar pilota dokumentacyjnego</x:v>
      </x:c>
      <x:c r="C292" s="59" t="str">
        <x:v>Decision / Context: Użytkownik zaproponował Radkowice 220/110 kV i dopuścił lepiej udokumentowaną alternatywę.</x:v>
      </x:c>
    </x:row>
    <x:row r="293" ht="38" customHeight="1">
      <x:c r="A293" s="59" t="str">
        <x:v>docs/decision_log.md</x:v>
      </x:c>
      <x:c r="B293" s="59" t="str">
        <x:v>2026-09-11 — Radkowice jako obszar pilota dokumentacyjnego</x:v>
      </x:c>
      <x:c r="C293" s="59" t="str">
        <x:v>Options considered: Radkowice; Kościerzyna z publikacji Energi; dalsze poszukiwanie stacji bez wskazania użytkownika.</x:v>
      </x:c>
    </x:row>
    <x:row r="294" ht="52" customHeight="1">
      <x:c r="A294" s="59" t="str">
        <x:v>docs/decision_log.md</x:v>
      </x:c>
      <x:c r="B294" s="59" t="str">
        <x:v>2026-09-11 — Radkowice jako obszar pilota dokumentacyjnego</x:v>
      </x:c>
      <x:c r="C294"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295" ht="66" customHeight="1">
      <x:c r="A295" s="59" t="str">
        <x:v>docs/decision_log.md</x:v>
      </x:c>
      <x:c r="B295" s="59" t="str">
        <x:v>2026-09-11 — Radkowice jako obszar pilota dokumentacyjnego</x:v>
      </x:c>
      <x:c r="C295"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296" ht="38" customHeight="1">
      <x:c r="A296" s="59" t="str">
        <x:v>docs/decision_log.md</x:v>
      </x:c>
      <x:c r="B296" s="59" t="str">
        <x:v>2026-09-11 — eksperymentalny graf dowodów, bez bazy produkcyjnej</x:v>
      </x:c>
      <x:c r="C296" s="59" t="str">
        <x:v>Decision / Context: Dostępne źródła pozwalają przetestować część relacji przed pełnym modelem pilota; brak granic własności i parametrów elektrycznych.</x:v>
      </x:c>
    </x:row>
    <x:row r="297" ht="38" customHeight="1">
      <x:c r="A297" s="59" t="str">
        <x:v>docs/decision_log.md</x:v>
      </x:c>
      <x:c r="B297" s="59" t="str">
        <x:v>2026-09-11 — eksperymentalny graf dowodów, bez bazy produkcyjnej</x:v>
      </x:c>
      <x:c r="C297" s="59" t="str">
        <x:v>Options considered: Czekać na komplet źródeł; uruchomić pełną bazę; przetestować niewielki graf dokumentacyjny w JSON z walidacją.</x:v>
      </x:c>
    </x:row>
    <x:row r="298" ht="38" customHeight="1">
      <x:c r="A298" s="59" t="str">
        <x:v>docs/decision_log.md</x:v>
      </x:c>
      <x:c r="B298" s="59" t="str">
        <x:v>2026-09-11 — eksperymentalny graf dowodów, bez bazy produkcyjnej</x:v>
      </x:c>
      <x:c r="C298" s="59" t="str">
        <x:v>Selected option / Reason: JSON i walidator Python, bez nowych zależności. Każde twierdzenie ma dowód, daty i hash. To odtwarzalny eksperyment reprezentacji danych; nie zmienia otwartych warunków produkcyjnego wykorzystania źródeł.</x:v>
      </x:c>
    </x:row>
    <x:row r="299" ht="52" customHeight="1">
      <x:c r="A299" s="59" t="str">
        <x:v>docs/decision_log.md</x:v>
      </x:c>
      <x:c r="B299" s="59" t="str">
        <x:v>2026-09-11 — eksperymentalny graf dowodów, bez bazy produkcyjnej</x:v>
      </x:c>
      <x:c r="C299"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00" ht="38" customHeight="1">
      <x:c r="A300" s="59" t="str">
        <x:v>docs/discovery_log.md</x:v>
      </x:c>
      <x:c r="B300" s="59" t="str">
        <x:v>Zakres odkrywania interfejsów — 10.09.2026</x:v>
      </x:c>
      <x:c r="C300" s="59" t="str">
        <x:v>Uzupełnienie raportu (01_data_research.md) i katalogu (data_sources.md). To macierz wyników pierwszego badania, nie certyfikat nieistnienia nieodnalezionego interfejsu.</x:v>
      </x:c>
    </x:row>
    <x:row r="301" ht="52" customHeight="1">
      <x:c r="A301" s="59" t="str">
        <x:v>docs/discovery_log.md</x:v>
      </x:c>
      <x:c r="B301" s="59" t="str">
        <x:v>Zakres odkrywania interfejsów — 10.09.2026</x:v>
      </x:c>
      <x:c r="C301"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02" ht="30" customHeight="1">
      <x:c r="A302" s="59" t="str">
        <x:v>docs/discovery_log.md</x:v>
      </x:c>
      <x:c r="B302" s="59" t="str">
        <x:v>Zakres odkrywania interfejsów — 10.09.2026</x:v>
      </x:c>
      <x:c r="C302" s="59" t="str">
        <x:v>Rodzina / API / dane strukturalne / GIS / Dokumenty / pozostałe / Dowód w katalogu</x:v>
      </x:c>
    </x:row>
    <x:row r="303" ht="38" customHeight="1">
      <x:c r="A303" s="59" t="str">
        <x:v>docs/discovery_log.md</x:v>
      </x:c>
      <x:c r="B303" s="59" t="str">
        <x:v>Zakres odkrywania interfejsów — 10.09.2026</x:v>
      </x:c>
      <x:c r="C303" s="59" t="str">
        <x:v>PSE / Działa API JSON, pobrano OpenAPI i XLSX / Nie potwierdzono publicznego operacyjnego WFS/ArcGIS ani pełnej topologii API / PDF mocy i planów; dokumentacja strukturalna B2B to odrębny zakres / PSE_API, PSE_PIPELINE, PSE_CAPACITY, PSE_STRUCT_B2B</x:v>
      </x:c>
    </x:row>
    <x:row r="304" ht="38" customHeight="1">
      <x:c r="A304" s="59" t="str">
        <x:v>docs/discovery_log.md</x:v>
      </x:c>
      <x:c r="B304" s="59" t="str">
        <x:v>Zakres odkrywania interfejsów — 10.09.2026</x:v>
      </x:c>
      <x:c r="C304" s="59" t="str">
        <x:v>PGE / Brak potwierdzenia; odczyt blokowany / Nie potwierdzono / Wskazania PDF; treść niepotwierdzona / PGE_LANDING, PGE_EXPORT_DISCOVERY, PGE_PLAN_DISCOVERY</x:v>
      </x:c>
    </x:row>
    <x:row r="305" ht="38" customHeight="1">
      <x:c r="A305" s="59" t="str">
        <x:v>docs/discovery_log.md</x:v>
      </x:c>
      <x:c r="B305" s="59" t="str">
        <x:v>Zakres odkrywania interfejsów — 10.09.2026</x:v>
      </x:c>
      <x:c r="C305" s="59" t="str">
        <x:v>ENEA / Nie potwierdzono publicznego API; Power BI w HTML / Viewer; nie potwierdzono WFS/WMS/GeoJSON do pobierania infrastruktury / Wykazy, kryteria SN, plan / ENEA_MAP, ENEA_PIPELINE, ENEA_PLAN</x:v>
      </x:c>
    </x:row>
    <x:row r="306" ht="38" customHeight="1">
      <x:c r="A306" s="59" t="str">
        <x:v>docs/discovery_log.md</x:v>
      </x:c>
      <x:c r="B306" s="59" t="str">
        <x:v>Zakres odkrywania interfejsów — 10.09.2026</x:v>
      </x:c>
      <x:c r="C306" s="59" t="str">
        <x:v>TAURON / Nie potwierdzono publicznego API portalu / Viewer dostępności; brak potwierdzonego eksportu topologii / Pobrany PDF wykazu, indeks planu / TAURON_PIPELINE, TAURON_MAP, TAURON_PLAN</x:v>
      </x:c>
    </x:row>
    <x:row r="307" ht="38" customHeight="1">
      <x:c r="A307" s="59" t="str">
        <x:v>docs/discovery_log.md</x:v>
      </x:c>
      <x:c r="B307" s="59" t="str">
        <x:v>Zakres odkrywania interfejsów — 10.09.2026</x:v>
      </x:c>
      <x:c r="C307" s="59" t="str">
        <x:v>Energa / Nie potwierdzono publicznego API badanych wykazów / Nie potwierdzono operacyjnej topologii GIS / Pobrane osobne PDF eksport/import/pipeline; plan / ENERGA_*</x:v>
      </x:c>
    </x:row>
    <x:row r="308" ht="38" customHeight="1">
      <x:c r="A308" s="59" t="str">
        <x:v>docs/discovery_log.md</x:v>
      </x:c>
      <x:c r="B308" s="59" t="str">
        <x:v>Zakres odkrywania interfejsów — 10.09.2026</x:v>
      </x:c>
      <x:c r="C308" s="59" t="str">
        <x:v>Stoen / Nie potwierdzono publicznego API / Nie potwierdzono operacyjnej topologii GIS / PDF kierunkowych mocy; linki rejestrów i planu / STOEN_*</x:v>
      </x:c>
    </x:row>
    <x:row r="309" ht="30" customHeight="1">
      <x:c r="A309" s="59" t="str">
        <x:v>docs/discovery_log.md</x:v>
      </x:c>
      <x:c r="B309" s="59" t="str">
        <x:v>Zakres odkrywania interfejsów — 10.09.2026</x:v>
      </x:c>
      <x:c r="C309" s="59" t="str">
        <x:v>KGHM OSDn / Linki do arkuszy; nie zwalidowano załączników / Nie potwierdzono / Publiczne informacje OSD i rejestry / KGHM_OSD</x:v>
      </x:c>
    </x:row>
    <x:row r="310" ht="38" customHeight="1">
      <x:c r="A310" s="59" t="str">
        <x:v>docs/discovery_log.md</x:v>
      </x:c>
      <x:c r="B310" s="59" t="str">
        <x:v>Zakres odkrywania interfejsów — 10.09.2026</x:v>
      </x:c>
      <x:c r="C310" s="59" t="str">
        <x:v>GUGiK / Pliki i GeoParquet; dokumentowane usługi / Potwierdzony WFS GetCapabilities EGiB; dokumentacja WMS/WMTS/WCS pozostałych produktów / Dane katastralne/topograficzne/terenowe, integracja MPZP / GUGIK_*</x:v>
      </x:c>
    </x:row>
    <x:row r="311" ht="30" customHeight="1">
      <x:c r="A311" s="59" t="str">
        <x:v>docs/discovery_log.md</x:v>
      </x:c>
      <x:c r="B311" s="59" t="str">
        <x:v>Zakres odkrywania interfejsów — 10.09.2026</x:v>
      </x:c>
      <x:c r="C311" s="59" t="str">
        <x:v>GDOŚ / OGC XML / Potwierdzony WFS GetCapabilities, opis WMS / Ochrona przyrody; akty prawne osobno / GDOS_GIS</x:v>
      </x:c>
    </x:row>
    <x:row r="312" ht="38" customHeight="1">
      <x:c r="A312" s="59" t="str">
        <x:v>docs/discovery_log.md</x:v>
      </x:c>
      <x:c r="B312" s="59" t="str">
        <x:v>Zakres odkrywania interfejsów — 10.09.2026</x:v>
      </x:c>
      <x:c r="C312" s="59" t="str">
        <x:v>Wody Polskie / BDL / Zależnie od produktu / Opis WMS i WFS/WMTS BDL, adresy usług ArcGIS; brak testu całego pobierania / Procedury udostępniania / WODY_SIGW, BDL_GIS</x:v>
      </x:c>
    </x:row>
    <x:row r="313" ht="38" customHeight="1">
      <x:c r="A313" s="59" t="str">
        <x:v>docs/discovery_log.md</x:v>
      </x:c>
      <x:c r="B313" s="59" t="str">
        <x:v>Zakres odkrywania interfejsów — 10.09.2026</x:v>
      </x:c>
      <x:c r="C313" s="59" t="str">
        <x:v>ENTSO-E / REST/XML z tokenem, nie wykonano zapytania / Mapa PDF nie jest API topologii / Warunki ponownego wykorzystania według datasetu / ENTSOE_TP, ENTSOE_MAP</x:v>
      </x:c>
    </x:row>
    <x:row r="314" ht="38" customHeight="1">
      <x:c r="A314" s="59" t="str">
        <x:v>docs/discovery_log.md</x:v>
      </x:c>
      <x:c r="B314" s="59" t="str">
        <x:v>Zakres odkrywania interfejsów — 10.09.2026</x:v>
      </x:c>
      <x:c r="C314" s="59" t="str">
        <x:v>OSM/OpenInfraMap / Regionalny PBF; Overpass jako wskazany kanał małych ekstraktów / Geometria społecznościowa, nie potwierdzone relacje operatora / ODbL; OpenInfraMap nie jest drugim źródłem / OSM_LICENSE, GEOFABRIK_PL, OPENINFRAMAP</x:v>
      </x:c>
    </x:row>
    <x:row r="315" ht="38" customHeight="1">
      <x:c r="A315" s="59" t="str">
        <x:v>docs/discovery_log.md</x:v>
      </x:c>
      <x:c r="B315" s="59" t="str">
        <x:v>Zakres odkrywania interfejsów — 10.09.2026</x:v>
      </x:c>
      <x:c r="C315" s="59" t="str">
        <x:v>Modele otwarte / Repozytoria GitHub i formaty modeli / Geometria i parametry mogą być inferowane / PyPSA-Eur i historyczny MATPOWER nie są aktualnym operacyjnym KSE / PYPSA_EUR, MATPOWER_POLAND</x:v>
      </x:c>
    </x:row>
    <x:row r="316" ht="52" customHeight="1">
      <x:c r="A316" s="59" t="str">
        <x:v>docs/discovery_log.md</x:v>
      </x:c>
      <x:c r="B316" s="59" t="str">
        <x:v>Zakres odkrywania interfejsów — 10.09.2026</x:v>
      </x:c>
      <x:c r="C316"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17" ht="94" customHeight="1">
      <x:c r="A317" s="59" t="str">
        <x:v>docs/discovery_log.md</x:v>
      </x:c>
      <x:c r="B317" s="59" t="str">
        <x:v>Otwarte działania po badaniu</x:v>
      </x:c>
      <x:c r="C317"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18" ht="38" customHeight="1">
      <x:c r="A318" s="59" t="str">
        <x:v>docs/discovery_log.md</x:v>
      </x:c>
      <x:c r="B318" s="59" t="str">
        <x:v>Otwarte działania po badaniu</x:v>
      </x:c>
      <x:c r="C318" s="59" t="str">
        <x:v>Nie traktować powyższej listy jako zaległej implementacji w etapie 1: są to ujawnione warunki wejścia do dalszych etapów. Źródła o niepotwierdzonej treści pozostają oznaczone jako niepotwierdzone.</x:v>
      </x:c>
    </x:row>
    <x:row r="319" ht="52" customHeight="1">
      <x:c r="A319" s="59" t="str">
        <x:v>docs/reproducibility.md</x:v>
      </x:c>
      <x:c r="B319" s="59" t="str">
        <x:v>Wersjonowanie i odtwarzalność</x:v>
      </x:c>
      <x:c r="C319"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20" ht="30" customHeight="1">
      <x:c r="A320" s="59" t="str">
        <x:v>docs/reproducibility.md</x:v>
      </x:c>
      <x:c r="B320" s="59" t="str">
        <x:v>Dwa elementy kopii projektu</x:v>
      </x:c>
      <x:c r="C320" s="59" t="str">
        <x:v>Element / Co zachowuje / Gdzie</x:v>
      </x:c>
    </x:row>
    <x:row r="321" ht="38" customHeight="1">
      <x:c r="A321" s="59" t="str">
        <x:v>docs/reproducibility.md</x:v>
      </x:c>
      <x:c r="B321" s="59" t="str">
        <x:v>Dwa elementy kopii projektu</x:v>
      </x:c>
      <x:c r="C321" s="59" t="str">
        <x:v>Historia Git / Dokumentacja, notatki źródłowe, skrypty, konfiguracja, wersje zależności, hash i lista próbek / Lokalnie .git, po push także prywatne GitHub</x:v>
      </x:c>
    </x:row>
    <x:row r="322" ht="30" customHeight="1">
      <x:c r="A322" s="59" t="str">
        <x:v>docs/reproducibility.md</x:v>
      </x:c>
      <x:c r="B322" s="59" t="str">
        <x:v>Dwa elementy kopii projektu</x:v>
      </x:c>
      <x:c r="C322" s="59" t="str">
        <x:v>Archiwum badania / Dokładne bajty pobranych plików i kontrolnych podglądów oraz manifesty / data/archives/, pomijane przez Git</x:v>
      </x:c>
    </x:row>
    <x:row r="323" ht="66" customHeight="1">
      <x:c r="A323" s="59" t="str">
        <x:v>docs/reproducibility.md</x:v>
      </x:c>
      <x:c r="B323" s="59" t="str">
        <x:v>Dwa elementy kopii projektu</x:v>
      </x:c>
      <x:c r="C323"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24" ht="38" customHeight="1">
      <x:c r="A324" s="59" t="str">
        <x:v>docs/reproducibility.md</x:v>
      </x:c>
      <x:c r="B324" s="59" t="str">
        <x:v>Dwa elementy kopii projektu</x:v>
      </x:c>
      <x:c r="C324" s="59" t="str">
        <x:v>URL pozwala ponowić pobranie, ale nie gwarantuje identycznej historycznej wersji. Gdy operator podmieni plik, nie wolno zastąpić starego snapshotu nową treścią i twierdzić, że odtworzono stare badanie. Dlatego zachowujemy osobne kopie oraz SHA-256.</x:v>
      </x:c>
    </x:row>
    <x:row r="325" ht="38" customHeight="1">
      <x:c r="A325" s="59" t="str">
        <x:v>docs/reproducibility.md</x:v>
      </x:c>
      <x:c r="B325" s="59" t="str">
        <x:v>Odtworzenie na komputerze z Pythonem</x:v>
      </x:c>
      <x:c r="C325" s="59" t="str">
        <x:v>Badanie sprawdzono na Pythonie 3.12.14. Dokładne użyte pakiety zapisano w requirements-research.txt. W PowerShell, w folderze repozytorium:</x:v>
      </x:c>
    </x:row>
    <x:row r="326" ht="52" customHeight="1">
      <x:c r="A326" s="59" t="str">
        <x:v>docs/reproducibility.md</x:v>
      </x:c>
      <x:c r="B326" s="59" t="str">
        <x:v>Odtworzenie na komputerze z Pythonem</x:v>
      </x:c>
      <x:c r="C326"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27" ht="52" customHeight="1">
      <x:c r="A327" s="59" t="str">
        <x:v>docs/reproducibility.md</x:v>
      </x:c>
      <x:c r="B327" s="59" t="str">
        <x:v>Odtworzenie na komputerze z Pythonem</x:v>
      </x:c>
      <x:c r="C327"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28" ht="52" customHeight="1">
      <x:c r="A328" s="59" t="str">
        <x:v>docs/reproducibility.md</x:v>
      </x:c>
      <x:c r="B328" s="59" t="str">
        <x:v>Odtworzenie na komputerze z Pythonem</x:v>
      </x:c>
      <x:c r="C328"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29" ht="66" customHeight="1">
      <x:c r="A329" s="59" t="str">
        <x:v>docs/reproducibility.md</x:v>
      </x:c>
      <x:c r="B329" s="59" t="str">
        <x:v>Test odtwarzania wykonany 10.09.2026</x:v>
      </x:c>
      <x:c r="C329"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30" ht="66" customHeight="1">
      <x:c r="A330" s="59" t="str">
        <x:v>docs/reproducibility.md</x:v>
      </x:c>
      <x:c r="B330" s="59" t="str">
        <x:v>Budowanie kolejnego archiwum</x:v>
      </x:c>
      <x:c r="C330"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31" ht="52" customHeight="1">
      <x:c r="A331" s="59" t="str">
        <x:v>docs/reproducibility.md</x:v>
      </x:c>
      <x:c r="B331" s="59" t="str">
        <x:v>Budowanie kolejnego archiwum</x:v>
      </x:c>
      <x:c r="C331"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32" ht="30" customHeight="1">
      <x:c r="A332" s="59" t="str">
        <x:v>docs/git_workflow.md</x:v>
      </x:c>
      <x:c r="B332" s="59" t="str">
        <x:v>Git i GitHub — instrukcja dla tego projektu</x:v>
      </x:c>
      <x:c r="C332" s="59" t="str">
        <x:v>Przygotowano 10.09.2026. Folder: C:\Users\woloo\Desktop\KSE. Repozytorium: woloo-del/KSE (https://github.com/woloo-del/KSE).</x:v>
      </x:c>
    </x:row>
    <x:row r="333" ht="38" customHeight="1">
      <x:c r="A333" s="59" t="str">
        <x:v>docs/git_workflow.md</x:v>
      </x:c>
      <x:c r="B333" s="59" t="str">
        <x:v>Git i GitHub — instrukcja dla tego projektu</x:v>
      </x:c>
      <x:c r="C333" s="59" t="str">
        <x:v>Git zapisuje wersje lokalnie. GitHub przechowuje wysłaną kopię historii. Commit to zapis wersji na komputerze; push wysyła zapisane commity na GitHub. Zapisanie pliku w edytorze samo nie wykonuje żadnej z tych operacji.</x:v>
      </x:c>
    </x:row>
    <x:row r="334" ht="94" customHeight="1">
      <x:c r="A334" s="59" t="str">
        <x:v>docs/git_workflow.md</x:v>
      </x:c>
      <x:c r="B334" s="59" t="str">
        <x:v>Co już skonfigurowano</x:v>
      </x:c>
      <x:c r="C334"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35" ht="30" customHeight="1">
      <x:c r="A335" s="59" t="str">
        <x:v>docs/git_workflow.md</x:v>
      </x:c>
      <x:c r="B335" s="59" t="str">
        <x:v>Co już skonfigurowano</x:v>
      </x:c>
      <x:c r="C335" s="59" t="str">
        <x:v>środowiska, cache i duże dane źródłowe. .gitattributes ustala końce linii plików tekstowych.</x:v>
      </x:c>
    </x:row>
    <x:row r="336" ht="30" customHeight="1">
      <x:c r="A336" s="59" t="str">
        <x:v>docs/git_workflow.md</x:v>
      </x:c>
      <x:c r="B336" s="59" t="str">
        <x:v>Pierwszy push</x:v>
      </x:c>
      <x:c r="C336" s="59" t="str">
        <x:v>Otwórz PowerShell i wpisz:</x:v>
      </x:c>
    </x:row>
    <x:row r="337" ht="30" customHeight="1">
      <x:c r="A337" s="59" t="str">
        <x:v>docs/git_workflow.md</x:v>
      </x:c>
      <x:c r="B337" s="59" t="str">
        <x:v>Pierwszy push</x:v>
      </x:c>
      <x:c r="C337" s="59" t="str">
        <x:v>Set-Location 'C:\Users\woloo\Desktop\KSE' git status git log -1 --oneline git push -u origin main</x:v>
      </x:c>
    </x:row>
    <x:row r="338" ht="52" customHeight="1">
      <x:c r="A338" s="59" t="str">
        <x:v>docs/git_workflow.md</x:v>
      </x:c>
      <x:c r="B338" s="59" t="str">
        <x:v>Pierwszy push</x:v>
      </x:c>
      <x:c r="C338"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39" ht="52" customHeight="1">
      <x:c r="A339" s="59" t="str">
        <x:v>docs/git_workflow.md</x:v>
      </x:c>
      <x:c r="B339" s="59" t="str">
        <x:v>Pierwszy push</x:v>
      </x:c>
      <x:c r="C339"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40" ht="30" customHeight="1">
      <x:c r="A340" s="59" t="str">
        <x:v>docs/git_workflow.md</x:v>
      </x:c>
      <x:c r="B340" s="59" t="str">
        <x:v>Kolejne zmiany — zwykły cykl</x:v>
      </x:c>
      <x:c r="C340" s="59" t="str">
        <x:v>Po zapisaniu plików i wykonaniu właściwych kontroli:</x:v>
      </x:c>
    </x:row>
    <x:row r="341" ht="38" customHeight="1">
      <x:c r="A341" s="59" t="str">
        <x:v>docs/git_workflow.md</x:v>
      </x:c>
      <x:c r="B341" s="59" t="str">
        <x:v>Kolejne zmiany — zwykły cykl</x:v>
      </x:c>
      <x:c r="C341" s="59" t="str">
        <x:v>git status git diff git add README.md docs scripts config data/catalog requirements-research.txt .gitignore .gitattributes AGENTS.md git diff --cached --stat git commit -m "Opisz konkretnie wykonana zmiane" git push</x:v>
      </x:c>
    </x:row>
    <x:row r="342" ht="52" customHeight="1">
      <x:c r="A342" s="59" t="str">
        <x:v>docs/git_workflow.md</x:v>
      </x:c>
      <x:c r="B342" s="59" t="str">
        <x:v>Kolejne zmiany — zwykły cykl</x:v>
      </x:c>
      <x:c r="C342"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343" ht="38" customHeight="1">
      <x:c r="A343" s="59" t="str">
        <x:v>docs/git_workflow.md</x:v>
      </x:c>
      <x:c r="B343" s="59" t="str">
        <x:v>Kolejne zmiany — zwykły cykl</x:v>
      </x:c>
      <x:c r="C343" s="59" t="str">
        <x:v>Gdy Codex informuje, że już wykonał commit, nie musisz ponownie robić add i commit; sprawdź git status, git log -1 --oneline, a następnie wykonaj git push.</x:v>
      </x:c>
    </x:row>
    <x:row r="344" ht="38" customHeight="1">
      <x:c r="A344" s="59" t="str">
        <x:v>docs/git_workflow.md</x:v>
      </x:c>
      <x:c r="B344" s="59" t="str">
        <x:v>Praca na drugim komputerze i zmiany na GitHub</x:v>
      </x:c>
      <x:c r="C344" s="59" t="str">
        <x:v>Na nowym komputerze pobierz repozytorium przez git clone https://github.com/woloo-del/KSE.git. Zależności i archiwum danych odtwórz według instrukcji odtwarzania (reproducibility.md).</x:v>
      </x:c>
    </x:row>
    <x:row r="345" ht="52" customHeight="1">
      <x:c r="A345" s="59" t="str">
        <x:v>docs/git_workflow.md</x:v>
      </x:c>
      <x:c r="B345" s="59" t="str">
        <x:v>Praca na drugim komputerze i zmiany na GitHub</x:v>
      </x:c>
      <x:c r="C345"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346" ht="30" customHeight="1">
      <x:c r="A346" s="59" t="str">
        <x:v>docs/git_workflow.md</x:v>
      </x:c>
      <x:c r="B346" s="59" t="str">
        <x:v>Co oznaczają typowe komunikaty</x:v>
      </x:c>
      <x:c r="C346" s="59" t="str">
        <x:v>Komunikat / Znaczenie / następny krok</x:v>
      </x:c>
    </x:row>
    <x:row r="347" ht="30" customHeight="1">
      <x:c r="A347" s="59" t="str">
        <x:v>docs/git_workflow.md</x:v>
      </x:c>
      <x:c r="B347" s="59" t="str">
        <x:v>Co oznaczają typowe komunikaty</x:v>
      </x:c>
      <x:c r="C347" s="59" t="str">
        <x:v>nothing to commit, working tree clean / Wszystkie śledzone zmiany zapisane lokalnie; nie dowodzi jeszcze wysłania</x:v>
      </x:c>
    </x:row>
    <x:row r="348" ht="30" customHeight="1">
      <x:c r="A348" s="59" t="str">
        <x:v>docs/git_workflow.md</x:v>
      </x:c>
      <x:c r="B348" s="59" t="str">
        <x:v>Co oznaczają typowe komunikaty</x:v>
      </x:c>
      <x:c r="C348" s="59" t="str">
        <x:v>Everything up-to-date / Brak nowych commitów do wysłania</x:v>
      </x:c>
    </x:row>
    <x:row r="349" ht="30" customHeight="1">
      <x:c r="A349" s="59" t="str">
        <x:v>docs/git_workflow.md</x:v>
      </x:c>
      <x:c r="B349" s="59" t="str">
        <x:v>Co oznaczają typowe komunikaty</x:v>
      </x:c>
      <x:c r="C349" s="59" t="str">
        <x:v>Your branch is ahead ... / Masz lokalne commity oczekujące na push</x:v>
      </x:c>
    </x:row>
    <x:row r="350" ht="30" customHeight="1">
      <x:c r="A350" s="59" t="str">
        <x:v>docs/git_workflow.md</x:v>
      </x:c>
      <x:c r="B350" s="59" t="str">
        <x:v>Co oznaczają typowe komunikaty</x:v>
      </x:c>
      <x:c r="C350" s="59" t="str">
        <x:v>Repository not found / Dla repo prywatnego sprawdź konto, dostęp i adres; nie musi oznaczać nieistnienia repo</x:v>
      </x:c>
    </x:row>
    <x:row r="351" ht="30" customHeight="1">
      <x:c r="A351" s="59" t="str">
        <x:v>docs/git_workflow.md</x:v>
      </x:c>
      <x:c r="B351" s="59" t="str">
        <x:v>Co oznaczają typowe komunikaty</x:v>
      </x:c>
      <x:c r="C351" s="59" t="str">
        <x:v>src refspec main does not match any / Zwykle brak pierwszego commita lub inna nazwa gałęzi</x:v>
      </x:c>
    </x:row>
    <x:row r="352" ht="30" customHeight="1">
      <x:c r="A352" s="59" t="str">
        <x:v>docs/git_workflow.md</x:v>
      </x:c>
      <x:c r="B352" s="59" t="str">
        <x:v>Co oznaczają typowe komunikaty</x:v>
      </x:c>
      <x:c r="C352" s="59" t="str">
        <x:v>non-fast-forward / fetch first / Na serwerze jest historia, której nie ma lokalnie; wymagana bezpieczna synchronizacja</x:v>
      </x:c>
    </x:row>
    <x:row r="353" ht="52" customHeight="1">
      <x:c r="A353" s="59" t="str">
        <x:v>docs/git_workflow.md</x:v>
      </x:c>
      <x:c r="B353" s="59" t="str">
        <x:v>Co oznaczają typowe komunikaty</x:v>
      </x:c>
      <x:c r="C353"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354" ht="52" customHeight="1">
      <x:c r="A354" s="59" t="str">
        <x:v>docs/project_reporting.md</x:v>
      </x:c>
      <x:c r="B354" s="59" t="str">
        <x:v>Rejestr TODO i raport projektu w Excelu</x:v>
      </x:c>
      <x:c r="C354"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355" ht="52" customHeight="1">
      <x:c r="A355" s="59" t="str">
        <x:v>docs/project_reporting.md</x:v>
      </x:c>
      <x:c r="B355" s="59" t="str">
        <x:v>Rejestr TODO i raport projektu w Excelu</x:v>
      </x:c>
      <x:c r="C355"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356" ht="30" customHeight="1">
      <x:c r="A356" s="59" t="str">
        <x:v>docs/project_reporting.md</x:v>
      </x:c>
      <x:c r="B356" s="59" t="str">
        <x:v>Generowanie</x:v>
      </x:c>
      <x:c r="C356" s="59" t="str">
        <x:v>W PowerShell, w folderze projektu:</x:v>
      </x:c>
    </x:row>
    <x:row r="357" ht="30" customHeight="1">
      <x:c r="A357" s="59" t="str">
        <x:v>docs/project_reporting.md</x:v>
      </x:c>
      <x:c r="B357" s="59" t="str">
        <x:v>Generowanie</x:v>
      </x:c>
      <x:c r="C357" s="59" t="str">
        <x:v>.\scripts\generate_project_report.ps1</x:v>
      </x:c>
    </x:row>
    <x:row r="358" ht="52" customHeight="1">
      <x:c r="A358" s="59" t="str">
        <x:v>docs/project_reporting.md</x:v>
      </x:c>
      <x:c r="B358" s="59" t="str">
        <x:v>Generowanie</x:v>
      </x:c>
      <x:c r="C358"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359" ht="80" customHeight="1">
      <x:c r="A359" s="59" t="str">
        <x:v>docs/project_reporting.md</x:v>
      </x:c>
      <x:c r="B359" s="59" t="str">
        <x:v>Generowanie</x:v>
      </x:c>
      <x:c r="C359"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360" ht="66" customHeight="1">
      <x:c r="A360" s="59" t="str">
        <x:v>docs/project_reporting.md</x:v>
      </x:c>
      <x:c r="B360" s="59" t="str">
        <x:v>Generowanie</x:v>
      </x:c>
      <x:c r="C360"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361" ht="66" customHeight="1">
      <x:c r="A361" s="59" t="str">
        <x:v>docs/project_reporting.md</x:v>
      </x:c>
      <x:c r="B361" s="59" t="str">
        <x:v>Zakres raportu</x:v>
      </x:c>
      <x:c r="C361"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362" ht="94" customHeight="1">
      <x:c r="A362" s="59" t="str">
        <x:v>docs/project_reporting.md</x:v>
      </x:c>
      <x:c r="B362" s="59" t="str">
        <x:v>Zakres raportu</x:v>
      </x:c>
      <x:c r="C362"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Macierz wykonalności, katalog wszystkich źródeł i szczegółowe karty pól, w tym daty, interfejsy, ograniczenia i licencje. - Rejestr ryzyk ze źródeł i zadań oraz komplet</x:v>
      </x:c>
    </x:row>
    <x:row r="363" ht="52" customHeight="1">
      <x:c r="A363" s="59" t="str">
        <x:v>docs/project_reporting.md</x:v>
      </x:c>
      <x:c r="B363" s="59" t="str">
        <x:v>Zakres raportu</x:v>
      </x:c>
      <x:c r="C363" s="59" t="str">
        <x:v>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364" ht="38" customHeight="1">
      <x:c r="A364" s="59" t="str">
        <x:v>docs/project_reporting.md</x:v>
      </x:c>
      <x:c r="B364" s="59" t="str">
        <x:v>Zakres raportu</x:v>
      </x:c>
      <x:c r="C364" s="59" t="str">
        <x:v>Raport jest snapshotem wiedzy projektowej. Nie zawiera nieistniejących wyników dla GPZ, sztucznych MW ani scoringu. Nie zastępuje szczegółowych surowych plików operatorów; ich lokalne archiwum i manifest pozostają osobno.</x:v>
      </x:c>
    </x:row>
    <x:row r="365" ht="52" customHeight="1">
      <x:c r="A365" s="59" t="str">
        <x:v>docs/project_reporting.md</x:v>
      </x:c>
      <x:c r="B365" s="59" t="str">
        <x:v>Bezpieczeństwo i aktualizacja</x:v>
      </x:c>
      <x:c r="C365"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366" ht="52" customHeight="1">
      <x:c r="A366" s="59" t="str">
        <x:v>docs/project_reporting.md</x:v>
      </x:c>
      <x:c r="B366" s="59" t="str">
        <x:v>Bezpieczeństwo i aktualizacja</x:v>
      </x:c>
      <x:c r="C366"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367" ht="52" customHeight="1">
      <x:c r="A367" s="59" t="str">
        <x:v>docs/09_pilot_scope.md</x:v>
      </x:c>
      <x:c r="B367" s="59" t="str">
        <x:v>Propozycja pilota GPZ</x:v>
      </x:c>
      <x:c r="C367"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368" ht="38" customHeight="1">
      <x:c r="A368" s="59" t="str">
        <x:v>docs/09_pilot_scope.md</x:v>
      </x:c>
      <x:c r="B368" s="59" t="str">
        <x:v>Propozycja pilota GPZ</x:v>
      </x:c>
      <x:c r="C368" s="59" t="str">
        <x:v>Pierwszy wynik: audytowalny raport jednego GPZ z powiązanymi projektami, stanem źródeł, kierunkami mocy i ograniczeniami. Obszar wybieramy po porównaniu dowodów, nie po liczbie punktów na mapie. Użytkownik może wskazać własny region.</x:v>
      </x:c>
    </x:row>
    <x:row r="369" ht="94" customHeight="1">
      <x:c r="A369" s="59" t="str">
        <x:v>docs/09_pilot_scope.md</x:v>
      </x:c>
      <x:c r="B369" s="59" t="str">
        <x:v>Kryteria odbioru</x:v>
      </x:c>
      <x:c r="C369"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370" ht="66" customHeight="1">
      <x:c r="A370" s="59" t="str">
        <x:v>docs/09_pilot_scope.md</x:v>
      </x:c>
      <x:c r="B370" s="59" t="str">
        <x:v>Kryteria odbioru</x:v>
      </x:c>
      <x:c r="C370"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371" ht="52" customHeight="1">
      <x:c r="A371" s="59" t="str">
        <x:v>docs/09_pilot_scope.md</x:v>
      </x:c>
      <x:c r="B371" s="59" t="str">
        <x:v>Kryteria odbioru</x:v>
      </x:c>
      <x:c r="C371"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372" ht="38" customHeight="1">
      <x:c r="A372" s="59" t="str">
        <x:v>docs/09_pilot_scope.md</x:v>
      </x:c>
      <x:c r="B372" s="59" t="str">
        <x:v>Kryteria odbioru</x:v>
      </x:c>
      <x:c r="C372" s="59" t="str">
        <x:v>Najbliższe zależności: zaakceptować zakres, wybrać dopuszczone źródła, porównać kandydatów GPZ, zaprojektować model i wdrożyć parsery. Kontrola jakości źródeł może być rozwijana niezależnie od wyboru regionu.</x:v>
      </x:c>
    </x:row>
    <x:row r="373" ht="52" customHeight="1">
      <x:c r="A373" s="59" t="str">
        <x:v>docs/10_radkowice_pilot.md</x:v>
      </x:c>
      <x:c r="B373" s="59" t="str">
        <x:v>Pilot: SE Radkowice 220/110 kV</x:v>
      </x:c>
      <x:c r="C373"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374" ht="38" customHeight="1">
      <x:c r="A374" s="59" t="str">
        <x:v>docs/10_radkowice_pilot.md</x:v>
      </x:c>
      <x:c r="B374" s="59" t="str">
        <x:v>Tożsamość i granice</x:v>
      </x:c>
      <x:c r="C374"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375" ht="52" customHeight="1">
      <x:c r="A375" s="59" t="str">
        <x:v>docs/10_radkowice_pilot.md</x:v>
      </x:c>
      <x:c r="B375" s="59" t="str">
        <x:v>Tożsamość i granice</x:v>
      </x:c>
      <x:c r="C375"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376" ht="52" customHeight="1">
      <x:c r="A376" s="59" t="str">
        <x:v>docs/10_radkowice_pilot.md</x:v>
      </x:c>
      <x:c r="B376" s="59" t="str">
        <x:v>Tożsamość i granice</x:v>
      </x:c>
      <x:c r="C376"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377" ht="52" customHeight="1">
      <x:c r="A377" s="59" t="str">
        <x:v>docs/10_radkowice_pilot.md</x:v>
      </x:c>
      <x:c r="B377" s="59" t="str">
        <x:v>Pierwsze znane projekty</x:v>
      </x:c>
      <x:c r="C377"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378" ht="30" customHeight="1">
      <x:c r="A378" s="59" t="str">
        <x:v>docs/10_radkowice_pilot.md</x:v>
      </x:c>
      <x:c r="B378" s="59" t="str">
        <x:v>Pierwsze znane projekty</x:v>
      </x:c>
      <x:c r="C378" s="59" t="str">
        <x:v>Wiersz / Projekt / Podmiot / Punkt / Eksport MW / Import MW / Status</x:v>
      </x:c>
    </x:row>
    <x:row r="379" ht="30" customHeight="1">
      <x:c r="A379" s="59" t="str">
        <x:v>docs/10_radkowice_pilot.md</x:v>
      </x:c>
      <x:c r="B379" s="59" t="str">
        <x:v>Pierwsze znane projekty</x:v>
      </x:c>
      <x:c r="C379" s="59" t="str">
        <x:v>787 / MEE Chałupki / Grand Solar 23 Sp. z o.o. / Radkowice 220 kV / 96,96 / 98,8992 / Obowiązująca umowa przyłączeniowa</x:v>
      </x:c>
    </x:row>
    <x:row r="380" ht="30" customHeight="1">
      <x:c r="A380" s="59" t="str">
        <x:v>docs/10_radkowice_pilot.md</x:v>
      </x:c>
      <x:c r="B380" s="59" t="str">
        <x:v>Pierwsze znane projekty</x:v>
      </x:c>
      <x:c r="C380" s="59" t="str">
        <x:v>843 / MEE Radkowice / RSE 10 Sp. z o.o. / Radkowice 220 kV / 50 / 50 / Obowiązująca umowa przyłączeniowa</x:v>
      </x:c>
    </x:row>
    <x:row r="381" ht="30" customHeight="1">
      <x:c r="A381" s="59" t="str">
        <x:v>docs/10_radkowice_pilot.md</x:v>
      </x:c>
      <x:c r="B381" s="59" t="str">
        <x:v>Pierwsze znane projekty</x:v>
      </x:c>
      <x:c r="C381" s="59" t="str">
        <x:v>847 / MEE Chęciny / Qair Polska S.A. / Radkowice 220 kV / 100 / 102 / Obowiązująca umowa przyłączeniowa</x:v>
      </x:c>
    </x:row>
    <x:row r="382" ht="52" customHeight="1">
      <x:c r="A382" s="59" t="str">
        <x:v>docs/10_radkowice_pilot.md</x:v>
      </x:c>
      <x:c r="B382" s="59" t="str">
        <x:v>Pierwsze znane projekty</x:v>
      </x:c>
      <x:c r="C382"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383" ht="52" customHeight="1">
      <x:c r="A383" s="59" t="str">
        <x:v>docs/10_radkowice_pilot.md</x:v>
      </x:c>
      <x:c r="B383" s="59" t="str">
        <x:v>Pierwsze znane projekty</x:v>
      </x:c>
      <x:c r="C383"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384" ht="52" customHeight="1">
      <x:c r="A384" s="59" t="str">
        <x:v>docs/10_radkowice_pilot.md</x:v>
      </x:c>
      <x:c r="B384" s="59" t="str">
        <x:v>Infrastruktura i inwestycje</x:v>
      </x:c>
      <x:c r="C384"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385" ht="52" customHeight="1">
      <x:c r="A385" s="59" t="str">
        <x:v>docs/10_radkowice_pilot.md</x:v>
      </x:c>
      <x:c r="B385" s="59" t="str">
        <x:v>Infrastruktura i inwestycje</x:v>
      </x:c>
      <x:c r="C385"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386" ht="52" customHeight="1">
      <x:c r="A386" s="59" t="str">
        <x:v>docs/10_radkowice_pilot.md</x:v>
      </x:c>
      <x:c r="B386" s="59" t="str">
        <x:v>Infrastruktura i inwestycje</x:v>
      </x:c>
      <x:c r="C386"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387" ht="30" customHeight="1">
      <x:c r="A387" s="59" t="str">
        <x:v>docs/10_radkowice_pilot.md</x:v>
      </x:c>
      <x:c r="B387" s="59" t="str">
        <x:v>Porównanie z alternatywą</x:v>
      </x:c>
      <x:c r="C387" s="59" t="str">
        <x:v>Kryterium / Radkowice — wybór główny / Kościerzyna — kandydat rezerwowy</x:v>
      </x:c>
    </x:row>
    <x:row r="388" ht="30" customHeight="1">
      <x:c r="A388" s="59" t="str">
        <x:v>docs/10_radkowice_pilot.md</x:v>
      </x:c>
      <x:c r="B388" s="59" t="str">
        <x:v>Porównanie z alternatywą</x:v>
      </x:c>
      <x:c r="C388" s="59" t="str">
        <x:v>Preferencja użytkownika / Wskazane wprost / Nie wskazana</x:v>
      </x:c>
    </x:row>
    <x:row r="389" ht="38" customHeight="1">
      <x:c r="A389" s="59" t="str">
        <x:v>docs/10_radkowice_pilot.md</x:v>
      </x:c>
      <x:c r="B389" s="59" t="str">
        <x:v>Porównanie z alternatywą</x:v>
      </x:c>
      <x:c r="C389" s="59" t="str">
        <x:v>Konkretne projekty / Trzy wskazane BESS w XLSX PSE / W dokumencie Energi jest m.in. wpis GPZ Kościerzyna i status obiektu przyłączonego</x:v>
      </x:c>
    </x:row>
    <x:row r="390" ht="30" customHeight="1">
      <x:c r="A390" s="59" t="str">
        <x:v>docs/10_radkowice_pilot.md</x:v>
      </x:c>
      <x:c r="B390" s="59" t="str">
        <x:v>Porównanie z alternatywą</x:v>
      </x:c>
      <x:c r="C390" s="59" t="str">
        <x:v>Jakość czasu publikacji / Jawny stan XLSX 31.07.2026 / Konflikt dat sierpień/czerwiec; kwarantanna</x:v>
      </x:c>
    </x:row>
    <x:row r="391" ht="30" customHeight="1">
      <x:c r="A391" s="59" t="str">
        <x:v>docs/10_radkowice_pilot.md</x:v>
      </x:c>
      <x:c r="B391" s="59" t="str">
        <x:v>Porównanie z alternatywą</x:v>
      </x:c>
      <x:c r="C391" s="59" t="str">
        <x:v>Inwestycje i topologia / Portal PSE i lokalny BIP / W tym porównaniu nie zweryfikowano kompletu dowodów</x:v>
      </x:c>
    </x:row>
    <x:row r="392" ht="30" customHeight="1">
      <x:c r="A392" s="59" t="str">
        <x:v>docs/10_radkowice_pilot.md</x:v>
      </x:c>
      <x:c r="B392" s="59" t="str">
        <x:v>Porównanie z alternatywą</x:v>
      </x:c>
      <x:c r="C392" s="59" t="str">
        <x:v>Przewaga / Bezpośredni test BESS i styku 220/110 kV / Możliwy późniejszy test innych statusów i OSD</x:v>
      </x:c>
    </x:row>
    <x:row r="393" ht="38" customHeight="1">
      <x:c r="A393" s="59" t="str">
        <x:v>docs/10_radkowice_pilot.md</x:v>
      </x:c>
      <x:c r="B393" s="59" t="str">
        <x:v>Porównanie z alternatywą</x:v>
      </x:c>
      <x:c r="C393" s="59" t="str">
        <x:v>Źródło alternatywy: Energa PDF (https://cdn-netpr.pl/file/mediakit/3063617/fa/2026_08_31_pusop_wnioski_i_odmowy_eop.pdf), strona 1, pozycja 3; konflikt opisany w kontroli z 11.09.2026. Nie jest to pełny ranking stacji Polski.</x:v>
      </x:c>
    </x:row>
    <x:row r="394" ht="66" customHeight="1">
      <x:c r="A394" s="59" t="str">
        <x:v>docs/10_radkowice_pilot.md</x:v>
      </x:c>
      <x:c r="B394" s="59" t="str">
        <x:v>Odtwarzanie i dalsze prace</x:v>
      </x:c>
      <x:c r="C394"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395" ht="80" customHeight="1">
      <x:c r="A395" s="59" t="str">
        <x:v>docs/10_radkowice_pilot.md</x:v>
      </x:c>
      <x:c r="B395" s="59" t="str">
        <x:v>Odtwarzanie i dalsze prace</x:v>
      </x:c>
      <x:c r="C395"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396" ht="52" customHeight="1">
      <x:c r="A396" s="59" t="str">
        <x:v>docs/10_radkowice_pilot.md</x:v>
      </x:c>
      <x:c r="B396" s="59" t="str">
        <x:v>Odtwarzanie i dalsze prace</x:v>
      </x:c>
      <x:c r="C396"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397" ht="38" customHeight="1">
      <x:c r="A397" s="59" t="str">
        <x:v>docs/11_radkowice_evidence_model.md</x:v>
      </x:c>
      <x:c r="B397" s="59" t="str">
        <x:v>Radkowice — pierwszy model powiązań dokumentacyjnych</x:v>
      </x:c>
      <x:c r="C397" s="59" t="str">
        <x:v>11.09.2026. Działa lokalny generator grafu: 11 obiektów i 10 relacji. To eksperyment na zachowanych źródłach, nie wdrożenie produkcyjnego silnika sieciowego. Nie wymaga nowej bazy ani dodatkowych bibliotek.</x:v>
      </x:c>
    </x:row>
    <x:row r="398" ht="66" customHeight="1">
      <x:c r="A398" s="59" t="str">
        <x:v>docs/11_radkowice_evidence_model.md</x:v>
      </x:c>
      <x:c r="B398" s="59" t="str">
        <x:v>Nowy dowód PSE/PGE</x:v>
      </x:c>
      <x:c r="C398"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399" ht="38" customHeight="1">
      <x:c r="A399" s="59" t="str">
        <x:v>docs/11_radkowice_evidence_model.md</x:v>
      </x:c>
      <x:c r="B399" s="59" t="str">
        <x:v>Nowy dowód PSE/PGE</x:v>
      </x:c>
      <x:c r="C399" s="59" t="str">
        <x:v>Ponowna próba bezpośredniego pliku mocy PGE: HTTP 200, 346 bajtów i brak sygnatury PDF. Zapisano metadane próby w data/catalog/pge_radkowice_access_2026-09-11.json; żadne wartości mocy z tej odpowiedzi nie weszły do modelu.</x:v>
      </x:c>
    </x:row>
    <x:row r="400" ht="66" customHeight="1">
      <x:c r="A400" s="59" t="str">
        <x:v>docs/11_radkowice_evidence_model.md</x:v>
      </x:c>
      <x:c r="B400" s="59" t="str">
        <x:v>Co reprezentuje graf</x:v>
      </x:c>
      <x:c r="C400"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01" ht="30" customHeight="1">
      <x:c r="A401" s="59" t="str">
        <x:v>docs/11_radkowice_evidence_model.md</x:v>
      </x:c>
      <x:c r="B401" s="59" t="str">
        <x:v>Co reprezentuje graf</x:v>
      </x:c>
      <x:c r="C401" s="59" t="str">
        <x:v>Obiekt/relacja / Znaczenie / Czego nie oznacza</x:v>
      </x:c>
    </x:row>
    <x:row r="402" ht="30" customHeight="1">
      <x:c r="A402" s="59" t="str">
        <x:v>docs/11_radkowice_evidence_model.md</x:v>
      </x:c>
      <x:c r="B402" s="59" t="str">
        <x:v>Co reprezentuje graf</x:v>
      </x:c>
      <x:c r="C402" s="59" t="str">
        <x:v>STATION_REFERENCE / Stacja nazwana w dokumencie / Pełna ewidencja urządzeń</x:v>
      </x:c>
    </x:row>
    <x:row r="403" ht="30" customHeight="1">
      <x:c r="A403" s="59" t="str">
        <x:v>docs/11_radkowice_evidence_model.md</x:v>
      </x:c>
      <x:c r="B403" s="59" t="str">
        <x:v>Co reprezentuje graf</x:v>
      </x:c>
      <x:c r="C403" s="59" t="str">
        <x:v>VOLTAGE_LEVEL_REFERENCE / Potwierdzony poziom 220 lub 110 kV / Konkretna sekcja szyn, pole lub punkt fizyczny</x:v>
      </x:c>
    </x:row>
    <x:row r="404" ht="30" customHeight="1">
      <x:c r="A404" s="59" t="str">
        <x:v>docs/11_radkowice_evidence_model.md</x:v>
      </x:c>
      <x:c r="B404" s="59" t="str">
        <x:v>Co reprezentuje graf</x:v>
      </x:c>
      <x:c r="C404" s="59" t="str">
        <x:v>REPORTED_LINE / Relacja do Kielc, Połańca lub Kielc Piaski opisana w BIP / Znany aktualny stan łączników i obciążalność</x:v>
      </x:c>
    </x:row>
    <x:row r="405" ht="30" customHeight="1">
      <x:c r="A405" s="59" t="str">
        <x:v>docs/11_radkowice_evidence_model.md</x:v>
      </x:c>
      <x:c r="B405" s="59" t="str">
        <x:v>Co reprezentuje graf</x:v>
      </x:c>
      <x:c r="C405" s="59" t="str">
        <x:v>PROJECT_RECORD / Wiersz PSE dotyczący BESS / Ostatecznie rozstrzygnięta tożsamość inwestycji we wszystkich źródłach</x:v>
      </x:c>
    </x:row>
    <x:row r="406" ht="30" customHeight="1">
      <x:c r="A406" s="59" t="str">
        <x:v>docs/11_radkowice_evidence_model.md</x:v>
      </x:c>
      <x:c r="B406" s="59" t="str">
        <x:v>Co reprezentuje graf</x:v>
      </x:c>
      <x:c r="C406" s="59" t="str">
        <x:v>PLANNED_CONNECTION / Wskazanie Radkowic 220 kV i umowy przyłączeniowej / Potwierdzone wykonanie przyłączenia</x:v>
      </x:c>
    </x:row>
    <x:row r="407" ht="30" customHeight="1">
      <x:c r="A407" s="59" t="str">
        <x:v>docs/11_radkowice_evidence_model.md</x:v>
      </x:c>
      <x:c r="B407" s="59" t="str">
        <x:v>Co reprezentuje graf</x:v>
      </x:c>
      <x:c r="C407" s="59" t="str">
        <x:v>DELIVERY_POINT_REFERENCE / Miejsce dostarczania z taryfy / Identyfikator konkretnego transformatora</x:v>
      </x:c>
    </x:row>
    <x:row r="408" ht="30" customHeight="1">
      <x:c r="A408" s="59" t="str">
        <x:v>docs/11_radkowice_evidence_model.md</x:v>
      </x:c>
      <x:c r="B408" s="59" t="str">
        <x:v>Co reprezentuje graf</x:v>
      </x:c>
      <x:c r="C408" s="59" t="str">
        <x:v>TARIFF_RECIPIENT / Odbiorca usług wskazany przez PSE / Właściciel całej stacji</x:v>
      </x:c>
    </x:row>
    <x:row r="409" ht="52" customHeight="1">
      <x:c r="A409" s="59" t="str">
        <x:v>docs/11_radkowice_evidence_model.md</x:v>
      </x:c>
      <x:c r="B409" s="59" t="str">
        <x:v>Co reprezentuje graf</x:v>
      </x:c>
      <x:c r="C409"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10" ht="38" customHeight="1">
      <x:c r="A410" s="59" t="str">
        <x:v>docs/11_radkowice_evidence_model.md</x:v>
      </x:c>
      <x:c r="B410" s="59" t="str">
        <x:v>Co reprezentuje graf</x:v>
      </x:c>
      <x:c r="C410" s="59" t="str">
        <x:v>Strzałki opisują relacje dokumentacyjne, nie kierunki przepływów energii. Schemat nie wstawia brakujących transformatorów ani feederów. Dla grafu obowiązuje power_flow_ready=false.</x:v>
      </x:c>
    </x:row>
    <x:row r="411" ht="30" customHeight="1">
      <x:c r="A411" s="59" t="str">
        <x:v>docs/11_radkowice_evidence_model.md</x:v>
      </x:c>
      <x:c r="B411" s="59" t="str">
        <x:v>Uruchamianie i kontrola</x:v>
      </x:c>
      <x:c r="C411" s="59" t="str">
        <x:v>Po przywróceniu wcześniejszych snapshotów XLSX/PDF i taryfy:</x:v>
      </x:c>
    </x:row>
    <x:row r="412" ht="30" customHeight="1">
      <x:c r="A412" s="59" t="str">
        <x:v>docs/11_radkowice_evidence_model.md</x:v>
      </x:c>
      <x:c r="B412" s="59" t="str">
        <x:v>Uruchamianie i kontrola</x:v>
      </x:c>
      <x:c r="C412" s="59" t="str">
        <x:v>python scripts/build_radkowice_graph.py python -m unittest discover -s tests -p test_evidence_graph.py -v</x:v>
      </x:c>
    </x:row>
    <x:row r="413" ht="52" customHeight="1">
      <x:c r="A413" s="59" t="str">
        <x:v>docs/11_radkowice_evidence_model.md</x:v>
      </x:c>
      <x:c r="B413" s="59" t="str">
        <x:v>Uruchamianie i kontrola</x:v>
      </x:c>
      <x:c r="C413"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14" ht="52" customHeight="1">
      <x:c r="A414" s="59" t="str">
        <x:v>docs/11_radkowice_evidence_model.md</x:v>
      </x:c>
      <x:c r="B414" s="59" t="str">
        <x:v>Uruchamianie i kontrola</x:v>
      </x:c>
      <x:c r="C414"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15" ht="66" customHeight="1">
      <x:c r="A415" s="59" t="str">
        <x:v>docs/11_radkowice_evidence_model.md</x:v>
      </x:c>
      <x:c r="B415" s="59" t="str">
        <x:v>Następny etap</x:v>
      </x:c>
      <x:c r="C415"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sheetData>
  <x:pageMargins left="0.7" right="0.7" top="0.75" bottom="0.75" header="0.3" footer="0.3"/>
  <x:tableParts count="1">
    <x:tablePart xmlns:r="http://schemas.openxmlformats.org/officeDocument/2006/relationships" r:id="Re5802097b8ee4ce0"/>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46275.657276921294</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probe_ids_unique</x:v>
      </x:c>
      <x:c r="C316" s="59" t="str">
        <x:v>PASS</x:v>
      </x:c>
    </x:row>
    <x:row r="317" ht="30" customHeight="1">
      <x:c r="A317" s="59" t="str">
        <x:v>Kontrola lokalna</x:v>
      </x:c>
      <x:c r="B317" s="59" t="str">
        <x:v>probe_references:PSE_API</x:v>
      </x:c>
      <x:c r="C317" s="59" t="str">
        <x:v>PASS</x:v>
      </x:c>
    </x:row>
    <x:row r="318" ht="30" customHeight="1">
      <x:c r="A318" s="59" t="str">
        <x:v>Kontrola lokalna</x:v>
      </x:c>
      <x:c r="B318" s="59" t="str">
        <x:v>probe_references:PSE_PIPELINE</x:v>
      </x:c>
      <x:c r="C318" s="59" t="str">
        <x:v>PASS</x:v>
      </x:c>
    </x:row>
    <x:row r="319" ht="30" customHeight="1">
      <x:c r="A319" s="59" t="str">
        <x:v>Kontrola lokalna</x:v>
      </x:c>
      <x:c r="B319" s="59" t="str">
        <x:v>probe_references:PSE_CAPACITY</x:v>
      </x:c>
      <x:c r="C319" s="59" t="str">
        <x:v>PASS</x:v>
      </x:c>
    </x:row>
    <x:row r="320" ht="30" customHeight="1">
      <x:c r="A320" s="59" t="str">
        <x:v>Kontrola lokalna</x:v>
      </x:c>
      <x:c r="B320" s="59" t="str">
        <x:v>probe_references:PSE_PLAN</x:v>
      </x:c>
      <x:c r="C320" s="59" t="str">
        <x:v>PASS</x:v>
      </x:c>
    </x:row>
    <x:row r="321" ht="30" customHeight="1">
      <x:c r="A321" s="59" t="str">
        <x:v>Kontrola lokalna</x:v>
      </x:c>
      <x:c r="B321" s="59" t="str">
        <x:v>probe_references:PSE_STRUCT_B2B</x:v>
      </x:c>
      <x:c r="C321" s="59" t="str">
        <x:v>PASS</x:v>
      </x:c>
    </x:row>
    <x:row r="322" ht="30" customHeight="1">
      <x:c r="A322" s="59" t="str">
        <x:v>Kontrola lokalna</x:v>
      </x:c>
      <x:c r="B322" s="59" t="str">
        <x:v>probe_references:ENERGA_LANDING</x:v>
      </x:c>
      <x:c r="C322" s="59" t="str">
        <x:v>PASS</x:v>
      </x:c>
    </x:row>
    <x:row r="323" ht="30" customHeight="1">
      <x:c r="A323" s="59" t="str">
        <x:v>Kontrola lokalna</x:v>
      </x:c>
      <x:c r="B323" s="59" t="str">
        <x:v>probe_references:ENERGA_EXPORT</x:v>
      </x:c>
      <x:c r="C323" s="59" t="str">
        <x:v>PASS</x:v>
      </x:c>
    </x:row>
    <x:row r="324" ht="30" customHeight="1">
      <x:c r="A324" s="59" t="str">
        <x:v>Kontrola lokalna</x:v>
      </x:c>
      <x:c r="B324" s="59" t="str">
        <x:v>probe_references:ENERGA_IMPORT</x:v>
      </x:c>
      <x:c r="C324" s="59" t="str">
        <x:v>PASS</x:v>
      </x:c>
    </x:row>
    <x:row r="325" ht="30" customHeight="1">
      <x:c r="A325" s="59" t="str">
        <x:v>Kontrola lokalna</x:v>
      </x:c>
      <x:c r="B325" s="59" t="str">
        <x:v>probe_references:ENERGA_PIPELINE</x:v>
      </x:c>
      <x:c r="C325" s="59" t="str">
        <x:v>PASS</x:v>
      </x:c>
    </x:row>
    <x:row r="326" ht="30" customHeight="1">
      <x:c r="A326" s="59" t="str">
        <x:v>Kontrola lokalna</x:v>
      </x:c>
      <x:c r="B326" s="59" t="str">
        <x:v>probe_references:ENERGA_PLAN</x:v>
      </x:c>
      <x:c r="C326" s="59" t="str">
        <x:v>PASS</x:v>
      </x:c>
    </x:row>
    <x:row r="327" ht="30" customHeight="1">
      <x:c r="A327" s="59" t="str">
        <x:v>Kontrola lokalna</x:v>
      </x:c>
      <x:c r="B327" s="59" t="str">
        <x:v>probe_references:ENEA_PIPELINE</x:v>
      </x:c>
      <x:c r="C327" s="59" t="str">
        <x:v>PASS</x:v>
      </x:c>
    </x:row>
    <x:row r="328" ht="30" customHeight="1">
      <x:c r="A328" s="59" t="str">
        <x:v>Kontrola lokalna</x:v>
      </x:c>
      <x:c r="B328" s="59" t="str">
        <x:v>probe_references:ENEA_MAP</x:v>
      </x:c>
      <x:c r="C328" s="59" t="str">
        <x:v>PASS</x:v>
      </x:c>
    </x:row>
    <x:row r="329" ht="30" customHeight="1">
      <x:c r="A329" s="59" t="str">
        <x:v>Kontrola lokalna</x:v>
      </x:c>
      <x:c r="B329" s="59" t="str">
        <x:v>probe_references:ENEA_PLAN</x:v>
      </x:c>
      <x:c r="C329" s="59" t="str">
        <x:v>PASS</x:v>
      </x:c>
    </x:row>
    <x:row r="330" ht="30" customHeight="1">
      <x:c r="A330" s="59" t="str">
        <x:v>Kontrola lokalna</x:v>
      </x:c>
      <x:c r="B330" s="59" t="str">
        <x:v>probe_references:TAURON_PIPELINE</x:v>
      </x:c>
      <x:c r="C330" s="59" t="str">
        <x:v>PASS</x:v>
      </x:c>
    </x:row>
    <x:row r="331" ht="30" customHeight="1">
      <x:c r="A331" s="59" t="str">
        <x:v>Kontrola lokalna</x:v>
      </x:c>
      <x:c r="B331" s="59" t="str">
        <x:v>probe_references:TAURON_MAP</x:v>
      </x:c>
      <x:c r="C331" s="59" t="str">
        <x:v>PASS</x:v>
      </x:c>
    </x:row>
    <x:row r="332" ht="30" customHeight="1">
      <x:c r="A332" s="59" t="str">
        <x:v>Kontrola lokalna</x:v>
      </x:c>
      <x:c r="B332" s="59" t="str">
        <x:v>probe_references:TAURON_PLAN</x:v>
      </x:c>
      <x:c r="C332" s="59" t="str">
        <x:v>PASS</x:v>
      </x:c>
    </x:row>
    <x:row r="333" ht="30" customHeight="1">
      <x:c r="A333" s="59" t="str">
        <x:v>Kontrola lokalna</x:v>
      </x:c>
      <x:c r="B333" s="59" t="str">
        <x:v>probe_references:STOEN_LANDING</x:v>
      </x:c>
      <x:c r="C333" s="59" t="str">
        <x:v>PASS</x:v>
      </x:c>
    </x:row>
    <x:row r="334" ht="30" customHeight="1">
      <x:c r="A334" s="59" t="str">
        <x:v>Kontrola lokalna</x:v>
      </x:c>
      <x:c r="B334" s="59" t="str">
        <x:v>probe_references:STOEN_EXPORT</x:v>
      </x:c>
      <x:c r="C334" s="59" t="str">
        <x:v>PASS</x:v>
      </x:c>
    </x:row>
    <x:row r="335" ht="30" customHeight="1">
      <x:c r="A335" s="59" t="str">
        <x:v>Kontrola lokalna</x:v>
      </x:c>
      <x:c r="B335" s="59" t="str">
        <x:v>probe_references:STOEN_IMPORT</x:v>
      </x:c>
      <x:c r="C335" s="59" t="str">
        <x:v>PASS</x:v>
      </x:c>
    </x:row>
    <x:row r="336" ht="30" customHeight="1">
      <x:c r="A336" s="59" t="str">
        <x:v>Kontrola lokalna</x:v>
      </x:c>
      <x:c r="B336" s="59" t="str">
        <x:v>probe_references:STOEN_PIPELINE</x:v>
      </x:c>
      <x:c r="C336" s="59" t="str">
        <x:v>PASS</x:v>
      </x:c>
    </x:row>
    <x:row r="337" ht="30" customHeight="1">
      <x:c r="A337" s="59" t="str">
        <x:v>Kontrola lokalna</x:v>
      </x:c>
      <x:c r="B337" s="59" t="str">
        <x:v>probe_references:STOEN_STORAGE</x:v>
      </x:c>
      <x:c r="C337" s="59" t="str">
        <x:v>PASS</x:v>
      </x:c>
    </x:row>
    <x:row r="338" ht="30" customHeight="1">
      <x:c r="A338" s="59" t="str">
        <x:v>Kontrola lokalna</x:v>
      </x:c>
      <x:c r="B338" s="59" t="str">
        <x:v>probe_references:STOEN_PLAN</x:v>
      </x:c>
      <x:c r="C338" s="59" t="str">
        <x:v>PASS</x:v>
      </x:c>
    </x:row>
    <x:row r="339" ht="30" customHeight="1">
      <x:c r="A339" s="59" t="str">
        <x:v>Kontrola lokalna</x:v>
      </x:c>
      <x:c r="B339" s="59" t="str">
        <x:v>probe_references:PGE_LANDING</x:v>
      </x:c>
      <x:c r="C339" s="59" t="str">
        <x:v>PASS</x:v>
      </x:c>
    </x:row>
    <x:row r="340" ht="30" customHeight="1">
      <x:c r="A340" s="59" t="str">
        <x:v>Kontrola lokalna</x:v>
      </x:c>
      <x:c r="B340" s="59" t="str">
        <x:v>probe_references:PGE_EXPORT_DISCOVERY</x:v>
      </x:c>
      <x:c r="C340" s="59" t="str">
        <x:v>PASS</x:v>
      </x:c>
    </x:row>
    <x:row r="341" ht="30" customHeight="1">
      <x:c r="A341" s="59" t="str">
        <x:v>Kontrola lokalna</x:v>
      </x:c>
      <x:c r="B341" s="59" t="str">
        <x:v>probe_references:PGE_PLAN_DISCOVERY</x:v>
      </x:c>
      <x:c r="C341" s="59" t="str">
        <x:v>PASS</x:v>
      </x:c>
    </x:row>
    <x:row r="342" ht="30" customHeight="1">
      <x:c r="A342" s="59" t="str">
        <x:v>Kontrola lokalna</x:v>
      </x:c>
      <x:c r="B342" s="59" t="str">
        <x:v>probe_references:KGHM_OSD</x:v>
      </x:c>
      <x:c r="C342" s="59" t="str">
        <x:v>PASS</x:v>
      </x:c>
    </x:row>
    <x:row r="343" ht="30" customHeight="1">
      <x:c r="A343" s="59" t="str">
        <x:v>Kontrola lokalna</x:v>
      </x:c>
      <x:c r="B343" s="59" t="str">
        <x:v>probe_references:URE_REGISTERS</x:v>
      </x:c>
      <x:c r="C343" s="59" t="str">
        <x:v>PASS</x:v>
      </x:c>
    </x:row>
    <x:row r="344" ht="30" customHeight="1">
      <x:c r="A344" s="59" t="str">
        <x:v>Kontrola lokalna</x:v>
      </x:c>
      <x:c r="B344" s="59" t="str">
        <x:v>probe_references:ENERGY_LAW_516</x:v>
      </x:c>
      <x:c r="C344" s="59" t="str">
        <x:v>PASS</x:v>
      </x:c>
    </x:row>
    <x:row r="345" ht="30" customHeight="1">
      <x:c r="A345" s="59" t="str">
        <x:v>Kontrola lokalna</x:v>
      </x:c>
      <x:c r="B345" s="59" t="str">
        <x:v>probe_references:BIP_ENV_DISCOVERY</x:v>
      </x:c>
      <x:c r="C345" s="59" t="str">
        <x:v>PASS</x:v>
      </x:c>
    </x:row>
    <x:row r="346" ht="30" customHeight="1">
      <x:c r="A346" s="59" t="str">
        <x:v>Kontrola lokalna</x:v>
      </x:c>
      <x:c r="B346" s="59" t="str">
        <x:v>probe_references:KRS_API_DOCS</x:v>
      </x:c>
      <x:c r="C346" s="59" t="str">
        <x:v>PASS</x:v>
      </x:c>
    </x:row>
    <x:row r="347" ht="30" customHeight="1">
      <x:c r="A347" s="59" t="str">
        <x:v>Kontrola lokalna</x:v>
      </x:c>
      <x:c r="B347" s="59" t="str">
        <x:v>probe_references:GUGIK_EGIB</x:v>
      </x:c>
      <x:c r="C347" s="59" t="str">
        <x:v>PASS</x:v>
      </x:c>
    </x:row>
    <x:row r="348" ht="30" customHeight="1">
      <x:c r="A348" s="59" t="str">
        <x:v>Kontrola lokalna</x:v>
      </x:c>
      <x:c r="B348" s="59" t="str">
        <x:v>probe_references:GUGIK_BDOT</x:v>
      </x:c>
      <x:c r="C348" s="59" t="str">
        <x:v>PASS</x:v>
      </x:c>
    </x:row>
    <x:row r="349" ht="30" customHeight="1">
      <x:c r="A349" s="59" t="str">
        <x:v>Kontrola lokalna</x:v>
      </x:c>
      <x:c r="B349" s="59" t="str">
        <x:v>probe_references:GUGIK_BDOT_PARQUET</x:v>
      </x:c>
      <x:c r="C349" s="59" t="str">
        <x:v>PASS</x:v>
      </x:c>
    </x:row>
    <x:row r="350" ht="30" customHeight="1">
      <x:c r="A350" s="59" t="str">
        <x:v>Kontrola lokalna</x:v>
      </x:c>
      <x:c r="B350" s="59" t="str">
        <x:v>probe_references:GUGIK_ORTHO</x:v>
      </x:c>
      <x:c r="C350" s="59" t="str">
        <x:v>PASS</x:v>
      </x:c>
    </x:row>
    <x:row r="351" ht="30" customHeight="1">
      <x:c r="A351" s="59" t="str">
        <x:v>Kontrola lokalna</x:v>
      </x:c>
      <x:c r="B351" s="59" t="str">
        <x:v>probe_references:GUGIK_NMT</x:v>
      </x:c>
      <x:c r="C351" s="59" t="str">
        <x:v>PASS</x:v>
      </x:c>
    </x:row>
    <x:row r="352" ht="30" customHeight="1">
      <x:c r="A352" s="59" t="str">
        <x:v>Kontrola lokalna</x:v>
      </x:c>
      <x:c r="B352" s="59" t="str">
        <x:v>probe_references:GUGIK_MPZP</x:v>
      </x:c>
      <x:c r="C352" s="59" t="str">
        <x:v>PASS</x:v>
      </x:c>
    </x:row>
    <x:row r="353" ht="30" customHeight="1">
      <x:c r="A353" s="59" t="str">
        <x:v>Kontrola lokalna</x:v>
      </x:c>
      <x:c r="B353" s="59" t="str">
        <x:v>probe_references:URBAN_REGISTER</x:v>
      </x:c>
      <x:c r="C353" s="59" t="str">
        <x:v>PASS</x:v>
      </x:c>
    </x:row>
    <x:row r="354" ht="30" customHeight="1">
      <x:c r="A354" s="59" t="str">
        <x:v>Kontrola lokalna</x:v>
      </x:c>
      <x:c r="B354" s="59" t="str">
        <x:v>probe_references:GDOS_GIS</x:v>
      </x:c>
      <x:c r="C354" s="59" t="str">
        <x:v>PASS</x:v>
      </x:c>
    </x:row>
    <x:row r="355" ht="30" customHeight="1">
      <x:c r="A355" s="59" t="str">
        <x:v>Kontrola lokalna</x:v>
      </x:c>
      <x:c r="B355" s="59" t="str">
        <x:v>probe_references:WODY_SIGW</x:v>
      </x:c>
      <x:c r="C355" s="59" t="str">
        <x:v>PASS</x:v>
      </x:c>
    </x:row>
    <x:row r="356" ht="30" customHeight="1">
      <x:c r="A356" s="59" t="str">
        <x:v>Kontrola lokalna</x:v>
      </x:c>
      <x:c r="B356" s="59" t="str">
        <x:v>probe_references:BDL_GIS</x:v>
      </x:c>
      <x:c r="C356" s="59" t="str">
        <x:v>PASS</x:v>
      </x:c>
    </x:row>
    <x:row r="357" ht="30" customHeight="1">
      <x:c r="A357" s="59" t="str">
        <x:v>Kontrola lokalna</x:v>
      </x:c>
      <x:c r="B357" s="59" t="str">
        <x:v>probe_references:ENTSOE_TP</x:v>
      </x:c>
      <x:c r="C357" s="59" t="str">
        <x:v>PASS</x:v>
      </x:c>
    </x:row>
    <x:row r="358" ht="30" customHeight="1">
      <x:c r="A358" s="59" t="str">
        <x:v>Kontrola lokalna</x:v>
      </x:c>
      <x:c r="B358" s="59" t="str">
        <x:v>probe_references:ENTSOE_MAP</x:v>
      </x:c>
      <x:c r="C358" s="59" t="str">
        <x:v>PASS</x:v>
      </x:c>
    </x:row>
    <x:row r="359" ht="30" customHeight="1">
      <x:c r="A359" s="59" t="str">
        <x:v>Kontrola lokalna</x:v>
      </x:c>
      <x:c r="B359" s="59" t="str">
        <x:v>probe_references:OSM_LICENSE</x:v>
      </x:c>
      <x:c r="C359" s="59" t="str">
        <x:v>PASS</x:v>
      </x:c>
    </x:row>
    <x:row r="360" ht="30" customHeight="1">
      <x:c r="A360" s="59" t="str">
        <x:v>Kontrola lokalna</x:v>
      </x:c>
      <x:c r="B360" s="59" t="str">
        <x:v>probe_references:GEOFABRIK_PL</x:v>
      </x:c>
      <x:c r="C360" s="59" t="str">
        <x:v>PASS</x:v>
      </x:c>
    </x:row>
    <x:row r="361" ht="30" customHeight="1">
      <x:c r="A361" s="59" t="str">
        <x:v>Kontrola lokalna</x:v>
      </x:c>
      <x:c r="B361" s="59" t="str">
        <x:v>probe_references:OPENINFRAMAP</x:v>
      </x:c>
      <x:c r="C361" s="59" t="str">
        <x:v>PASS</x:v>
      </x:c>
    </x:row>
    <x:row r="362" ht="30" customHeight="1">
      <x:c r="A362" s="59" t="str">
        <x:v>Kontrola lokalna</x:v>
      </x:c>
      <x:c r="B362" s="59" t="str">
        <x:v>probe_references:PYPSA_EUR</x:v>
      </x:c>
      <x:c r="C362" s="59" t="str">
        <x:v>PASS</x:v>
      </x:c>
    </x:row>
    <x:row r="363" ht="30" customHeight="1">
      <x:c r="A363" s="59" t="str">
        <x:v>Kontrola lokalna</x:v>
      </x:c>
      <x:c r="B363" s="59" t="str">
        <x:v>probe_references:MATPOWER_POLAND</x:v>
      </x:c>
      <x:c r="C363" s="59" t="str">
        <x:v>PASS</x:v>
      </x:c>
    </x:row>
    <x:row r="364" ht="30" customHeight="1">
      <x:c r="A364" s="59" t="str">
        <x:v>Kontrola lokalna</x:v>
      </x:c>
      <x:c r="B364" s="59" t="str">
        <x:v>probe_references:PANDAPOWER</x:v>
      </x:c>
      <x:c r="C364" s="59" t="str">
        <x:v>PASS</x:v>
      </x:c>
    </x:row>
    <x:row r="365" ht="30" customHeight="1">
      <x:c r="A365" s="59" t="str">
        <x:v>Kontrola lokalna</x:v>
      </x:c>
      <x:c r="B365" s="59" t="str">
        <x:v>probe_references:VERAGRID</x:v>
      </x:c>
      <x:c r="C365" s="59" t="str">
        <x:v>PASS</x:v>
      </x:c>
    </x:row>
    <x:row r="366" ht="30" customHeight="1">
      <x:c r="A366" s="59" t="str">
        <x:v>Kontrola lokalna</x:v>
      </x:c>
      <x:c r="B366" s="59" t="str">
        <x:v>probe_references:MATPOWER_LIBRARY</x:v>
      </x:c>
      <x:c r="C366" s="59" t="str">
        <x:v>PASS</x:v>
      </x:c>
    </x:row>
    <x:row r="367" ht="30" customHeight="1">
      <x:c r="A367" s="59" t="str">
        <x:v>Kontrola lokalna</x:v>
      </x:c>
      <x:c r="B367" s="59" t="str">
        <x:v>probe_references:POWERMODELS</x:v>
      </x:c>
      <x:c r="C367" s="59" t="str">
        <x:v>PASS</x:v>
      </x:c>
    </x:row>
    <x:row r="368" ht="30" customHeight="1">
      <x:c r="A368" s="59" t="str">
        <x:v>Kontrola lokalna</x:v>
      </x:c>
      <x:c r="B368" s="59" t="str">
        <x:v>probe_references:OPSD_TIMESERIES</x:v>
      </x:c>
      <x:c r="C368" s="59" t="str">
        <x:v>PASS</x:v>
      </x:c>
    </x:row>
    <x:row r="369" ht="30" customHeight="1">
      <x:c r="A369" s="59" t="str">
        <x:v>Kontrola lokalna</x:v>
      </x:c>
      <x:c r="B369" s="59" t="str">
        <x:v>probe_references:ENERGY_CHARTS</x:v>
      </x:c>
      <x:c r="C369" s="59" t="str">
        <x:v>PASS</x:v>
      </x:c>
    </x:row>
    <x:row r="370" ht="30" customHeight="1">
      <x:c r="A370" s="59" t="str">
        <x:v>Kontrola lokalna</x:v>
      </x:c>
      <x:c r="B370" s="59" t="str">
        <x:v>probe_references:EMBER_API</x:v>
      </x:c>
      <x:c r="C370" s="59" t="str">
        <x:v>PASS</x:v>
      </x:c>
    </x:row>
    <x:row r="371" ht="30" customHeight="1">
      <x:c r="A371" s="59" t="str">
        <x:v>Kontrola lokalna</x:v>
      </x:c>
      <x:c r="B371" s="59" t="str">
        <x:v>probe_references:JRC_IDEES</x:v>
      </x:c>
      <x:c r="C371" s="59" t="str">
        <x:v>PASS</x:v>
      </x:c>
    </x:row>
    <x:row r="372" ht="30" customHeight="1">
      <x:c r="A372" s="59" t="str">
        <x:v>Kontrola lokalna</x:v>
      </x:c>
      <x:c r="B372" s="59" t="str">
        <x:v>probe_references:COPERNICUS</x:v>
      </x:c>
      <x:c r="C372" s="59" t="str">
        <x:v>PASS</x:v>
      </x:c>
    </x:row>
    <x:row r="373" ht="30" customHeight="1">
      <x:c r="A373" s="59" t="str">
        <x:v>Kontrola lokalna</x:v>
      </x:c>
      <x:c r="B373" s="59" t="str">
        <x:v>snapshot_within_raw:PSE_API_DOCS</x:v>
      </x:c>
      <x:c r="C373" s="59" t="str">
        <x:v>PASS</x:v>
      </x:c>
    </x:row>
    <x:row r="374" ht="30" customHeight="1">
      <x:c r="A374" s="59" t="str">
        <x:v>Kontrola lokalna</x:v>
      </x:c>
      <x:c r="B374" s="59" t="str">
        <x:v>snapshot_exists:PSE_API_DOCS</x:v>
      </x:c>
      <x:c r="C374" s="59" t="str">
        <x:v>PASS</x:v>
      </x:c>
    </x:row>
    <x:row r="375" ht="30" customHeight="1">
      <x:c r="A375" s="59" t="str">
        <x:v>Kontrola lokalna</x:v>
      </x:c>
      <x:c r="B375" s="59" t="str">
        <x:v>snapshot_bytes:PSE_API_DOCS</x:v>
      </x:c>
      <x:c r="C375" s="59" t="str">
        <x:v>PASS</x:v>
      </x:c>
    </x:row>
    <x:row r="376" ht="30" customHeight="1">
      <x:c r="A376" s="59" t="str">
        <x:v>Kontrola lokalna</x:v>
      </x:c>
      <x:c r="B376" s="59" t="str">
        <x:v>snapshot_sha256:PSE_API_DOCS</x:v>
      </x:c>
      <x:c r="C376" s="59" t="str">
        <x:v>PASS</x:v>
      </x:c>
    </x:row>
    <x:row r="377" ht="30" customHeight="1">
      <x:c r="A377" s="59" t="str">
        <x:v>Kontrola lokalna</x:v>
      </x:c>
      <x:c r="B377" s="59" t="str">
        <x:v>snapshot_within_raw:PSE_CAPACITY</x:v>
      </x:c>
      <x:c r="C377" s="59" t="str">
        <x:v>PASS</x:v>
      </x:c>
    </x:row>
    <x:row r="378" ht="30" customHeight="1">
      <x:c r="A378" s="59" t="str">
        <x:v>Kontrola lokalna</x:v>
      </x:c>
      <x:c r="B378" s="59" t="str">
        <x:v>snapshot_exists:PSE_CAPACITY</x:v>
      </x:c>
      <x:c r="C378" s="59" t="str">
        <x:v>PASS</x:v>
      </x:c>
    </x:row>
    <x:row r="379" ht="30" customHeight="1">
      <x:c r="A379" s="59" t="str">
        <x:v>Kontrola lokalna</x:v>
      </x:c>
      <x:c r="B379" s="59" t="str">
        <x:v>snapshot_bytes:PSE_CAPACITY</x:v>
      </x:c>
      <x:c r="C379" s="59" t="str">
        <x:v>PASS</x:v>
      </x:c>
    </x:row>
    <x:row r="380" ht="30" customHeight="1">
      <x:c r="A380" s="59" t="str">
        <x:v>Kontrola lokalna</x:v>
      </x:c>
      <x:c r="B380" s="59" t="str">
        <x:v>snapshot_sha256:PSE_CAPACITY</x:v>
      </x:c>
      <x:c r="C380" s="59" t="str">
        <x:v>PASS</x:v>
      </x:c>
    </x:row>
    <x:row r="381" ht="30" customHeight="1">
      <x:c r="A381" s="59" t="str">
        <x:v>Kontrola lokalna</x:v>
      </x:c>
      <x:c r="B381" s="59" t="str">
        <x:v>snapshot_within_raw:ENERGA_PIPELINE</x:v>
      </x:c>
      <x:c r="C381" s="59" t="str">
        <x:v>PASS</x:v>
      </x:c>
    </x:row>
    <x:row r="382" ht="30" customHeight="1">
      <x:c r="A382" s="59" t="str">
        <x:v>Kontrola lokalna</x:v>
      </x:c>
      <x:c r="B382" s="59" t="str">
        <x:v>snapshot_exists:ENERGA_PIPELINE</x:v>
      </x:c>
      <x:c r="C382" s="59" t="str">
        <x:v>PASS</x:v>
      </x:c>
    </x:row>
    <x:row r="383" ht="30" customHeight="1">
      <x:c r="A383" s="59" t="str">
        <x:v>Kontrola lokalna</x:v>
      </x:c>
      <x:c r="B383" s="59" t="str">
        <x:v>snapshot_bytes:ENERGA_PIPELINE</x:v>
      </x:c>
      <x:c r="C383" s="59" t="str">
        <x:v>PASS</x:v>
      </x:c>
    </x:row>
    <x:row r="384" ht="30" customHeight="1">
      <x:c r="A384" s="59" t="str">
        <x:v>Kontrola lokalna</x:v>
      </x:c>
      <x:c r="B384" s="59" t="str">
        <x:v>snapshot_sha256:ENERGA_PIPELINE</x:v>
      </x:c>
      <x:c r="C384" s="59" t="str">
        <x:v>PASS</x:v>
      </x:c>
    </x:row>
    <x:row r="385" ht="30" customHeight="1">
      <x:c r="A385" s="59" t="str">
        <x:v>Kontrola lokalna</x:v>
      </x:c>
      <x:c r="B385" s="59" t="str">
        <x:v>snapshot_within_raw:ENERGA_IMPORT</x:v>
      </x:c>
      <x:c r="C385" s="59" t="str">
        <x:v>PASS</x:v>
      </x:c>
    </x:row>
    <x:row r="386" ht="30" customHeight="1">
      <x:c r="A386" s="59" t="str">
        <x:v>Kontrola lokalna</x:v>
      </x:c>
      <x:c r="B386" s="59" t="str">
        <x:v>snapshot_exists:ENERGA_IMPORT</x:v>
      </x:c>
      <x:c r="C386" s="59" t="str">
        <x:v>PASS</x:v>
      </x:c>
    </x:row>
    <x:row r="387" ht="30" customHeight="1">
      <x:c r="A387" s="59" t="str">
        <x:v>Kontrola lokalna</x:v>
      </x:c>
      <x:c r="B387" s="59" t="str">
        <x:v>snapshot_bytes:ENERGA_IMPORT</x:v>
      </x:c>
      <x:c r="C387" s="59" t="str">
        <x:v>PASS</x:v>
      </x:c>
    </x:row>
    <x:row r="388" ht="30" customHeight="1">
      <x:c r="A388" s="59" t="str">
        <x:v>Kontrola lokalna</x:v>
      </x:c>
      <x:c r="B388" s="59" t="str">
        <x:v>snapshot_sha256:ENERGA_IMPORT</x:v>
      </x:c>
      <x:c r="C388" s="59" t="str">
        <x:v>PASS</x:v>
      </x:c>
    </x:row>
    <x:row r="389" ht="30" customHeight="1">
      <x:c r="A389" s="59" t="str">
        <x:v>Kontrola lokalna</x:v>
      </x:c>
      <x:c r="B389" s="59" t="str">
        <x:v>snapshot_within_raw:ENERGA_EXPORT</x:v>
      </x:c>
      <x:c r="C389" s="59" t="str">
        <x:v>PASS</x:v>
      </x:c>
    </x:row>
    <x:row r="390" ht="30" customHeight="1">
      <x:c r="A390" s="59" t="str">
        <x:v>Kontrola lokalna</x:v>
      </x:c>
      <x:c r="B390" s="59" t="str">
        <x:v>snapshot_exists:ENERGA_EXPORT</x:v>
      </x:c>
      <x:c r="C390" s="59" t="str">
        <x:v>PASS</x:v>
      </x:c>
    </x:row>
    <x:row r="391" ht="30" customHeight="1">
      <x:c r="A391" s="59" t="str">
        <x:v>Kontrola lokalna</x:v>
      </x:c>
      <x:c r="B391" s="59" t="str">
        <x:v>snapshot_bytes:ENERGA_EXPORT</x:v>
      </x:c>
      <x:c r="C391" s="59" t="str">
        <x:v>PASS</x:v>
      </x:c>
    </x:row>
    <x:row r="392" ht="30" customHeight="1">
      <x:c r="A392" s="59" t="str">
        <x:v>Kontrola lokalna</x:v>
      </x:c>
      <x:c r="B392" s="59" t="str">
        <x:v>snapshot_sha256:ENERGA_EXPORT</x:v>
      </x:c>
      <x:c r="C392" s="59" t="str">
        <x:v>PASS</x:v>
      </x:c>
    </x:row>
    <x:row r="393" ht="30" customHeight="1">
      <x:c r="A393" s="59" t="str">
        <x:v>Kontrola lokalna</x:v>
      </x:c>
      <x:c r="B393" s="59" t="str">
        <x:v>snapshot_within_raw:PGE_LANDING</x:v>
      </x:c>
      <x:c r="C393" s="59" t="str">
        <x:v>PASS</x:v>
      </x:c>
    </x:row>
    <x:row r="394" ht="30" customHeight="1">
      <x:c r="A394" s="59" t="str">
        <x:v>Kontrola lokalna</x:v>
      </x:c>
      <x:c r="B394" s="59" t="str">
        <x:v>snapshot_exists:PGE_LANDING</x:v>
      </x:c>
      <x:c r="C394" s="59" t="str">
        <x:v>PASS</x:v>
      </x:c>
    </x:row>
    <x:row r="395" ht="30" customHeight="1">
      <x:c r="A395" s="59" t="str">
        <x:v>Kontrola lokalna</x:v>
      </x:c>
      <x:c r="B395" s="59" t="str">
        <x:v>snapshot_bytes:PGE_LANDING</x:v>
      </x:c>
      <x:c r="C395" s="59" t="str">
        <x:v>PASS</x:v>
      </x:c>
    </x:row>
    <x:row r="396" ht="30" customHeight="1">
      <x:c r="A396" s="59" t="str">
        <x:v>Kontrola lokalna</x:v>
      </x:c>
      <x:c r="B396" s="59" t="str">
        <x:v>snapshot_sha256:PGE_LANDING</x:v>
      </x:c>
      <x:c r="C396" s="59" t="str">
        <x:v>PASS</x:v>
      </x:c>
    </x:row>
    <x:row r="397" ht="30" customHeight="1">
      <x:c r="A397" s="59" t="str">
        <x:v>Kontrola lokalna</x:v>
      </x:c>
      <x:c r="B397" s="59" t="str">
        <x:v>snapshot_within_raw:TAURON_PIPELINE</x:v>
      </x:c>
      <x:c r="C397" s="59" t="str">
        <x:v>PASS</x:v>
      </x:c>
    </x:row>
    <x:row r="398" ht="30" customHeight="1">
      <x:c r="A398" s="59" t="str">
        <x:v>Kontrola lokalna</x:v>
      </x:c>
      <x:c r="B398" s="59" t="str">
        <x:v>snapshot_exists:TAURON_PIPELINE</x:v>
      </x:c>
      <x:c r="C398" s="59" t="str">
        <x:v>PASS</x:v>
      </x:c>
    </x:row>
    <x:row r="399" ht="30" customHeight="1">
      <x:c r="A399" s="59" t="str">
        <x:v>Kontrola lokalna</x:v>
      </x:c>
      <x:c r="B399" s="59" t="str">
        <x:v>snapshot_bytes:TAURON_PIPELINE</x:v>
      </x:c>
      <x:c r="C399" s="59" t="str">
        <x:v>PASS</x:v>
      </x:c>
    </x:row>
    <x:row r="400" ht="30" customHeight="1">
      <x:c r="A400" s="59" t="str">
        <x:v>Kontrola lokalna</x:v>
      </x:c>
      <x:c r="B400" s="59" t="str">
        <x:v>snapshot_sha256:TAURON_PIPELINE</x:v>
      </x:c>
      <x:c r="C400" s="59" t="str">
        <x:v>PASS</x:v>
      </x:c>
    </x:row>
    <x:row r="401" ht="30" customHeight="1">
      <x:c r="A401" s="59" t="str">
        <x:v>Kontrola lokalna</x:v>
      </x:c>
      <x:c r="B401" s="59" t="str">
        <x:v>snapshot_within_raw:ENERGA_LANDING</x:v>
      </x:c>
      <x:c r="C401" s="59" t="str">
        <x:v>PASS</x:v>
      </x:c>
    </x:row>
    <x:row r="402" ht="30" customHeight="1">
      <x:c r="A402" s="59" t="str">
        <x:v>Kontrola lokalna</x:v>
      </x:c>
      <x:c r="B402" s="59" t="str">
        <x:v>snapshot_exists:ENERGA_LANDING</x:v>
      </x:c>
      <x:c r="C402" s="59" t="str">
        <x:v>PASS</x:v>
      </x:c>
    </x:row>
    <x:row r="403" ht="30" customHeight="1">
      <x:c r="A403" s="59" t="str">
        <x:v>Kontrola lokalna</x:v>
      </x:c>
      <x:c r="B403" s="59" t="str">
        <x:v>snapshot_bytes:ENERGA_LANDING</x:v>
      </x:c>
      <x:c r="C403" s="59" t="str">
        <x:v>PASS</x:v>
      </x:c>
    </x:row>
    <x:row r="404" ht="30" customHeight="1">
      <x:c r="A404" s="59" t="str">
        <x:v>Kontrola lokalna</x:v>
      </x:c>
      <x:c r="B404" s="59" t="str">
        <x:v>snapshot_sha256:ENERGA_LANDING</x:v>
      </x:c>
      <x:c r="C404" s="59" t="str">
        <x:v>PASS</x:v>
      </x:c>
    </x:row>
    <x:row r="405" ht="30" customHeight="1">
      <x:c r="A405" s="59" t="str">
        <x:v>Kontrola lokalna</x:v>
      </x:c>
      <x:c r="B405" s="59" t="str">
        <x:v>snapshot_within_raw:GUGIK_EGIB_CAPABILITIES</x:v>
      </x:c>
      <x:c r="C405" s="59" t="str">
        <x:v>PASS</x:v>
      </x:c>
    </x:row>
    <x:row r="406" ht="30" customHeight="1">
      <x:c r="A406" s="59" t="str">
        <x:v>Kontrola lokalna</x:v>
      </x:c>
      <x:c r="B406" s="59" t="str">
        <x:v>snapshot_exists:GUGIK_EGIB_CAPABILITIES</x:v>
      </x:c>
      <x:c r="C406" s="59" t="str">
        <x:v>PASS</x:v>
      </x:c>
    </x:row>
    <x:row r="407" ht="30" customHeight="1">
      <x:c r="A407" s="59" t="str">
        <x:v>Kontrola lokalna</x:v>
      </x:c>
      <x:c r="B407" s="59" t="str">
        <x:v>snapshot_bytes:GUGIK_EGIB_CAPABILITIES</x:v>
      </x:c>
      <x:c r="C407" s="59" t="str">
        <x:v>PASS</x:v>
      </x:c>
    </x:row>
    <x:row r="408" ht="30" customHeight="1">
      <x:c r="A408" s="59" t="str">
        <x:v>Kontrola lokalna</x:v>
      </x:c>
      <x:c r="B408" s="59" t="str">
        <x:v>snapshot_sha256:GUGIK_EGIB_CAPABILITIES</x:v>
      </x:c>
      <x:c r="C408" s="59" t="str">
        <x:v>PASS</x:v>
      </x:c>
    </x:row>
    <x:row r="409" ht="30" customHeight="1">
      <x:c r="A409" s="59" t="str">
        <x:v>Kontrola lokalna</x:v>
      </x:c>
      <x:c r="B409" s="59" t="str">
        <x:v>snapshot_within_raw:GDOS_CAPABILITIES</x:v>
      </x:c>
      <x:c r="C409" s="59" t="str">
        <x:v>PASS</x:v>
      </x:c>
    </x:row>
    <x:row r="410" ht="30" customHeight="1">
      <x:c r="A410" s="59" t="str">
        <x:v>Kontrola lokalna</x:v>
      </x:c>
      <x:c r="B410" s="59" t="str">
        <x:v>snapshot_exists:GDOS_CAPABILITIES</x:v>
      </x:c>
      <x:c r="C410" s="59" t="str">
        <x:v>PASS</x:v>
      </x:c>
    </x:row>
    <x:row r="411" ht="30" customHeight="1">
      <x:c r="A411" s="59" t="str">
        <x:v>Kontrola lokalna</x:v>
      </x:c>
      <x:c r="B411" s="59" t="str">
        <x:v>snapshot_bytes:GDOS_CAPABILITIES</x:v>
      </x:c>
      <x:c r="C411" s="59" t="str">
        <x:v>PASS</x:v>
      </x:c>
    </x:row>
    <x:row r="412" ht="30" customHeight="1">
      <x:c r="A412" s="59" t="str">
        <x:v>Kontrola lokalna</x:v>
      </x:c>
      <x:c r="B412" s="59" t="str">
        <x:v>snapshot_sha256:GDOS_CAPABILITIES</x:v>
      </x:c>
      <x:c r="C412" s="59" t="str">
        <x:v>PASS</x:v>
      </x:c>
    </x:row>
    <x:row r="413" ht="30" customHeight="1">
      <x:c r="A413" s="59" t="str">
        <x:v>Kontrola lokalna</x:v>
      </x:c>
      <x:c r="B413" s="59" t="str">
        <x:v>snapshot_within_raw:ENERGY_CHARTS_DOCS</x:v>
      </x:c>
      <x:c r="C413" s="59" t="str">
        <x:v>PASS</x:v>
      </x:c>
    </x:row>
    <x:row r="414" ht="30" customHeight="1">
      <x:c r="A414" s="59" t="str">
        <x:v>Kontrola lokalna</x:v>
      </x:c>
      <x:c r="B414" s="59" t="str">
        <x:v>snapshot_exists:ENERGY_CHARTS_DOCS</x:v>
      </x:c>
      <x:c r="C414" s="59" t="str">
        <x:v>PASS</x:v>
      </x:c>
    </x:row>
    <x:row r="415" ht="30" customHeight="1">
      <x:c r="A415" s="59" t="str">
        <x:v>Kontrola lokalna</x:v>
      </x:c>
      <x:c r="B415" s="59" t="str">
        <x:v>snapshot_bytes:ENERGY_CHARTS_DOCS</x:v>
      </x:c>
      <x:c r="C415" s="59" t="str">
        <x:v>PASS</x:v>
      </x:c>
    </x:row>
    <x:row r="416" ht="30" customHeight="1">
      <x:c r="A416" s="59" t="str">
        <x:v>Kontrola lokalna</x:v>
      </x:c>
      <x:c r="B416" s="59" t="str">
        <x:v>snapshot_sha256:ENERGY_CHARTS_DOCS</x:v>
      </x:c>
      <x:c r="C416" s="59" t="str">
        <x:v>PASS</x:v>
      </x:c>
    </x:row>
    <x:row r="417" ht="30" customHeight="1">
      <x:c r="A417" s="59" t="str">
        <x:v>Kontrola lokalna</x:v>
      </x:c>
      <x:c r="B417" s="59" t="str">
        <x:v>snapshot_within_raw:PSE_API_JS</x:v>
      </x:c>
      <x:c r="C417" s="59" t="str">
        <x:v>PASS</x:v>
      </x:c>
    </x:row>
    <x:row r="418" ht="30" customHeight="1">
      <x:c r="A418" s="59" t="str">
        <x:v>Kontrola lokalna</x:v>
      </x:c>
      <x:c r="B418" s="59" t="str">
        <x:v>snapshot_exists:PSE_API_JS</x:v>
      </x:c>
      <x:c r="C418" s="59" t="str">
        <x:v>PASS</x:v>
      </x:c>
    </x:row>
    <x:row r="419" ht="30" customHeight="1">
      <x:c r="A419" s="59" t="str">
        <x:v>Kontrola lokalna</x:v>
      </x:c>
      <x:c r="B419" s="59" t="str">
        <x:v>snapshot_bytes:PSE_API_JS</x:v>
      </x:c>
      <x:c r="C419" s="59" t="str">
        <x:v>PASS</x:v>
      </x:c>
    </x:row>
    <x:row r="420" ht="30" customHeight="1">
      <x:c r="A420" s="59" t="str">
        <x:v>Kontrola lokalna</x:v>
      </x:c>
      <x:c r="B420" s="59" t="str">
        <x:v>snapshot_sha256:PSE_API_JS</x:v>
      </x:c>
      <x:c r="C420" s="59" t="str">
        <x:v>PASS</x:v>
      </x:c>
    </x:row>
    <x:row r="421" ht="30" customHeight="1">
      <x:c r="A421" s="59" t="str">
        <x:v>Kontrola lokalna</x:v>
      </x:c>
      <x:c r="B421" s="59" t="str">
        <x:v>snapshot_within_raw:ENERGY_CHARTS_OPENAPI</x:v>
      </x:c>
      <x:c r="C421" s="59" t="str">
        <x:v>PASS</x:v>
      </x:c>
    </x:row>
    <x:row r="422" ht="30" customHeight="1">
      <x:c r="A422" s="59" t="str">
        <x:v>Kontrola lokalna</x:v>
      </x:c>
      <x:c r="B422" s="59" t="str">
        <x:v>snapshot_exists:ENERGY_CHARTS_OPENAPI</x:v>
      </x:c>
      <x:c r="C422" s="59" t="str">
        <x:v>PASS</x:v>
      </x:c>
    </x:row>
    <x:row r="423" ht="30" customHeight="1">
      <x:c r="A423" s="59" t="str">
        <x:v>Kontrola lokalna</x:v>
      </x:c>
      <x:c r="B423" s="59" t="str">
        <x:v>snapshot_bytes:ENERGY_CHARTS_OPENAPI</x:v>
      </x:c>
      <x:c r="C423" s="59" t="str">
        <x:v>PASS</x:v>
      </x:c>
    </x:row>
    <x:row r="424" ht="30" customHeight="1">
      <x:c r="A424" s="59" t="str">
        <x:v>Kontrola lokalna</x:v>
      </x:c>
      <x:c r="B424" s="59" t="str">
        <x:v>snapshot_sha256:ENERGY_CHARTS_OPENAPI</x:v>
      </x:c>
      <x:c r="C424" s="59" t="str">
        <x:v>PASS</x:v>
      </x:c>
    </x:row>
    <x:row r="425" ht="30" customHeight="1">
      <x:c r="A425" s="59" t="str">
        <x:v>Kontrola lokalna</x:v>
      </x:c>
      <x:c r="B425" s="59" t="str">
        <x:v>snapshot_within_raw:TAURON_PIPELINE_PDF</x:v>
      </x:c>
      <x:c r="C425" s="59" t="str">
        <x:v>PASS</x:v>
      </x:c>
    </x:row>
    <x:row r="426" ht="30" customHeight="1">
      <x:c r="A426" s="59" t="str">
        <x:v>Kontrola lokalna</x:v>
      </x:c>
      <x:c r="B426" s="59" t="str">
        <x:v>snapshot_exists:TAURON_PIPELINE_PDF</x:v>
      </x:c>
      <x:c r="C426" s="59" t="str">
        <x:v>PASS</x:v>
      </x:c>
    </x:row>
    <x:row r="427" ht="30" customHeight="1">
      <x:c r="A427" s="59" t="str">
        <x:v>Kontrola lokalna</x:v>
      </x:c>
      <x:c r="B427" s="59" t="str">
        <x:v>snapshot_bytes:TAURON_PIPELINE_PDF</x:v>
      </x:c>
      <x:c r="C427" s="59" t="str">
        <x:v>PASS</x:v>
      </x:c>
    </x:row>
    <x:row r="428" ht="30" customHeight="1">
      <x:c r="A428" s="59" t="str">
        <x:v>Kontrola lokalna</x:v>
      </x:c>
      <x:c r="B428" s="59" t="str">
        <x:v>snapshot_sha256:TAURON_PIPELINE_PDF</x:v>
      </x:c>
      <x:c r="C428" s="59" t="str">
        <x:v>PASS</x:v>
      </x:c>
    </x:row>
    <x:row r="429" ht="30" customHeight="1">
      <x:c r="A429" s="59" t="str">
        <x:v>Kontrola lokalna</x:v>
      </x:c>
      <x:c r="B429" s="59" t="str">
        <x:v>snapshot_within_raw:STOEN_NETWORK_HTML</x:v>
      </x:c>
      <x:c r="C429" s="59" t="str">
        <x:v>PASS</x:v>
      </x:c>
    </x:row>
    <x:row r="430" ht="30" customHeight="1">
      <x:c r="A430" s="59" t="str">
        <x:v>Kontrola lokalna</x:v>
      </x:c>
      <x:c r="B430" s="59" t="str">
        <x:v>snapshot_exists:STOEN_NETWORK_HTML</x:v>
      </x:c>
      <x:c r="C430" s="59" t="str">
        <x:v>PASS</x:v>
      </x:c>
    </x:row>
    <x:row r="431" ht="30" customHeight="1">
      <x:c r="A431" s="59" t="str">
        <x:v>Kontrola lokalna</x:v>
      </x:c>
      <x:c r="B431" s="59" t="str">
        <x:v>snapshot_bytes:STOEN_NETWORK_HTML</x:v>
      </x:c>
      <x:c r="C431" s="59" t="str">
        <x:v>PASS</x:v>
      </x:c>
    </x:row>
    <x:row r="432" ht="30" customHeight="1">
      <x:c r="A432" s="59" t="str">
        <x:v>Kontrola lokalna</x:v>
      </x:c>
      <x:c r="B432" s="59" t="str">
        <x:v>snapshot_sha256:STOEN_NETWORK_HTML</x:v>
      </x:c>
      <x:c r="C432" s="59" t="str">
        <x:v>PASS</x:v>
      </x:c>
    </x:row>
    <x:row r="433" ht="30" customHeight="1">
      <x:c r="A433" s="59" t="str">
        <x:v>Kontrola lokalna</x:v>
      </x:c>
      <x:c r="B433" s="59" t="str">
        <x:v>snapshot_within_raw:ENEA_PIPELINE_HTML</x:v>
      </x:c>
      <x:c r="C433" s="59" t="str">
        <x:v>PASS</x:v>
      </x:c>
    </x:row>
    <x:row r="434" ht="30" customHeight="1">
      <x:c r="A434" s="59" t="str">
        <x:v>Kontrola lokalna</x:v>
      </x:c>
      <x:c r="B434" s="59" t="str">
        <x:v>snapshot_exists:ENEA_PIPELINE_HTML</x:v>
      </x:c>
      <x:c r="C434" s="59" t="str">
        <x:v>PASS</x:v>
      </x:c>
    </x:row>
    <x:row r="435" ht="30" customHeight="1">
      <x:c r="A435" s="59" t="str">
        <x:v>Kontrola lokalna</x:v>
      </x:c>
      <x:c r="B435" s="59" t="str">
        <x:v>snapshot_bytes:ENEA_PIPELINE_HTML</x:v>
      </x:c>
      <x:c r="C435" s="59" t="str">
        <x:v>PASS</x:v>
      </x:c>
    </x:row>
    <x:row r="436" ht="30" customHeight="1">
      <x:c r="A436" s="59" t="str">
        <x:v>Kontrola lokalna</x:v>
      </x:c>
      <x:c r="B436" s="59" t="str">
        <x:v>snapshot_sha256:ENEA_PIPELINE_HTML</x:v>
      </x:c>
      <x:c r="C436" s="59" t="str">
        <x:v>PASS</x:v>
      </x:c>
    </x:row>
    <x:row r="437" ht="30" customHeight="1">
      <x:c r="A437" s="59" t="str">
        <x:v>Kontrola lokalna</x:v>
      </x:c>
      <x:c r="B437" s="59" t="str">
        <x:v>snapshot_within_raw:PSE_PIPELINE_HTML</x:v>
      </x:c>
      <x:c r="C437" s="59" t="str">
        <x:v>PASS</x:v>
      </x:c>
    </x:row>
    <x:row r="438" ht="30" customHeight="1">
      <x:c r="A438" s="59" t="str">
        <x:v>Kontrola lokalna</x:v>
      </x:c>
      <x:c r="B438" s="59" t="str">
        <x:v>snapshot_exists:PSE_PIPELINE_HTML</x:v>
      </x:c>
      <x:c r="C438" s="59" t="str">
        <x:v>PASS</x:v>
      </x:c>
    </x:row>
    <x:row r="439" ht="30" customHeight="1">
      <x:c r="A439" s="59" t="str">
        <x:v>Kontrola lokalna</x:v>
      </x:c>
      <x:c r="B439" s="59" t="str">
        <x:v>snapshot_bytes:PSE_PIPELINE_HTML</x:v>
      </x:c>
      <x:c r="C439" s="59" t="str">
        <x:v>PASS</x:v>
      </x:c>
    </x:row>
    <x:row r="440" ht="30" customHeight="1">
      <x:c r="A440" s="59" t="str">
        <x:v>Kontrola lokalna</x:v>
      </x:c>
      <x:c r="B440" s="59" t="str">
        <x:v>snapshot_sha256:PSE_PIPELINE_HTML</x:v>
      </x:c>
      <x:c r="C440" s="59" t="str">
        <x:v>PASS</x:v>
      </x:c>
    </x:row>
    <x:row r="441" ht="30" customHeight="1">
      <x:c r="A441" s="59" t="str">
        <x:v>Kontrola lokalna</x:v>
      </x:c>
      <x:c r="B441" s="59" t="str">
        <x:v>snapshot_within_raw:PSE_OPENAPI</x:v>
      </x:c>
      <x:c r="C441" s="59" t="str">
        <x:v>PASS</x:v>
      </x:c>
    </x:row>
    <x:row r="442" ht="30" customHeight="1">
      <x:c r="A442" s="59" t="str">
        <x:v>Kontrola lokalna</x:v>
      </x:c>
      <x:c r="B442" s="59" t="str">
        <x:v>snapshot_exists:PSE_OPENAPI</x:v>
      </x:c>
      <x:c r="C442" s="59" t="str">
        <x:v>PASS</x:v>
      </x:c>
    </x:row>
    <x:row r="443" ht="30" customHeight="1">
      <x:c r="A443" s="59" t="str">
        <x:v>Kontrola lokalna</x:v>
      </x:c>
      <x:c r="B443" s="59" t="str">
        <x:v>snapshot_bytes:PSE_OPENAPI</x:v>
      </x:c>
      <x:c r="C443" s="59" t="str">
        <x:v>PASS</x:v>
      </x:c>
    </x:row>
    <x:row r="444" ht="30" customHeight="1">
      <x:c r="A444" s="59" t="str">
        <x:v>Kontrola lokalna</x:v>
      </x:c>
      <x:c r="B444" s="59" t="str">
        <x:v>snapshot_sha256:PSE_OPENAPI</x:v>
      </x:c>
      <x:c r="C444" s="59" t="str">
        <x:v>PASS</x:v>
      </x:c>
    </x:row>
    <x:row r="445" ht="30" customHeight="1">
      <x:c r="A445" s="59" t="str">
        <x:v>Kontrola lokalna</x:v>
      </x:c>
      <x:c r="B445" s="59" t="str">
        <x:v>snapshot_within_raw:PSE_PIPELINE_XLSX</x:v>
      </x:c>
      <x:c r="C445" s="59" t="str">
        <x:v>PASS</x:v>
      </x:c>
    </x:row>
    <x:row r="446" ht="30" customHeight="1">
      <x:c r="A446" s="59" t="str">
        <x:v>Kontrola lokalna</x:v>
      </x:c>
      <x:c r="B446" s="59" t="str">
        <x:v>snapshot_exists:PSE_PIPELINE_XLSX</x:v>
      </x:c>
      <x:c r="C446" s="59" t="str">
        <x:v>PASS</x:v>
      </x:c>
    </x:row>
    <x:row r="447" ht="30" customHeight="1">
      <x:c r="A447" s="59" t="str">
        <x:v>Kontrola lokalna</x:v>
      </x:c>
      <x:c r="B447" s="59" t="str">
        <x:v>snapshot_bytes:PSE_PIPELINE_XLSX</x:v>
      </x:c>
      <x:c r="C447" s="59" t="str">
        <x:v>PASS</x:v>
      </x:c>
    </x:row>
    <x:row r="448" ht="30" customHeight="1">
      <x:c r="A448" s="59" t="str">
        <x:v>Kontrola lokalna</x:v>
      </x:c>
      <x:c r="B448" s="59" t="str">
        <x:v>snapshot_sha256:PSE_PIPELINE_XLSX</x:v>
      </x:c>
      <x:c r="C448" s="59" t="str">
        <x:v>PASS</x:v>
      </x:c>
    </x:row>
    <x:row r="449" ht="30" customHeight="1">
      <x:c r="A449" s="59" t="str">
        <x:v>Kontrola lokalna</x:v>
      </x:c>
      <x:c r="B449" s="59" t="str">
        <x:v>snapshot_within_raw:ENEA_MAP</x:v>
      </x:c>
      <x:c r="C449" s="59" t="str">
        <x:v>PASS</x:v>
      </x:c>
    </x:row>
    <x:row r="450" ht="30" customHeight="1">
      <x:c r="A450" s="59" t="str">
        <x:v>Kontrola lokalna</x:v>
      </x:c>
      <x:c r="B450" s="59" t="str">
        <x:v>snapshot_exists:ENEA_MAP</x:v>
      </x:c>
      <x:c r="C450" s="59" t="str">
        <x:v>PASS</x:v>
      </x:c>
    </x:row>
    <x:row r="451" ht="30" customHeight="1">
      <x:c r="A451" s="59" t="str">
        <x:v>Kontrola lokalna</x:v>
      </x:c>
      <x:c r="B451" s="59" t="str">
        <x:v>snapshot_bytes:ENEA_MAP</x:v>
      </x:c>
      <x:c r="C451" s="59" t="str">
        <x:v>PASS</x:v>
      </x:c>
    </x:row>
    <x:row r="452" ht="30" customHeight="1">
      <x:c r="A452" s="59" t="str">
        <x:v>Kontrola lokalna</x:v>
      </x:c>
      <x:c r="B452" s="59" t="str">
        <x:v>snapshot_sha256:ENEA_MAP</x:v>
      </x:c>
      <x:c r="C452" s="59" t="str">
        <x:v>PASS</x:v>
      </x:c>
    </x:row>
    <x:row r="453" ht="30" customHeight="1">
      <x:c r="A453" s="59" t="str">
        <x:v>Kontrola lokalna</x:v>
      </x:c>
      <x:c r="B453" s="59" t="str">
        <x:v>snapshot_within_raw:ENEA_PLAN</x:v>
      </x:c>
      <x:c r="C453" s="59" t="str">
        <x:v>PASS</x:v>
      </x:c>
    </x:row>
    <x:row r="454" ht="30" customHeight="1">
      <x:c r="A454" s="59" t="str">
        <x:v>Kontrola lokalna</x:v>
      </x:c>
      <x:c r="B454" s="59" t="str">
        <x:v>snapshot_exists:ENEA_PLAN</x:v>
      </x:c>
      <x:c r="C454" s="59" t="str">
        <x:v>PASS</x:v>
      </x:c>
    </x:row>
    <x:row r="455" ht="30" customHeight="1">
      <x:c r="A455" s="59" t="str">
        <x:v>Kontrola lokalna</x:v>
      </x:c>
      <x:c r="B455" s="59" t="str">
        <x:v>snapshot_bytes:ENEA_PLAN</x:v>
      </x:c>
      <x:c r="C455" s="59" t="str">
        <x:v>PASS</x:v>
      </x:c>
    </x:row>
    <x:row r="456" ht="30" customHeight="1">
      <x:c r="A456" s="59" t="str">
        <x:v>Kontrola lokalna</x:v>
      </x:c>
      <x:c r="B456" s="59" t="str">
        <x:v>snapshot_sha256:ENEA_PLAN</x:v>
      </x:c>
      <x:c r="C456" s="59" t="str">
        <x:v>PASS</x:v>
      </x:c>
    </x:row>
    <x:row r="457" ht="30" customHeight="1">
      <x:c r="A457" s="59" t="str">
        <x:v>Kontrola lokalna</x:v>
      </x:c>
      <x:c r="B457" s="59" t="str">
        <x:v>snapshot_within_raw:STOEN_EXPORT</x:v>
      </x:c>
      <x:c r="C457" s="59" t="str">
        <x:v>PASS</x:v>
      </x:c>
    </x:row>
    <x:row r="458" ht="30" customHeight="1">
      <x:c r="A458" s="59" t="str">
        <x:v>Kontrola lokalna</x:v>
      </x:c>
      <x:c r="B458" s="59" t="str">
        <x:v>snapshot_exists:STOEN_EXPORT</x:v>
      </x:c>
      <x:c r="C458" s="59" t="str">
        <x:v>PASS</x:v>
      </x:c>
    </x:row>
    <x:row r="459" ht="30" customHeight="1">
      <x:c r="A459" s="59" t="str">
        <x:v>Kontrola lokalna</x:v>
      </x:c>
      <x:c r="B459" s="59" t="str">
        <x:v>snapshot_bytes:STOEN_EXPORT</x:v>
      </x:c>
      <x:c r="C459" s="59" t="str">
        <x:v>PASS</x:v>
      </x:c>
    </x:row>
    <x:row r="460" ht="30" customHeight="1">
      <x:c r="A460" s="59" t="str">
        <x:v>Kontrola lokalna</x:v>
      </x:c>
      <x:c r="B460" s="59" t="str">
        <x:v>snapshot_sha256:STOEN_EXPORT</x:v>
      </x:c>
      <x:c r="C460" s="59" t="str">
        <x:v>PASS</x:v>
      </x:c>
    </x:row>
    <x:row r="461" ht="30" customHeight="1">
      <x:c r="A461" s="59" t="str">
        <x:v>Kontrola lokalna</x:v>
      </x:c>
      <x:c r="B461" s="59" t="str">
        <x:v>snapshot_within_raw:STOEN_IMPORT</x:v>
      </x:c>
      <x:c r="C461" s="59" t="str">
        <x:v>PASS</x:v>
      </x:c>
    </x:row>
    <x:row r="462" ht="30" customHeight="1">
      <x:c r="A462" s="59" t="str">
        <x:v>Kontrola lokalna</x:v>
      </x:c>
      <x:c r="B462" s="59" t="str">
        <x:v>snapshot_exists:STOEN_IMPORT</x:v>
      </x:c>
      <x:c r="C462" s="59" t="str">
        <x:v>PASS</x:v>
      </x:c>
    </x:row>
    <x:row r="463" ht="30" customHeight="1">
      <x:c r="A463" s="59" t="str">
        <x:v>Kontrola lokalna</x:v>
      </x:c>
      <x:c r="B463" s="59" t="str">
        <x:v>snapshot_bytes:STOEN_IMPORT</x:v>
      </x:c>
      <x:c r="C463" s="59" t="str">
        <x:v>PASS</x:v>
      </x:c>
    </x:row>
    <x:row r="464" ht="30" customHeight="1">
      <x:c r="A464" s="59" t="str">
        <x:v>Kontrola lokalna</x:v>
      </x:c>
      <x:c r="B464" s="59" t="str">
        <x:v>snapshot_sha256:STOEN_IMPORT</x:v>
      </x:c>
      <x:c r="C464" s="59" t="str">
        <x:v>PASS</x:v>
      </x:c>
    </x:row>
    <x:row r="465" ht="30" customHeight="1">
      <x:c r="A465" s="59" t="str">
        <x:v>Kontrola lokalna</x:v>
      </x:c>
      <x:c r="B465" s="59" t="str">
        <x:v>snapshot_within_raw:LAW_2026_516</x:v>
      </x:c>
      <x:c r="C465" s="59" t="str">
        <x:v>PASS</x:v>
      </x:c>
    </x:row>
    <x:row r="466" ht="30" customHeight="1">
      <x:c r="A466" s="59" t="str">
        <x:v>Kontrola lokalna</x:v>
      </x:c>
      <x:c r="B466" s="59" t="str">
        <x:v>snapshot_exists:LAW_2026_516</x:v>
      </x:c>
      <x:c r="C466" s="59" t="str">
        <x:v>PASS</x:v>
      </x:c>
    </x:row>
    <x:row r="467" ht="30" customHeight="1">
      <x:c r="A467" s="59" t="str">
        <x:v>Kontrola lokalna</x:v>
      </x:c>
      <x:c r="B467" s="59" t="str">
        <x:v>snapshot_bytes:LAW_2026_516</x:v>
      </x:c>
      <x:c r="C467" s="59" t="str">
        <x:v>PASS</x:v>
      </x:c>
    </x:row>
    <x:row r="468" ht="30" customHeight="1">
      <x:c r="A468" s="59" t="str">
        <x:v>Kontrola lokalna</x:v>
      </x:c>
      <x:c r="B468" s="59" t="str">
        <x:v>snapshot_sha256:LAW_2026_516</x:v>
      </x:c>
      <x:c r="C468" s="59" t="str">
        <x:v>PASS</x:v>
      </x:c>
    </x:row>
    <x:row r="469" ht="30" customHeight="1">
      <x:c r="A469" s="59" t="str">
        <x:v>Kontrola lokalna</x:v>
      </x:c>
      <x:c r="B469" s="59" t="str">
        <x:v>snapshot_within_raw:PSE_NODES_SAMPLE</x:v>
      </x:c>
      <x:c r="C469" s="59" t="str">
        <x:v>PASS</x:v>
      </x:c>
    </x:row>
    <x:row r="470" ht="30" customHeight="1">
      <x:c r="A470" s="59" t="str">
        <x:v>Kontrola lokalna</x:v>
      </x:c>
      <x:c r="B470" s="59" t="str">
        <x:v>snapshot_exists:PSE_NODES_SAMPLE</x:v>
      </x:c>
      <x:c r="C470" s="59" t="str">
        <x:v>PASS</x:v>
      </x:c>
    </x:row>
    <x:row r="471" ht="30" customHeight="1">
      <x:c r="A471" s="59" t="str">
        <x:v>Kontrola lokalna</x:v>
      </x:c>
      <x:c r="B471" s="59" t="str">
        <x:v>snapshot_bytes:PSE_NODES_SAMPLE</x:v>
      </x:c>
      <x:c r="C471" s="59" t="str">
        <x:v>PASS</x:v>
      </x:c>
    </x:row>
    <x:row r="472" ht="30" customHeight="1">
      <x:c r="A472" s="59" t="str">
        <x:v>Kontrola lokalna</x:v>
      </x:c>
      <x:c r="B472" s="59" t="str">
        <x:v>snapshot_sha256:PSE_NODES_SAMPLE</x:v>
      </x:c>
      <x:c r="C472" s="59" t="str">
        <x:v>PASS</x:v>
      </x:c>
    </x:row>
    <x:row r="473" ht="30" customHeight="1">
      <x:c r="A473" s="59" t="str">
        <x:v>Kontrola lokalna</x:v>
      </x:c>
      <x:c r="B473" s="59" t="str">
        <x:v>snapshot_within_raw:PSE_REDISPATCH_SAMPLE</x:v>
      </x:c>
      <x:c r="C473" s="59" t="str">
        <x:v>PASS</x:v>
      </x:c>
    </x:row>
    <x:row r="474" ht="30" customHeight="1">
      <x:c r="A474" s="59" t="str">
        <x:v>Kontrola lokalna</x:v>
      </x:c>
      <x:c r="B474" s="59" t="str">
        <x:v>snapshot_exists:PSE_REDISPATCH_SAMPLE</x:v>
      </x:c>
      <x:c r="C474" s="59" t="str">
        <x:v>PASS</x:v>
      </x:c>
    </x:row>
    <x:row r="475" ht="30" customHeight="1">
      <x:c r="A475" s="59" t="str">
        <x:v>Kontrola lokalna</x:v>
      </x:c>
      <x:c r="B475" s="59" t="str">
        <x:v>snapshot_bytes:PSE_REDISPATCH_SAMPLE</x:v>
      </x:c>
      <x:c r="C475" s="59" t="str">
        <x:v>PASS</x:v>
      </x:c>
    </x:row>
    <x:row r="476" ht="30" customHeight="1">
      <x:c r="A476" s="59" t="str">
        <x:v>Kontrola lokalna</x:v>
      </x:c>
      <x:c r="B476" s="59" t="str">
        <x:v>snapshot_sha256:PSE_REDISPATCH_SAMPLE</x:v>
      </x:c>
      <x:c r="C476" s="59" t="str">
        <x:v>PASS</x:v>
      </x:c>
    </x:row>
    <x:row r="477" ht="30" customHeight="1">
      <x:c r="A477" s="59" t="str">
        <x:v>Kontrola lokalna</x:v>
      </x:c>
      <x:c r="B477" s="59" t="str">
        <x:v>snapshot_within_raw:PSE_FLOWS_SAMPLE</x:v>
      </x:c>
      <x:c r="C477" s="59" t="str">
        <x:v>PASS</x:v>
      </x:c>
    </x:row>
    <x:row r="478" ht="30" customHeight="1">
      <x:c r="A478" s="59" t="str">
        <x:v>Kontrola lokalna</x:v>
      </x:c>
      <x:c r="B478" s="59" t="str">
        <x:v>snapshot_exists:PSE_FLOWS_SAMPLE</x:v>
      </x:c>
      <x:c r="C478" s="59" t="str">
        <x:v>PASS</x:v>
      </x:c>
    </x:row>
    <x:row r="479" ht="30" customHeight="1">
      <x:c r="A479" s="59" t="str">
        <x:v>Kontrola lokalna</x:v>
      </x:c>
      <x:c r="B479" s="59" t="str">
        <x:v>snapshot_bytes:PSE_FLOWS_SAMPLE</x:v>
      </x:c>
      <x:c r="C479" s="59" t="str">
        <x:v>PASS</x:v>
      </x:c>
    </x:row>
    <x:row r="480" ht="30" customHeight="1">
      <x:c r="A480" s="59" t="str">
        <x:v>Kontrola lokalna</x:v>
      </x:c>
      <x:c r="B480" s="59" t="str">
        <x:v>snapshot_sha256:PSE_FLOWS_SAMPLE</x:v>
      </x:c>
      <x:c r="C480" s="59" t="str">
        <x:v>PASS</x:v>
      </x:c>
    </x:row>
    <x:row r="481" ht="30" customHeight="1">
      <x:c r="A481" s="59" t="str">
        <x:v>Kontrola lokalna</x:v>
      </x:c>
      <x:c r="B481" s="59" t="str">
        <x:v>snapshot_within_raw:ENERGY_CHARTS_SAMPLE</x:v>
      </x:c>
      <x:c r="C481" s="59" t="str">
        <x:v>PASS</x:v>
      </x:c>
    </x:row>
    <x:row r="482" ht="30" customHeight="1">
      <x:c r="A482" s="59" t="str">
        <x:v>Kontrola lokalna</x:v>
      </x:c>
      <x:c r="B482" s="59" t="str">
        <x:v>snapshot_exists:ENERGY_CHARTS_SAMPLE</x:v>
      </x:c>
      <x:c r="C482" s="59" t="str">
        <x:v>PASS</x:v>
      </x:c>
    </x:row>
    <x:row r="483" ht="30" customHeight="1">
      <x:c r="A483" s="59" t="str">
        <x:v>Kontrola lokalna</x:v>
      </x:c>
      <x:c r="B483" s="59" t="str">
        <x:v>snapshot_bytes:ENERGY_CHARTS_SAMPLE</x:v>
      </x:c>
      <x:c r="C483" s="59" t="str">
        <x:v>PASS</x:v>
      </x:c>
    </x:row>
    <x:row r="484" ht="30" customHeight="1">
      <x:c r="A484" s="59" t="str">
        <x:v>Kontrola lokalna</x:v>
      </x:c>
      <x:c r="B484" s="59" t="str">
        <x:v>snapshot_sha256:ENERGY_CHARTS_SAMPLE</x:v>
      </x:c>
      <x:c r="C484" s="59" t="str">
        <x:v>PASS</x:v>
      </x:c>
    </x:row>
    <x:row r="485" ht="30" customHeight="1">
      <x:c r="A485" s="59" t="str">
        <x:v>Kontrola lokalna</x:v>
      </x:c>
      <x:c r="B485" s="59" t="str">
        <x:v>all_raw_files_have_manifests</x:v>
      </x:c>
      <x:c r="C485" s="59" t="str">
        <x:v>PASS</x:v>
      </x:c>
    </x:row>
    <x:row r="486" ht="30" customHeight="1">
      <x:c r="A486" s="59" t="str">
        <x:v>Kontrola lokalna</x:v>
      </x:c>
      <x:c r="B486" s="59" t="str">
        <x:v>format_readable:enea_maps.html</x:v>
      </x:c>
      <x:c r="C486" s="59" t="str">
        <x:v>PASS</x:v>
      </x:c>
    </x:row>
    <x:row r="487" ht="30" customHeight="1">
      <x:c r="A487" s="59" t="str">
        <x:v>Kontrola lokalna</x:v>
      </x:c>
      <x:c r="B487" s="59" t="str">
        <x:v>format_readable:enea_pipeline_landing.html</x:v>
      </x:c>
      <x:c r="C487" s="59" t="str">
        <x:v>PASS</x:v>
      </x:c>
    </x:row>
    <x:row r="488" ht="30" customHeight="1">
      <x:c r="A488" s="59" t="str">
        <x:v>Kontrola lokalna</x:v>
      </x:c>
      <x:c r="B488" s="59" t="str">
        <x:v>format_readable:enea_plan_landing.html</x:v>
      </x:c>
      <x:c r="C488" s="59" t="str">
        <x:v>PASS</x:v>
      </x:c>
    </x:row>
    <x:row r="489" ht="30" customHeight="1">
      <x:c r="A489" s="59" t="str">
        <x:v>Kontrola lokalna</x:v>
      </x:c>
      <x:c r="B489" s="59" t="str">
        <x:v>pdf_text_layer:energa_export_2026-08-31.pdf</x:v>
      </x:c>
      <x:c r="C489" s="59" t="str">
        <x:v>PASS</x:v>
      </x:c>
    </x:row>
    <x:row r="490" ht="30" customHeight="1">
      <x:c r="A490" s="59" t="str">
        <x:v>Kontrola lokalna</x:v>
      </x:c>
      <x:c r="B490" s="59" t="str">
        <x:v>format_readable:energa_export_2026-08-31.pdf</x:v>
      </x:c>
      <x:c r="C490" s="59" t="str">
        <x:v>PASS</x:v>
      </x:c>
    </x:row>
    <x:row r="491" ht="30" customHeight="1">
      <x:c r="A491" s="59" t="str">
        <x:v>Kontrola lokalna</x:v>
      </x:c>
      <x:c r="B491" s="59" t="str">
        <x:v>pdf_text_layer:energa_import_2026-08-31.pdf</x:v>
      </x:c>
      <x:c r="C491" s="59" t="str">
        <x:v>PASS</x:v>
      </x:c>
    </x:row>
    <x:row r="492" ht="30" customHeight="1">
      <x:c r="A492" s="59" t="str">
        <x:v>Kontrola lokalna</x:v>
      </x:c>
      <x:c r="B492" s="59" t="str">
        <x:v>format_readable:energa_import_2026-08-31.pdf</x:v>
      </x:c>
      <x:c r="C492" s="59" t="str">
        <x:v>PASS</x:v>
      </x:c>
    </x:row>
    <x:row r="493" ht="30" customHeight="1">
      <x:c r="A493" s="59" t="str">
        <x:v>Kontrola lokalna</x:v>
      </x:c>
      <x:c r="B493" s="59" t="str">
        <x:v>format_readable:energa_landing.html</x:v>
      </x:c>
      <x:c r="C493" s="59" t="str">
        <x:v>PASS</x:v>
      </x:c>
    </x:row>
    <x:row r="494" ht="30" customHeight="1">
      <x:c r="A494" s="59" t="str">
        <x:v>Kontrola lokalna</x:v>
      </x:c>
      <x:c r="B494" s="59" t="str">
        <x:v>pdf_text_layer:energa_pipeline_2026-08-31.pdf</x:v>
      </x:c>
      <x:c r="C494" s="59" t="str">
        <x:v>PASS</x:v>
      </x:c>
    </x:row>
    <x:row r="495" ht="30" customHeight="1">
      <x:c r="A495" s="59" t="str">
        <x:v>Kontrola lokalna</x:v>
      </x:c>
      <x:c r="B495" s="59" t="str">
        <x:v>format_readable:energa_pipeline_2026-08-31.pdf</x:v>
      </x:c>
      <x:c r="C495" s="59" t="str">
        <x:v>PASS</x:v>
      </x:c>
    </x:row>
    <x:row r="496" ht="30" customHeight="1">
      <x:c r="A496" s="59" t="str">
        <x:v>Kontrola lokalna</x:v>
      </x:c>
      <x:c r="B496" s="59" t="str">
        <x:v>format_readable:energy_charts_index.html</x:v>
      </x:c>
      <x:c r="C496" s="59" t="str">
        <x:v>PASS</x:v>
      </x:c>
    </x:row>
    <x:row r="497" ht="30" customHeight="1">
      <x:c r="A497" s="59" t="str">
        <x:v>Kontrola lokalna</x:v>
      </x:c>
      <x:c r="B497" s="59" t="str">
        <x:v>format_readable:energy_charts_openapi.json</x:v>
      </x:c>
      <x:c r="C497" s="59" t="str">
        <x:v>PASS</x:v>
      </x:c>
    </x:row>
    <x:row r="498" ht="30" customHeight="1">
      <x:c r="A498" s="59" t="str">
        <x:v>Kontrola lokalna</x:v>
      </x:c>
      <x:c r="B498" s="59" t="str">
        <x:v>format_readable:energy_charts_pl_sample.json</x:v>
      </x:c>
      <x:c r="C498" s="59" t="str">
        <x:v>PASS</x:v>
      </x:c>
    </x:row>
    <x:row r="499" ht="30" customHeight="1">
      <x:c r="A499" s="59" t="str">
        <x:v>Kontrola lokalna</x:v>
      </x:c>
      <x:c r="B499" s="59" t="str">
        <x:v>wfs_capabilities:gdos_capabilities.xml</x:v>
      </x:c>
      <x:c r="C499" s="59" t="str">
        <x:v>PASS: "2.0.0"</x:v>
      </x:c>
    </x:row>
    <x:row r="500" ht="30" customHeight="1">
      <x:c r="A500" s="59" t="str">
        <x:v>Kontrola lokalna</x:v>
      </x:c>
      <x:c r="B500" s="59" t="str">
        <x:v>format_readable:gdos_capabilities.xml</x:v>
      </x:c>
      <x:c r="C500" s="59" t="str">
        <x:v>PASS</x:v>
      </x:c>
    </x:row>
    <x:row r="501" ht="30" customHeight="1">
      <x:c r="A501" s="59" t="str">
        <x:v>Kontrola lokalna</x:v>
      </x:c>
      <x:c r="B501" s="59" t="str">
        <x:v>wfs_capabilities:gugik_egib_capabilities.xml</x:v>
      </x:c>
      <x:c r="C501" s="59" t="str">
        <x:v>PASS: "2.0.0"</x:v>
      </x:c>
    </x:row>
    <x:row r="502" ht="30" customHeight="1">
      <x:c r="A502" s="59" t="str">
        <x:v>Kontrola lokalna</x:v>
      </x:c>
      <x:c r="B502" s="59" t="str">
        <x:v>format_readable:gugik_egib_capabilities.xml</x:v>
      </x:c>
      <x:c r="C502" s="59" t="str">
        <x:v>PASS</x:v>
      </x:c>
    </x:row>
    <x:row r="503" ht="30" customHeight="1">
      <x:c r="A503" s="59" t="str">
        <x:v>Kontrola lokalna</x:v>
      </x:c>
      <x:c r="B503" s="59" t="str">
        <x:v>format_readable:pge_capacity_landing.html</x:v>
      </x:c>
      <x:c r="C503" s="59" t="str">
        <x:v>PASS</x:v>
      </x:c>
    </x:row>
    <x:row r="504" ht="30" customHeight="1">
      <x:c r="A504" s="59" t="str">
        <x:v>Kontrola lokalna</x:v>
      </x:c>
      <x:c r="B504" s="59" t="str">
        <x:v>pdf_text_layer:prawo_energetyczne_zmiana_2026_516.pdf</x:v>
      </x:c>
      <x:c r="C504" s="59" t="str">
        <x:v>PASS</x:v>
      </x:c>
    </x:row>
    <x:row r="505" ht="30" customHeight="1">
      <x:c r="A505" s="59" t="str">
        <x:v>Kontrola lokalna</x:v>
      </x:c>
      <x:c r="B505" s="59" t="str">
        <x:v>format_readable:prawo_energetyczne_zmiana_2026_516.pdf</x:v>
      </x:c>
      <x:c r="C505" s="59" t="str">
        <x:v>PASS</x:v>
      </x:c>
    </x:row>
    <x:row r="506" ht="30" customHeight="1">
      <x:c r="A506" s="59" t="str">
        <x:v>Kontrola lokalna</x:v>
      </x:c>
      <x:c r="B506" s="59" t="str">
        <x:v>format_readable:pse_api_frontend.js</x:v>
      </x:c>
      <x:c r="C506" s="59" t="str">
        <x:v>PASS</x:v>
      </x:c>
    </x:row>
    <x:row r="507" ht="30" customHeight="1">
      <x:c r="A507" s="59" t="str">
        <x:v>Kontrola lokalna</x:v>
      </x:c>
      <x:c r="B507" s="59" t="str">
        <x:v>format_readable:pse_api_index.html</x:v>
      </x:c>
      <x:c r="C507" s="59" t="str">
        <x:v>PASS</x:v>
      </x:c>
    </x:row>
    <x:row r="508" ht="30" customHeight="1">
      <x:c r="A508" s="59" t="str">
        <x:v>Kontrola lokalna</x:v>
      </x:c>
      <x:c r="B508" s="59" t="str">
        <x:v>pdf_text_layer:pse_capacity_retrieved_2026-09-10.pdf</x:v>
      </x:c>
      <x:c r="C508" s="59" t="str">
        <x:v>PASS</x:v>
      </x:c>
    </x:row>
    <x:row r="509" ht="30" customHeight="1">
      <x:c r="A509" s="59" t="str">
        <x:v>Kontrola lokalna</x:v>
      </x:c>
      <x:c r="B509" s="59" t="str">
        <x:v>format_readable:pse_capacity_retrieved_2026-09-10.pdf</x:v>
      </x:c>
      <x:c r="C509" s="59" t="str">
        <x:v>PASS</x:v>
      </x:c>
    </x:row>
    <x:row r="510" ht="30" customHeight="1">
      <x:c r="A510" s="59" t="str">
        <x:v>Kontrola lokalna</x:v>
      </x:c>
      <x:c r="B510" s="59" t="str">
        <x:v>format_readable:pse_flows_sample.json</x:v>
      </x:c>
      <x:c r="C510" s="59" t="str">
        <x:v>PASS</x:v>
      </x:c>
    </x:row>
    <x:row r="511" ht="30" customHeight="1">
      <x:c r="A511" s="59" t="str">
        <x:v>Kontrola lokalna</x:v>
      </x:c>
      <x:c r="B511" s="59" t="str">
        <x:v>format_readable:pse_nodes_sample.json</x:v>
      </x:c>
      <x:c r="C511" s="59" t="str">
        <x:v>PASS</x:v>
      </x:c>
    </x:row>
    <x:row r="512" ht="30" customHeight="1">
      <x:c r="A512" s="59" t="str">
        <x:v>Kontrola lokalna</x:v>
      </x:c>
      <x:c r="B512" s="59" t="str">
        <x:v>format_readable:pse_openapi.json</x:v>
      </x:c>
      <x:c r="C512" s="59" t="str">
        <x:v>PASS</x:v>
      </x:c>
    </x:row>
    <x:row r="513" ht="30" customHeight="1">
      <x:c r="A513" s="59" t="str">
        <x:v>Kontrola lokalna</x:v>
      </x:c>
      <x:c r="B513" s="59" t="str">
        <x:v>format_readable:pse_pipeline_landing.html</x:v>
      </x:c>
      <x:c r="C513" s="59" t="str">
        <x:v>PASS</x:v>
      </x:c>
    </x:row>
    <x:row r="514" ht="30" customHeight="1">
      <x:c r="A514" s="59" t="str">
        <x:v>Kontrola lokalna</x:v>
      </x:c>
      <x:c r="B514" s="59" t="str">
        <x:v>pse_xlsx_expected_sheet</x:v>
      </x:c>
      <x:c r="C514" s="59" t="str">
        <x:v>PASS</x:v>
      </x:c>
    </x:row>
    <x:row r="515" ht="30" customHeight="1">
      <x:c r="A515" s="59" t="str">
        <x:v>Kontrola lokalna</x:v>
      </x:c>
      <x:c r="B515" s="59" t="str">
        <x:v>pse_xlsx_snapshot_date</x:v>
      </x:c>
      <x:c r="C515" s="59" t="str">
        <x:v>PASS: "Header date, not retrieval date"</x:v>
      </x:c>
    </x:row>
    <x:row r="516" ht="30" customHeight="1">
      <x:c r="A516" s="59" t="str">
        <x:v>Kontrola lokalna</x:v>
      </x:c>
      <x:c r="B516" s="59" t="str">
        <x:v>pse_xlsx_direction_fields</x:v>
      </x:c>
      <x:c r="C516" s="59" t="str">
        <x:v>PASS</x:v>
      </x:c>
    </x:row>
    <x:row r="517" ht="30" customHeight="1">
      <x:c r="A517" s="59" t="str">
        <x:v>Kontrola lokalna</x:v>
      </x:c>
      <x:c r="B517" s="59" t="str">
        <x:v>format_readable:pse_pipeline_url_2026-07-31.xlsx</x:v>
      </x:c>
      <x:c r="C517" s="59" t="str">
        <x:v>PASS</x:v>
      </x:c>
    </x:row>
    <x:row r="518" ht="30" customHeight="1">
      <x:c r="A518" s="59" t="str">
        <x:v>Kontrola lokalna</x:v>
      </x:c>
      <x:c r="B518" s="59" t="str">
        <x:v>format_readable:pse_redispatch_sample.json</x:v>
      </x:c>
      <x:c r="C518" s="59" t="str">
        <x:v>PASS</x:v>
      </x:c>
    </x:row>
    <x:row r="519" ht="30" customHeight="1">
      <x:c r="A519" s="59" t="str">
        <x:v>Kontrola lokalna</x:v>
      </x:c>
      <x:c r="B519" s="59" t="str">
        <x:v>pdf_text_layer:stoen_export_2026_q3.pdf</x:v>
      </x:c>
      <x:c r="C519" s="59" t="str">
        <x:v>PASS</x:v>
      </x:c>
    </x:row>
    <x:row r="520" ht="30" customHeight="1">
      <x:c r="A520" s="59" t="str">
        <x:v>Kontrola lokalna</x:v>
      </x:c>
      <x:c r="B520" s="59" t="str">
        <x:v>format_readable:stoen_export_2026_q3.pdf</x:v>
      </x:c>
      <x:c r="C520" s="59" t="str">
        <x:v>PASS</x:v>
      </x:c>
    </x:row>
    <x:row r="521" ht="30" customHeight="1">
      <x:c r="A521" s="59" t="str">
        <x:v>Kontrola lokalna</x:v>
      </x:c>
      <x:c r="B521" s="59" t="str">
        <x:v>pdf_text_layer:stoen_import_2026-08-31.pdf</x:v>
      </x:c>
      <x:c r="C521" s="59" t="str">
        <x:v>PASS</x:v>
      </x:c>
    </x:row>
    <x:row r="522" ht="30" customHeight="1">
      <x:c r="A522" s="59" t="str">
        <x:v>Kontrola lokalna</x:v>
      </x:c>
      <x:c r="B522" s="59" t="str">
        <x:v>format_readable:stoen_import_2026-08-31.pdf</x:v>
      </x:c>
      <x:c r="C522" s="59" t="str">
        <x:v>PASS</x:v>
      </x:c>
    </x:row>
    <x:row r="523" ht="30" customHeight="1">
      <x:c r="A523" s="59" t="str">
        <x:v>Kontrola lokalna</x:v>
      </x:c>
      <x:c r="B523" s="59" t="str">
        <x:v>format_readable:stoen_network_landing.html</x:v>
      </x:c>
      <x:c r="C523" s="59" t="str">
        <x:v>PASS</x:v>
      </x:c>
    </x:row>
    <x:row r="524" ht="30" customHeight="1">
      <x:c r="A524" s="59" t="str">
        <x:v>Kontrola lokalna</x:v>
      </x:c>
      <x:c r="B524" s="59" t="str">
        <x:v>format_readable:tauron_pipeline_landing.html</x:v>
      </x:c>
      <x:c r="C524" s="59" t="str">
        <x:v>PASS</x:v>
      </x:c>
    </x:row>
    <x:row r="525" ht="30" customHeight="1">
      <x:c r="A525" s="59" t="str">
        <x:v>Kontrola lokalna</x:v>
      </x:c>
      <x:c r="B525" s="59" t="str">
        <x:v>pdf_text_layer:tauron_pipeline_retrieved_2026-09-10.pdf</x:v>
      </x:c>
      <x:c r="C525" s="59" t="str">
        <x:v>PASS</x:v>
      </x:c>
    </x:row>
    <x:row r="526" ht="30" customHeight="1">
      <x:c r="A526" s="59" t="str">
        <x:v>Kontrola lokalna</x:v>
      </x:c>
      <x:c r="B526" s="59" t="str">
        <x:v>format_readable:tauron_pipeline_retrieved_2026-09-10.pdf</x:v>
      </x:c>
      <x:c r="C526" s="59" t="str">
        <x:v>PASS</x:v>
      </x:c>
    </x:row>
    <x:row r="527" ht="30" customHeight="1">
      <x:c r="A527" s="59" t="str">
        <x:v>Kontrola lokalna</x:v>
      </x:c>
      <x:c r="B527" s="59" t="str">
        <x:v>pge_block_body_identified</x:v>
      </x:c>
      <x:c r="C527" s="59" t="str">
        <x:v>PASS</x:v>
      </x:c>
    </x:row>
    <x:row r="528" ht="30" customHeight="1">
      <x:c r="A528" s="59" t="str">
        <x:v>Kontrola lokalna</x:v>
      </x:c>
      <x:c r="B528" s="59" t="str">
        <x:v>pge_catalog_not_data_success</x:v>
      </x:c>
      <x:c r="C528" s="59" t="str">
        <x:v>PASS</x:v>
      </x:c>
    </x:row>
    <x:row r="529" ht="30" customHeight="1">
      <x:c r="A529" s="59" t="str">
        <x:v>Kontrola lokalna</x:v>
      </x:c>
      <x:c r="B529" s="59" t="str">
        <x:v>energa_header_june_date</x:v>
      </x:c>
      <x:c r="C529" s="59" t="str">
        <x:v>PASS</x:v>
      </x:c>
    </x:row>
    <x:row r="530" ht="30" customHeight="1">
      <x:c r="A530" s="59" t="str">
        <x:v>Kontrola lokalna</x:v>
      </x:c>
      <x:c r="B530" s="59" t="str">
        <x:v>energa_conflict_preserved</x:v>
      </x:c>
      <x:c r="C530" s="59" t="str">
        <x:v>PASS</x:v>
      </x:c>
    </x:row>
    <x:row r="531" ht="30" customHeight="1">
      <x:c r="A531" s="59" t="str">
        <x:v>Kontrola lokalna</x:v>
      </x:c>
      <x:c r="B531" s="59" t="str">
        <x:v>pse_nodes_shape</x:v>
      </x:c>
      <x:c r="C531" s="59" t="str">
        <x:v>PASS</x:v>
      </x:c>
    </x:row>
    <x:row r="532" ht="30" customHeight="1">
      <x:c r="A532" s="59" t="str">
        <x:v>Kontrola lokalna</x:v>
      </x:c>
      <x:c r="B532" s="59" t="str">
        <x:v>pse_nodes_pagination</x:v>
      </x:c>
      <x:c r="C532" s="59" t="str">
        <x:v>PASS</x:v>
      </x:c>
    </x:row>
    <x:row r="533" ht="30" customHeight="1">
      <x:c r="A533" s="59" t="str">
        <x:v>Kontrola lokalna</x:v>
      </x:c>
      <x:c r="B533" s="59" t="str">
        <x:v>pse_redispatch_causes</x:v>
      </x:c>
      <x:c r="C533" s="59" t="str">
        <x:v>PASS</x:v>
      </x:c>
    </x:row>
    <x:row r="534" ht="30" customHeight="1">
      <x:c r="A534" s="59" t="str">
        <x:v>Kontrola lokalna</x:v>
      </x:c>
      <x:c r="B534" s="59" t="str">
        <x:v>pse_redispatch_null_preserved</x:v>
      </x:c>
      <x:c r="C534" s="59" t="str">
        <x:v>PASS</x:v>
      </x:c>
    </x:row>
    <x:row r="535" ht="30" customHeight="1">
      <x:c r="A535" s="59" t="str">
        <x:v>Kontrola lokalna</x:v>
      </x:c>
      <x:c r="B535" s="59" t="str">
        <x:v>pse_flows_sections</x:v>
      </x:c>
      <x:c r="C535" s="59" t="str">
        <x:v>PASS</x:v>
      </x:c>
    </x:row>
    <x:row r="536" ht="30" customHeight="1">
      <x:c r="A536" s="59" t="str">
        <x:v>Kontrola lokalna</x:v>
      </x:c>
      <x:c r="B536" s="59" t="str">
        <x:v>energy_charts_v2_timeseries_shape</x:v>
      </x:c>
      <x:c r="C536" s="59" t="str">
        <x:v>PASS</x:v>
      </x:c>
    </x:row>
    <x:row r="537" ht="30" customHeight="1">
      <x:c r="A537" s="59" t="str">
        <x:v>Kontrola lokalna</x:v>
      </x:c>
      <x:c r="B537" s="59" t="str">
        <x:v>energy_charts_v2_series_keys</x:v>
      </x:c>
      <x:c r="C537" s="59" t="str">
        <x:v>PASS</x:v>
      </x:c>
    </x:row>
    <x:row r="538" ht="30" customHeight="1">
      <x:c r="A538" s="59" t="str">
        <x:v>Kontrola lokalna</x:v>
      </x:c>
      <x:c r="B538" s="59" t="str">
        <x:v>energy_charts_v2_country_unit</x:v>
      </x:c>
      <x:c r="C538" s="59" t="str">
        <x:v>PASS</x:v>
      </x:c>
    </x:row>
    <x:row r="539" ht="30" customHeight="1">
      <x:c r="A539" s="59" t="str">
        <x:v>Kontrola lokalna</x:v>
      </x:c>
      <x:c r="B539" s="59" t="str">
        <x:v>energy_charts_v2_license_metadata</x:v>
      </x:c>
      <x:c r="C539" s="59" t="str">
        <x:v>PASS</x:v>
      </x:c>
    </x:row>
    <x:row r="540" ht="30" customHeight="1">
      <x:c r="A540" s="59" t="str">
        <x:v>Kontrola lokalna</x:v>
      </x:c>
      <x:c r="B540" s="59" t="str">
        <x:v>openapi_contract:pse_openapi.json</x:v>
      </x:c>
      <x:c r="C540" s="59" t="str">
        <x:v>PASS</x:v>
      </x:c>
    </x:row>
    <x:row r="541" ht="30" customHeight="1">
      <x:c r="A541" s="59" t="str">
        <x:v>Kontrola lokalna</x:v>
      </x:c>
      <x:c r="B541" s="59" t="str">
        <x:v>openapi_contract:energy_charts_openapi.json</x:v>
      </x:c>
      <x:c r="C541" s="59" t="str">
        <x:v>PASS</x:v>
      </x:c>
    </x:row>
    <x:row r="542" ht="30" customHeight="1">
      <x:c r="A542" s="59" t="str">
        <x:v>Kontrola lokalna</x:v>
      </x:c>
      <x:c r="B542" s="59" t="str">
        <x:v>local_link:README.md:docs/01_data_research.md</x:v>
      </x:c>
      <x:c r="C542" s="59" t="str">
        <x:v>PASS</x:v>
      </x:c>
    </x:row>
    <x:row r="543" ht="30" customHeight="1">
      <x:c r="A543" s="59" t="str">
        <x:v>Kontrola lokalna</x:v>
      </x:c>
      <x:c r="B543" s="59" t="str">
        <x:v>local_link:README.md:docs/data_sources.md</x:v>
      </x:c>
      <x:c r="C543" s="59" t="str">
        <x:v>PASS</x:v>
      </x:c>
    </x:row>
    <x:row r="544" ht="30" customHeight="1">
      <x:c r="A544" s="59" t="str">
        <x:v>Kontrola lokalna</x:v>
      </x:c>
      <x:c r="B544" s="59" t="str">
        <x:v>local_link:README.md:data/catalog/data_sources.json</x:v>
      </x:c>
      <x:c r="C544" s="59" t="str">
        <x:v>PASS</x:v>
      </x:c>
    </x:row>
    <x:row r="545" ht="30" customHeight="1">
      <x:c r="A545" s="59" t="str">
        <x:v>Kontrola lokalna</x:v>
      </x:c>
      <x:c r="B545" s="59" t="str">
        <x:v>local_link:README.md:docs/02_feasibility_matrix.md</x:v>
      </x:c>
      <x:c r="C545" s="59" t="str">
        <x:v>PASS</x:v>
      </x:c>
    </x:row>
    <x:row r="546" ht="30" customHeight="1">
      <x:c r="A546" s="59" t="str">
        <x:v>Kontrola lokalna</x:v>
      </x:c>
      <x:c r="B546" s="59" t="str">
        <x:v>local_link:README.md:docs/03_system_architecture.md</x:v>
      </x:c>
      <x:c r="C546" s="59" t="str">
        <x:v>PASS</x:v>
      </x:c>
    </x:row>
    <x:row r="547" ht="30" customHeight="1">
      <x:c r="A547" s="59" t="str">
        <x:v>Kontrola lokalna</x:v>
      </x:c>
      <x:c r="B547" s="59" t="str">
        <x:v>local_link:README.md:docs/04_data_model.md</x:v>
      </x:c>
      <x:c r="C547" s="59" t="str">
        <x:v>PASS</x:v>
      </x:c>
    </x:row>
    <x:row r="548" ht="30" customHeight="1">
      <x:c r="A548" s="59" t="str">
        <x:v>Kontrola lokalna</x:v>
      </x:c>
      <x:c r="B548" s="59" t="str">
        <x:v>local_link:README.md:docs/05_grid_capacity_methodology.md</x:v>
      </x:c>
      <x:c r="C548" s="59" t="str">
        <x:v>PASS</x:v>
      </x:c>
    </x:row>
    <x:row r="549" ht="30" customHeight="1">
      <x:c r="A549" s="59" t="str">
        <x:v>Kontrola lokalna</x:v>
      </x:c>
      <x:c r="B549" s="59" t="str">
        <x:v>local_link:README.md:docs/06_scoring_methodology.md</x:v>
      </x:c>
      <x:c r="C549" s="59" t="str">
        <x:v>PASS</x:v>
      </x:c>
    </x:row>
    <x:row r="550" ht="30" customHeight="1">
      <x:c r="A550" s="59" t="str">
        <x:v>Kontrola lokalna</x:v>
      </x:c>
      <x:c r="B550" s="59" t="str">
        <x:v>local_link:README.md:docs/07_data_quality.md</x:v>
      </x:c>
      <x:c r="C550" s="59" t="str">
        <x:v>PASS</x:v>
      </x:c>
    </x:row>
    <x:row r="551" ht="30" customHeight="1">
      <x:c r="A551" s="59" t="str">
        <x:v>Kontrola lokalna</x:v>
      </x:c>
      <x:c r="B551" s="59" t="str">
        <x:v>local_link:README.md:docs/08_roadmap.md</x:v>
      </x:c>
      <x:c r="C551" s="59" t="str">
        <x:v>PASS</x:v>
      </x:c>
    </x:row>
    <x:row r="552" ht="30" customHeight="1">
      <x:c r="A552" s="59" t="str">
        <x:v>Kontrola lokalna</x:v>
      </x:c>
      <x:c r="B552" s="59" t="str">
        <x:v>local_link:README.md:docs/decision_log.md</x:v>
      </x:c>
      <x:c r="C552" s="59" t="str">
        <x:v>PASS</x:v>
      </x:c>
    </x:row>
    <x:row r="553" ht="30" customHeight="1">
      <x:c r="A553" s="59" t="str">
        <x:v>Kontrola lokalna</x:v>
      </x:c>
      <x:c r="B553" s="59" t="str">
        <x:v>local_link:README.md:docs/git_workflow.md</x:v>
      </x:c>
      <x:c r="C553" s="59" t="str">
        <x:v>PASS</x:v>
      </x:c>
    </x:row>
    <x:row r="554" ht="30" customHeight="1">
      <x:c r="A554" s="59" t="str">
        <x:v>Kontrola lokalna</x:v>
      </x:c>
      <x:c r="B554" s="59" t="str">
        <x:v>local_link:README.md:docs/reproducibility.md</x:v>
      </x:c>
      <x:c r="C554" s="59" t="str">
        <x:v>PASS</x:v>
      </x:c>
    </x:row>
    <x:row r="555" ht="30" customHeight="1">
      <x:c r="A555" s="59" t="str">
        <x:v>Kontrola lokalna</x:v>
      </x:c>
      <x:c r="B555" s="59" t="str">
        <x:v>local_link:01_data_research.md:data_sources.md</x:v>
      </x:c>
      <x:c r="C555" s="59" t="str">
        <x:v>PASS</x:v>
      </x:c>
    </x:row>
    <x:row r="556" ht="30" customHeight="1">
      <x:c r="A556" s="59" t="str">
        <x:v>Kontrola lokalna</x:v>
      </x:c>
      <x:c r="B556" s="59" t="str">
        <x:v>local_link:01_data_research.md:02_feasibility_matrix.md</x:v>
      </x:c>
      <x:c r="C556" s="59" t="str">
        <x:v>PASS</x:v>
      </x:c>
    </x:row>
    <x:row r="557" ht="30" customHeight="1">
      <x:c r="A557" s="59" t="str">
        <x:v>Kontrola lokalna</x:v>
      </x:c>
      <x:c r="B557" s="59" t="str">
        <x:v>local_link:02_feasibility_matrix.md:01_data_research.md</x:v>
      </x:c>
      <x:c r="C557" s="59" t="str">
        <x:v>PASS</x:v>
      </x:c>
    </x:row>
    <x:row r="558" ht="30" customHeight="1">
      <x:c r="A558" s="59" t="str">
        <x:v>Kontrola lokalna</x:v>
      </x:c>
      <x:c r="B558" s="59" t="str">
        <x:v>local_link:02_feasibility_matrix.md:data_sources.md</x:v>
      </x:c>
      <x:c r="C558" s="59" t="str">
        <x:v>PASS</x:v>
      </x:c>
    </x:row>
    <x:row r="559" ht="30" customHeight="1">
      <x:c r="A559" s="59" t="str">
        <x:v>Kontrola lokalna</x:v>
      </x:c>
      <x:c r="B559" s="59" t="str">
        <x:v>local_link:05_grid_capacity_methodology.md:01_data_research.md</x:v>
      </x:c>
      <x:c r="C559" s="59" t="str">
        <x:v>PASS</x:v>
      </x:c>
    </x:row>
    <x:row r="560" ht="30" customHeight="1">
      <x:c r="A560" s="59" t="str">
        <x:v>Kontrola lokalna</x:v>
      </x:c>
      <x:c r="B560" s="59" t="str">
        <x:v>local_link:data_sources.md:01_data_research.md</x:v>
      </x:c>
      <x:c r="C560" s="59" t="str">
        <x:v>PASS</x:v>
      </x:c>
    </x:row>
    <x:row r="561" ht="30" customHeight="1">
      <x:c r="A561" s="59" t="str">
        <x:v>Kontrola lokalna</x:v>
      </x:c>
      <x:c r="B561" s="59" t="str">
        <x:v>local_link:discovery_log.md:01_data_research.md</x:v>
      </x:c>
      <x:c r="C561" s="59" t="str">
        <x:v>PASS</x:v>
      </x:c>
    </x:row>
    <x:row r="562" ht="30" customHeight="1">
      <x:c r="A562" s="59" t="str">
        <x:v>Kontrola lokalna</x:v>
      </x:c>
      <x:c r="B562" s="59" t="str">
        <x:v>local_link:discovery_log.md:data_sources.md</x:v>
      </x:c>
      <x:c r="C562" s="59" t="str">
        <x:v>PASS</x:v>
      </x:c>
    </x:row>
    <x:row r="563" ht="30" customHeight="1">
      <x:c r="A563" s="59" t="str">
        <x:v>Kontrola lokalna</x:v>
      </x:c>
      <x:c r="B563" s="59" t="str">
        <x:v>local_link:git_workflow.md:reproducibility.md</x:v>
      </x:c>
      <x:c r="C563" s="59" t="str">
        <x:v>PASS</x:v>
      </x:c>
    </x:row>
    <x:row r="564" ht="30" customHeight="1">
      <x:c r="A564" s="59" t="str">
        <x:v>Kontrola lokalna</x:v>
      </x:c>
      <x:c r="B564" s="59" t="str">
        <x:v>local_link:reproducibility.md:../data/catalog/archive_manifest.json</x:v>
      </x:c>
      <x:c r="C564" s="59" t="str">
        <x:v>PASS</x:v>
      </x:c>
    </x:row>
    <x:row r="565" ht="30" customHeight="1">
      <x:c r="A565" s="59" t="str">
        <x:v>Kontrola lokalna</x:v>
      </x:c>
      <x:c r="B565" s="59" t="str">
        <x:v>python_syntax:build_research_catalog.py</x:v>
      </x:c>
      <x:c r="C565" s="59" t="str">
        <x:v>PASS</x:v>
      </x:c>
    </x:row>
    <x:row r="566" ht="30" customHeight="1">
      <x:c r="A566" s="59" t="str">
        <x:v>Kontrola lokalna</x:v>
      </x:c>
      <x:c r="B566" s="59" t="str">
        <x:v>python_syntax:research_archive.py</x:v>
      </x:c>
      <x:c r="C566" s="59" t="str">
        <x:v>PASS</x:v>
      </x:c>
    </x:row>
    <x:row r="567" ht="30" customHeight="1">
      <x:c r="A567" s="59" t="str">
        <x:v>Kontrola lokalna</x:v>
      </x:c>
      <x:c r="B567" s="59" t="str">
        <x:v>python_syntax:validate_research.py</x:v>
      </x:c>
      <x:c r="C567" s="59" t="str">
        <x:v>PASS</x:v>
      </x:c>
    </x:row>
  </x:sheetData>
  <x:pageMargins left="0.7" right="0.7" top="0.75" bottom="0.75" header="0.3" footer="0.3"/>
  <x:tableParts count="1">
    <x:tablePart xmlns:r="http://schemas.openxmlformats.org/officeDocument/2006/relationships" r:id="Re7b50e43d7f941db"/>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46276.56255284722</x:v>
      </x:c>
    </x:row>
    <x:row r="8" ht="30" customHeight="1">
      <x:c r="A8" s="59" t="str">
        <x:v>Stan rejestru TODO</x:v>
      </x:c>
      <x:c r="B8" s="60" t="n">
        <x:v>46276</x:v>
      </x:c>
    </x:row>
    <x:row r="9" ht="30" customHeight="1">
      <x:c r="A9" s="59" t="str">
        <x:v>Commit widoczny przy generowaniu</x:v>
      </x:c>
      <x:c r="B9" s="59" t="str">
        <x:v>479eecb5ef49771c1e17d3aeffaa52437e870a51</x:v>
      </x:c>
    </x:row>
    <x:row r="10" ht="30" customHeight="1">
      <x:c r="A10" s="59" t="str">
        <x:v>SHA-256 zestawu wejść</x:v>
      </x:c>
      <x:c r="B10" s="59" t="str">
        <x:v>cb1b74d74b921085fc42a6271fd7a91947c13427bc6e90845193b031ec6f8896</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2246d23afc720ede24fbc544be63c4083506ed50f46a6a25f8ea43f00c7964bc; 18775 bajtów</x:v>
      </x:c>
    </x:row>
    <x:row r="22" ht="30" customHeight="1">
      <x:c r="A22" s="59" t="str">
        <x:v>data/catalog/data_sources.json</x:v>
      </x:c>
      <x:c r="B22" s="59" t="str">
        <x:v>SHA-256 5595db2a35881ead796671561c61b730b6b00813b07606eb78dca57e076fec78; 171040 bajtów</x:v>
      </x:c>
    </x:row>
    <x:row r="23" ht="30" customHeight="1">
      <x:c r="A23" s="59" t="str">
        <x:v>data/catalog/research_validation.json</x:v>
      </x:c>
      <x:c r="B23" s="59" t="str">
        <x:v>SHA-256 426aa4d4c6591f1fc5e6e09b4b79ccc1050d4b81c93809d10521d0b3a1f0d4ba; 61214 bajtów</x:v>
      </x:c>
    </x:row>
    <x:row r="24" ht="30" customHeight="1">
      <x:c r="A24" s="59" t="str">
        <x:v>data/catalog/archive_manifest.json</x:v>
      </x:c>
      <x:c r="B24" s="59" t="str">
        <x:v>SHA-256 db9d4a636e3ecfd47b4bfb690a61d61b8a6853fef35dcb945a671d99d1f16d48; 6867 bajtów</x:v>
      </x:c>
    </x:row>
    <x:row r="25" ht="30" customHeight="1">
      <x:c r="A25" s="59" t="str">
        <x:v>README.md</x:v>
      </x:c>
      <x:c r="B25" s="59" t="str">
        <x:v>SHA-256 cb3cdaf58d479eb7eb3bdf6cbe7bc329e0a1340c3d2c8ff41eb4dc0dae2fc419; 3247 bajtów</x:v>
      </x:c>
    </x:row>
    <x:row r="26" ht="30" customHeight="1">
      <x:c r="A26" s="59" t="str">
        <x:v>docs/01_data_research.md</x:v>
      </x:c>
      <x:c r="B26" s="59" t="str">
        <x:v>SHA-256 90962f2d5b067c1fff18e4eb199a007645cab2a2df5df046bb49ff7adb3e3027; 40595 bajtów</x:v>
      </x:c>
    </x:row>
    <x:row r="27" ht="30" customHeight="1">
      <x:c r="A27" s="59" t="str">
        <x:v>docs/02_feasibility_matrix.md</x:v>
      </x:c>
      <x:c r="B27" s="59" t="str">
        <x:v>SHA-256 adbf7284bd5e5793a2334f71956a5cdca52e583dfc4ffb3cb04b7c02d491d3b0; 6602 bajtów</x:v>
      </x:c>
    </x:row>
    <x:row r="28" ht="30" customHeight="1">
      <x:c r="A28" s="59" t="str">
        <x:v>docs/03_system_architecture.md</x:v>
      </x:c>
      <x:c r="B28" s="59" t="str">
        <x:v>SHA-256 84c4a3b458e65fac551238e50d54a4e05de61e66316fc2292af7a0f95eb5e0b8; 3000 bajtów</x:v>
      </x:c>
    </x:row>
    <x:row r="29" ht="30" customHeight="1">
      <x:c r="A29" s="59" t="str">
        <x:v>docs/04_data_model.md</x:v>
      </x:c>
      <x:c r="B29" s="59" t="str">
        <x:v>SHA-256 47bf4fdee0fd158e696c4d64bfeadad62fce021db386b7528f91fb68caa9b740; 3100 bajtów</x:v>
      </x:c>
    </x:row>
    <x:row r="30" ht="30" customHeight="1">
      <x:c r="A30" s="59" t="str">
        <x:v>docs/05_grid_capacity_methodology.md</x:v>
      </x:c>
      <x:c r="B30" s="59" t="str">
        <x:v>SHA-256 bb567d9f754aafbd1b71a174b574e50c5bdbbd783d73ad8a67641e8659db0d82; 1787 bajtów</x:v>
      </x:c>
    </x:row>
    <x:row r="31" ht="30" customHeight="1">
      <x:c r="A31" s="59" t="str">
        <x:v>docs/06_scoring_methodology.md</x:v>
      </x:c>
      <x:c r="B31" s="59" t="str">
        <x:v>SHA-256 eb1cc874f964a8968ea08d9cef93ec8e02081a8b2b37836042426c940b351d7d; 1857 bajtów</x:v>
      </x:c>
    </x:row>
    <x:row r="32" ht="30" customHeight="1">
      <x:c r="A32" s="59" t="str">
        <x:v>docs/07_data_quality.md</x:v>
      </x:c>
      <x:c r="B32" s="59" t="str">
        <x:v>SHA-256 b92dc582206e53ac60600774d7d9f4a1199a4d0092606fdcd01d2f450b1249dd; 5298 bajtów</x:v>
      </x:c>
    </x:row>
    <x:row r="33" ht="30" customHeight="1">
      <x:c r="A33" s="59" t="str">
        <x:v>docs/08_roadmap.md</x:v>
      </x:c>
      <x:c r="B33" s="59" t="str">
        <x:v>SHA-256 e0a7ed406410c129fff6df65be213addcc1f254601336d6e9ec01c2d69a8852e; 2244 bajtów</x:v>
      </x:c>
    </x:row>
    <x:row r="34" ht="30" customHeight="1">
      <x:c r="A34" s="59" t="str">
        <x:v>docs/gpz_pipeline.md</x:v>
      </x:c>
      <x:c r="B34" s="59" t="str">
        <x:v>SHA-256 73277e2a8be6353fd8d8ab6f8c61fdb67fa6feb9428c7a9be8813dbc51171b40; 4669 bajtów</x:v>
      </x:c>
    </x:row>
    <x:row r="35" ht="30" customHeight="1">
      <x:c r="A35" s="59" t="str">
        <x:v>docs/decision_log.md</x:v>
      </x:c>
      <x:c r="B35" s="59" t="str">
        <x:v>SHA-256 11fcdc8acfb1f74bda8dfb21eb95f437bfd81848e2077159340b8943066633c1; 9906 bajtów</x:v>
      </x:c>
    </x:row>
    <x:row r="36" ht="30" customHeight="1">
      <x:c r="A36" s="59" t="str">
        <x:v>docs/discovery_log.md</x:v>
      </x:c>
      <x:c r="B36" s="59" t="str">
        <x:v>SHA-256 e1049cda6e471993bb574f4a6ff8c95479402f653f43b24a9605041cf86eafbc; 4217 bajtów</x:v>
      </x:c>
    </x:row>
    <x:row r="37" ht="30" customHeight="1">
      <x:c r="A37" s="59" t="str">
        <x:v>docs/reproducibility.md</x:v>
      </x:c>
      <x:c r="B37" s="59" t="str">
        <x:v>SHA-256 c6ce73214c90ecd2f6da759331507f05c6231d3ecebc0517c56f4992916d604c; 3864 bajtów</x:v>
      </x:c>
    </x:row>
    <x:row r="38" ht="30" customHeight="1">
      <x:c r="A38" s="59" t="str">
        <x:v>docs/git_workflow.md</x:v>
      </x:c>
      <x:c r="B38" s="59" t="str">
        <x:v>SHA-256 5f3a11ae855ab526329ecaeb5e311ed9a86342114be5f29e72e214476d51a72b; 4545 bajtów</x:v>
      </x:c>
    </x:row>
    <x:row r="39" ht="30" customHeight="1">
      <x:c r="A39" s="59" t="str">
        <x:v>docs/project_reporting.md</x:v>
      </x:c>
      <x:c r="B39" s="59" t="str">
        <x:v>SHA-256 40a09cd6957e08c6e9c38369eb6cce85f17bf63a355303975f4f376bb50f9b83; 4645 bajtów</x:v>
      </x:c>
    </x:row>
    <x:row r="40" ht="30" customHeight="1">
      <x:c r="A40" s="59" t="str">
        <x:v>docs/09_pilot_scope.md</x:v>
      </x:c>
      <x:c r="B40" s="59" t="str">
        <x:v>SHA-256 626a9d282a813c8159599775b5eadf78e877f5eb263f3b52da4cf0024b4e2989; 2277 bajtów</x:v>
      </x:c>
    </x:row>
    <x:row r="41" ht="30" customHeight="1">
      <x:c r="A41" s="59" t="str">
        <x:v>docs/10_radkowice_pilot.md</x:v>
      </x:c>
      <x:c r="B41" s="59" t="str">
        <x:v>SHA-256 fc561d66d3da9f0adbff8c9b9d606d3b6662b2cb9a5c4501c131fb55fe262f14; 6036 bajtów</x:v>
      </x:c>
    </x:row>
    <x:row r="42" ht="30" customHeight="1">
      <x:c r="A42" s="59" t="str">
        <x:v>docs/11_radkowice_evidence_model.md</x:v>
      </x:c>
      <x:c r="B42" s="59" t="str">
        <x:v>SHA-256 dde65ac47f989c47b3293324a2bb4b6d99ae56bb961898067d6fc9c62afcc055; 4406 bajtów</x:v>
      </x:c>
    </x:row>
    <x:row r="43" ht="30" customHeight="1">
      <x:c r="A43" s="59" t="str">
        <x:v>scripts/report_data.mjs</x:v>
      </x:c>
      <x:c r="B43" s="59" t="str">
        <x:v>SHA-256 10fe5311f61b85ac39011038b756845d6cccf432647349703f0ec184ad2b9c51; 7536 bajtów</x:v>
      </x:c>
    </x:row>
    <x:row r="44" ht="30" customHeight="1">
      <x:c r="A44" s="59" t="str">
        <x:v>scripts/generate_project_report.mjs</x:v>
      </x:c>
      <x:c r="B44" s="59" t="str">
        <x:v>SHA-256 50318cf8c052dd544e96d76a3f28adf8d0fdc7711f66a7cb4d0cfb6e906a0963; 17888 bajtów</x:v>
      </x:c>
    </x:row>
    <x:row r="45" ht="30" customHeight="1">
      <x:c r="A45" s="59" t="str">
        <x:v>scripts/generate_project_report.ps1</x:v>
      </x:c>
      <x:c r="B45" s="59" t="str">
        <x:v>SHA-256 18664ffdf769acf42dce0d589a54a313d2f16e5732617b6bf8e31a0545b0ca4d; 1950 bajtów</x:v>
      </x:c>
    </x:row>
    <x:row r="46" ht="30" customHeight="1">
      <x:c r="A46" s="59" t="str">
        <x:v>scripts/validate_project_report.py</x:v>
      </x:c>
      <x:c r="B46" s="59" t="str">
        <x:v>SHA-256 6754de75cbb11913da1dcba4f01f3c898f5069a7c31d8046572094fd43c13581; 3949 bajtów</x:v>
      </x:c>
    </x:row>
    <x:row r="47" ht="30" customHeight="1">
      <x:c r="A47" s="59" t="str">
        <x:v>data/reference/project_tracker_template.xlsx</x:v>
      </x:c>
      <x:c r="B47"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03ea89c913be4eda"/>
  </x:tableParts>
</x:worksheet>
</file>