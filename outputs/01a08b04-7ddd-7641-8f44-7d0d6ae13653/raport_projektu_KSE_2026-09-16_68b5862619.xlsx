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8b4202b0b14c7c" /></Relationships>
</file>

<file path=xl/workbook.xml><?xml version="1.0" encoding="utf-8"?>
<x:workbook xmlns:x="http://schemas.openxmlformats.org/spreadsheetml/2006/main">
  <x:sheets>
    <x:sheet xmlns:r="http://schemas.openxmlformats.org/officeDocument/2006/relationships" name="Project Plan" sheetId="1" r:id="Rcc634b25d15644b2"/>
    <x:sheet xmlns:r="http://schemas.openxmlformats.org/officeDocument/2006/relationships" name="Podsumowanie" sheetId="2" r:id="R2319f070380144bf"/>
    <x:sheet xmlns:r="http://schemas.openxmlformats.org/officeDocument/2006/relationships" name="Potrzebne informacje" sheetId="3" r:id="R24f00252631542b0"/>
    <x:sheet xmlns:r="http://schemas.openxmlformats.org/officeDocument/2006/relationships" name="TODO" sheetId="4" r:id="Rb93a967a06534c8c"/>
    <x:sheet xmlns:r="http://schemas.openxmlformats.org/officeDocument/2006/relationships" name="Wykonalność" sheetId="5" r:id="Rd982ec39fc994499"/>
    <x:sheet xmlns:r="http://schemas.openxmlformats.org/officeDocument/2006/relationships" name="Źródła" sheetId="6" r:id="R0f17c80591f94ffa"/>
    <x:sheet xmlns:r="http://schemas.openxmlformats.org/officeDocument/2006/relationships" name="Źródła szczegóły" sheetId="7" r:id="R8e9496d89b9f4adc"/>
    <x:sheet xmlns:r="http://schemas.openxmlformats.org/officeDocument/2006/relationships" name="Ryzyka" sheetId="8" r:id="R3e6f465f16434d32"/>
    <x:sheet xmlns:r="http://schemas.openxmlformats.org/officeDocument/2006/relationships" name="Dokumentacja" sheetId="9" r:id="R42c15169eb6d4f02"/>
    <x:sheet xmlns:r="http://schemas.openxmlformats.org/officeDocument/2006/relationships" name="Audyt" sheetId="10" r:id="R5ac07ca996ff470c"/>
    <x:sheet xmlns:r="http://schemas.openxmlformats.org/officeDocument/2006/relationships" name="Odtwarzanie" sheetId="11" r:id="R79a534d232754029"/>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<x:sst xmlns:x="http://schemas.openxmlformats.org/spreadsheetml/2006/main">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</x:sst>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6fd2aca64f49a6" /><Relationship Type="http://schemas.openxmlformats.org/officeDocument/2006/relationships/theme" Target="/xl/theme/theme1.xml" Id="R689ea865435d4ece" /><Relationship Type="http://schemas.openxmlformats.org/officeDocument/2006/relationships/sharedStrings" Target="/xl/sharedStrings.xml" Id="R481faf67106f461a" /><Relationship Type="http://schemas.openxmlformats.org/officeDocument/2006/relationships/worksheet" Target="/xl/worksheets/sheet1.xml" Id="Rcc634b25d15644b2" /><Relationship Type="http://schemas.openxmlformats.org/officeDocument/2006/relationships/worksheet" Target="/xl/worksheets/sheet2.xml" Id="R2319f070380144bf" /><Relationship Type="http://schemas.openxmlformats.org/officeDocument/2006/relationships/worksheet" Target="/xl/worksheets/sheet3.xml" Id="R24f00252631542b0" /><Relationship Type="http://schemas.openxmlformats.org/officeDocument/2006/relationships/worksheet" Target="/xl/worksheets/sheet4.xml" Id="Rb93a967a06534c8c" /><Relationship Type="http://schemas.openxmlformats.org/officeDocument/2006/relationships/worksheet" Target="/xl/worksheets/sheet5.xml" Id="Rd982ec39fc994499" /><Relationship Type="http://schemas.openxmlformats.org/officeDocument/2006/relationships/worksheet" Target="/xl/worksheets/sheet6.xml" Id="R0f17c80591f94ffa" /><Relationship Type="http://schemas.openxmlformats.org/officeDocument/2006/relationships/worksheet" Target="/xl/worksheets/sheet7.xml" Id="R8e9496d89b9f4adc" /><Relationship Type="http://schemas.openxmlformats.org/officeDocument/2006/relationships/worksheet" Target="/xl/worksheets/sheet8.xml" Id="R3e6f465f16434d32" /><Relationship Type="http://schemas.openxmlformats.org/officeDocument/2006/relationships/worksheet" Target="/xl/worksheets/sheet9.xml" Id="R42c15169eb6d4f02" /><Relationship Type="http://schemas.openxmlformats.org/officeDocument/2006/relationships/worksheet" Target="/xl/worksheets/sheet10.xml" Id="R5ac07ca996ff470c" /><Relationship Type="http://schemas.openxmlformats.org/officeDocument/2006/relationships/worksheet" Target="/xl/worksheets/sheet11.xml" Id="R79a534d232754029"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9" headerRowCount="1" totalsRowCount="0" totalsRowShown="0">
  <x:autoFilter ref="A6:L19"/>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2" headerRowCount="1" totalsRowCount="0" totalsRowShown="0">
  <x:autoFilter ref="A6:N42"/>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9" headerRowCount="1" totalsRowCount="0" totalsRowShown="0">
  <x:autoFilter ref="A6:E79"/>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87" headerRowCount="1" totalsRowCount="0" totalsRowShown="0">
  <x:autoFilter ref="A6:C587"/>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5" headerRowCount="1" totalsRowCount="0" totalsRowShown="0">
  <x:autoFilter ref="A6:B55"/>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2fb2a08c4745e3" /></Relationships>
</file>

<file path=xl/worksheets/_rels/sheet3.xml.rels>&#65279;<?xml version="1.0" encoding="utf-8"?><Relationships xmlns="http://schemas.openxmlformats.org/package/2006/relationships"><Relationship Type="http://schemas.openxmlformats.org/officeDocument/2006/relationships/table" Target="/xl/tables/table2.xml" Id="R6ef781d507e14e4a" /></Relationships>
</file>

<file path=xl/worksheets/_rels/sheet4.xml.rels>&#65279;<?xml version="1.0" encoding="utf-8"?><Relationships xmlns="http://schemas.openxmlformats.org/package/2006/relationships"><Relationship Type="http://schemas.openxmlformats.org/officeDocument/2006/relationships/table" Target="/xl/tables/table3.xml" Id="Radd7eacdd6fb405d" /></Relationships>
</file>

<file path=xl/worksheets/_rels/sheet5.xml.rels>&#65279;<?xml version="1.0" encoding="utf-8"?><Relationships xmlns="http://schemas.openxmlformats.org/package/2006/relationships"><Relationship Type="http://schemas.openxmlformats.org/officeDocument/2006/relationships/table" Target="/xl/tables/table4.xml" Id="R86f28f9412f74b07" /></Relationships>
</file>

<file path=xl/worksheets/_rels/sheet6.xml.rels>&#65279;<?xml version="1.0" encoding="utf-8"?><Relationships xmlns="http://schemas.openxmlformats.org/package/2006/relationships"><Relationship Type="http://schemas.openxmlformats.org/officeDocument/2006/relationships/table" Target="/xl/tables/table5.xml" Id="Re4da08c0deea4ca1" /></Relationships>
</file>

<file path=xl/worksheets/_rels/sheet7.xml.rels>&#65279;<?xml version="1.0" encoding="utf-8"?><Relationships xmlns="http://schemas.openxmlformats.org/package/2006/relationships"><Relationship Type="http://schemas.openxmlformats.org/officeDocument/2006/relationships/table" Target="/xl/tables/table6.xml" Id="R918eedfd94dd4e8c" /></Relationships>
</file>

<file path=xl/worksheets/_rels/sheet8.xml.rels>&#65279;<?xml version="1.0" encoding="utf-8"?><Relationships xmlns="http://schemas.openxmlformats.org/package/2006/relationships"><Relationship Type="http://schemas.openxmlformats.org/officeDocument/2006/relationships/table" Target="/xl/tables/table7.xml" Id="Rbb21b50dbb374b2c" /></Relationships>
</file>

<file path=xl/worksheets/_rels/sheet9.xml.rels>&#65279;<?xml version="1.0" encoding="utf-8"?><Relationships xmlns="http://schemas.openxmlformats.org/package/2006/relationships"><Relationship Type="http://schemas.openxmlformats.org/officeDocument/2006/relationships/table" Target="/xl/tables/table8.xml" Id="R24f8237c9a64452e" /></Relationships>
</file>

<file path=xl/worksheets/_rels/sheet10.xml.rels>&#65279;<?xml version="1.0" encoding="utf-8"?><Relationships xmlns="http://schemas.openxmlformats.org/package/2006/relationships"><Relationship Type="http://schemas.openxmlformats.org/officeDocument/2006/relationships/table" Target="/xl/tables/table9.xml" Id="R77de4f0598b742a7" /></Relationships>
</file>

<file path=xl/worksheets/_rels/sheet11.xml.rels>&#65279;<?xml version="1.0" encoding="utf-8"?><Relationships xmlns="http://schemas.openxmlformats.org/package/2006/relationships"><Relationship Type="http://schemas.openxmlformats.org/officeDocument/2006/relationships/table" Target="/xl/tables/table10.xml" Id="R2339edcf556044c3"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COUNTA('TODO'!A7:A42)</x:f>
        <x:v>36</x:v>
      </x:c>
      <x:c r="L6" s="43"/>
      <x:c r="M6" s="43"/>
      <x:c r="N6" s="44"/>
      <x:c r="O6" s="45" t="n">
        <x:f>COUNTIFS('TODO'!C7:C42,"Complete")</x:f>
        <x:v>12</x:v>
      </x:c>
      <x:c r="P6" s="46"/>
      <x:c r="Q6" s="46"/>
      <x:c r="R6" s="47"/>
      <x:c r="S6" s="35" t="n">
        <x:f>COUNTIFS('TODO'!C7:C42,"In Progress")</x:f>
        <x:v>2</x:v>
      </x:c>
      <x:c r="T6" s="36"/>
      <x:c r="U6" s="36"/>
      <x:c r="V6" s="37"/>
      <x:c r="W6" s="38" t="n">
        <x:f>COUNTIFS('TODO'!C7:C42,"At Risk")</x:f>
        <x:v>1</x:v>
      </x:c>
      <x:c r="X6" s="39"/>
      <x:c r="Y6" s="39"/>
      <x:c r="Z6" s="40"/>
      <x:c r="AA6" s="38" t="n">
        <x:f>COUNTIFS('TODO'!D7:D42,"P0")</x:f>
        <x:v>25</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Not Started</x:v>
      </x:c>
      <x:c r="F29" s="71" t="str">
        <x:v>P1</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36</x:v>
      </x:c>
      <x:c r="C8" s="59" t="str">
        <x:v>Pełna lista, także zakończone i dalsze etapy.</x:v>
      </x:c>
    </x:row>
    <x:row r="9" ht="30" customHeight="1">
      <x:c r="A9" s="59" t="str">
        <x:v>Zakończone zadania</x:v>
      </x:c>
      <x:c r="B9" s="59" t="n">
        <x:f>'Project Plan'!O6</x:f>
        <x:v>12</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13</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1b2fb2a08c4745e3"/>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52"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oraz zatwierdzoną specyfikację. Szczegóły rozbieżności w prywatnym przeglądzie.</x:v>
      </x:c>
      <x:c r="H19" s="59" t="str">
        <x:v>Zachować niepewność, historię i ograniczony zakres wykorzystania.</x:v>
      </x:c>
      <x:c r="I19" s="59" t="str">
        <x:v>Użytkownik; autor opracowania lub projektant</x:v>
      </x:c>
      <x:c r="J19" s="60" t="n">
        <x:v>46281</x:v>
      </x:c>
      <x:c r="K19" s="59" t="str">
        <x:v>Rozmowa i przegląd materiałów otrzymanych 2026-09-16; docs/private_sources.md</x:v>
      </x:c>
      <x:c r="L19" s="59" t="str">
        <x:v>Nie otrzymano</x:v>
      </x:c>
    </x:row>
  </x:sheetData>
  <x:pageMargins left="0.7" right="0.7" top="0.75" bottom="0.75" header="0.3" footer="0.3"/>
  <x:tableParts count="1">
    <x:tablePart xmlns:r="http://schemas.openxmlformats.org/officeDocument/2006/relationships" r:id="R6ef781d507e14e4a"/>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pakietu otrzymanego 16.09.2026; rozstrzygnąć rewizje i zakres przypisań przed integracją. Zachować separację prywatnych wniosków.</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38" customHeight="1">
      <x:c r="A42" s="59" t="str">
        <x:v>KSE-036</x:v>
      </x:c>
      <x:c r="B42" s="59" t="str">
        <x:v>Weryfikacja i normalizacja historycznej warstwy GIS</x:v>
      </x:c>
      <x:c r="C42" s="59" t="str">
        <x:v>Not Started</x:v>
      </x:c>
      <x:c r="D42" s="59" t="str">
        <x:v>P1</x:v>
      </x:c>
      <x:c r="E42" s="59" t="str">
        <x:v>Data quality</x:v>
      </x:c>
      <x:c r="F42" s="59" t="str">
        <x:v>Codex + Użytkownik</x:v>
      </x:c>
      <x:c r="G42" s="59" t="str">
        <x:v>KSE-035</x:v>
      </x:c>
      <x:c r="H42" s="59" t="str">
        <x:v>Brak</x:v>
      </x:c>
      <x:c r="I42" s="59" t="str">
        <x:v>Zweryfikować pochodzenie, porównać geometrie i alternatywne formaty oraz daty i zakresy grup mocowych.</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row>
  </x:sheetData>
  <x:conditionalFormatting sqref="C7:C42">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2">
      <x:formula1>"Not Started,In Progress,At Risk,Complete"</x:formula1>
    </x:dataValidation>
  </x:dataValidations>
  <x:pageMargins left="0.7" right="0.7" top="0.75" bottom="0.75" header="0.3" footer="0.3"/>
  <x:tableParts count="1">
    <x:tablePart xmlns:r="http://schemas.openxmlformats.org/officeDocument/2006/relationships" r:id="Radd7eacdd6fb405d"/>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86f28f9412f74b07"/>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e4da08c0deea4ca1"/>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918eedfd94dd4e8c"/>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Uwzględnić prywatny przegląd pakietu otrzymanego 16.09.2026; rozstrzygnąć rewizje i zakres przypisań przed integracją. Zachować separację prywatnych wniosków.</x:v>
      </x:c>
    </x:row>
    <x:row r="77" ht="38" customHeight="1">
      <x:c r="A77" s="59" t="str">
        <x:v>KSE-034</x:v>
      </x:c>
      <x:c r="B77" s="59" t="str">
        <x:v>Zadanie</x:v>
      </x:c>
      <x:c r="C77" s="59" t="str">
        <x:v>Zrobione</x:v>
      </x:c>
      <x:c r="D77" s="59" t="str">
        <x:v>Pilot jakościowy, nie pełne MVP. Automatyczne potwierdzenie pobrania JSON w Codex nieudane; tekst raportu dostępny w widoku.</x:v>
      </x:c>
      <x:c r="E77" s="59" t="str">
        <x:v>Test użytkownika i rozwój pokrycia danych; zweryfikować pobieranie JSON poza przeglądarką Codex.</x:v>
      </x:c>
    </x:row>
    <x:row r="78" ht="38" customHeight="1">
      <x:c r="A78" s="59" t="str">
        <x:v>KSE-035</x:v>
      </x:c>
      <x:c r="B78" s="59" t="str">
        <x:v>Zadanie</x:v>
      </x:c>
      <x:c r="C78" s="59" t="str">
        <x:v>Zrobione</x:v>
      </x:c>
      <x:c r="D78" s="59" t="str">
        <x:v>Nie jest pełnym audytem wykonawczym, CAD, geometrii GIS ani praw wykorzystania.</x:v>
      </x:c>
      <x:c r="E78" s="59" t="str">
        <x:v>Rozstrzygnąć rewizje i pochodzenie; kontynuować weryfikację szczegółową, bez automatycznego importu do publicznego pilota.</x:v>
      </x:c>
    </x:row>
    <x:row r="79" ht="38" customHeight="1">
      <x:c r="A79" s="59" t="str">
        <x:v>KSE-036</x:v>
      </x:c>
      <x:c r="B79" s="59" t="str">
        <x:v>Zadanie</x:v>
      </x:c>
      <x:c r="C79" s="59" t="str">
        <x:v>Do zrobienia</x:v>
      </x:c>
      <x:c r="D79" s="59" t="str">
        <x:v>Publiczne źródła składowe nie potwierdzają dokładności i licencji całego opracowania.</x:v>
      </x:c>
      <x:c r="E79" s="59" t="str">
        <x:v>Zweryfikować pochodzenie, porównać geometrie i alternatywne formaty oraz daty i zakresy grup mocowych.</x:v>
      </x:c>
    </x:row>
  </x:sheetData>
  <x:pageMargins left="0.7" right="0.7" top="0.75" bottom="0.75" header="0.3" footer="0.3"/>
  <x:tableParts count="1">
    <x:tablePart xmlns:r="http://schemas.openxmlformats.org/officeDocument/2006/relationships" r:id="Rbb21b50dbb374b2c"/>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38" customHeight="1">
      <x:c r="A150" s="59" t="str">
        <x:v>docs/02_feasibility_matrix.md</x:v>
      </x:c>
      <x:c r="B150" s="59" t="str">
        <x:v>Wstępna macierz wykonalności</x:v>
      </x:c>
      <x:c r="C150" s="59" t="str">
        <x:v>10.09.2026 — wynik badań etapu 1; nie jest deklaracją wdrożonej funkcjonalności. Pełne dowody, daty i linki: raport (01_data_research.md) i katalog (data_sources.md). Identyfikatory poniżej odnoszą się do katalogu JSON.</x:v>
      </x:c>
    </x:row>
    <x:row r="151" ht="52" customHeight="1">
      <x:c r="A151" s="59" t="str">
        <x:v>docs/02_feasibility_matrix.md</x:v>
      </x:c>
      <x:c r="B151" s="59" t="str">
        <x:v>Wstępna macierz wykonalności</x:v>
      </x:c>
      <x:c r="C15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2" ht="30" customHeight="1">
      <x:c r="A152" s="59" t="str">
        <x:v>docs/02_feasibility_matrix.md</x:v>
      </x:c>
      <x:c r="B152" s="59" t="str">
        <x:v>Wstępna macierz wykonalności</x:v>
      </x:c>
      <x:c r="C152" s="59" t="str">
        <x:v>Moduł / precyzyjnie określona wielkość / Klasa / Dowód i warunek / Ograniczenie / wynik przy braku wejść</x:v>
      </x:c>
    </x:row>
    <x:row r="153" ht="38" customHeight="1">
      <x:c r="A153" s="59" t="str">
        <x:v>docs/02_feasibility_matrix.md</x:v>
      </x:c>
      <x:c r="B153" s="59" t="str">
        <x:v>Wstępna macierz wykonalności</x:v>
      </x:c>
      <x:c r="C153" s="59" t="str">
        <x:v>Wskazane stacje, rozdzielnie i szyny w publikacji PSE / AVAILABLE_DIRECTLY / PSE_API: próbka specwezlow / Nie jest kompletnym grafem ani listą wszystkich GPZ</x:v>
      </x:c>
    </x:row>
    <x:row r="154" ht="38" customHeight="1">
      <x:c r="A154" s="59" t="str">
        <x:v>docs/02_feasibility_matrix.md</x:v>
      </x:c>
      <x:c r="B154" s="59" t="str">
        <x:v>Wstępna macierz wykonalności</x:v>
      </x:c>
      <x:c r="C154" s="59" t="str">
        <x:v>Opublikowane miejsce przyłączenia konkretnego projektu / AVAILABLE_DIRECTLY / PSE_PIPELINE, TAURON_PIPELINE; dokument wskazuje miejsce / Może być nieustalone; WP nie oznacza fizycznego przyłączenia</x:v>
      </x:c>
    </x:row>
    <x:row r="155" ht="38" customHeight="1">
      <x:c r="A155" s="59" t="str">
        <x:v>docs/02_feasibility_matrix.md</x:v>
      </x:c>
      <x:c r="B155" s="59" t="str">
        <x:v>Wstępna macierz wykonalności</x:v>
      </x:c>
      <x:c r="C155" s="59" t="str">
        <x:v>Pełna liczba wszystkich projektów na dowolnym GPZ / NOT_CURRENTLY_AVAILABLE / Nie wykazano kompletności publicznych wykazów i przypisań / Nie przedstawiać znanej części jako pełnej liczby</x:v>
      </x:c>
    </x:row>
    <x:row r="156" ht="38" customHeight="1">
      <x:c r="A156" s="59" t="str">
        <x:v>docs/02_feasibility_matrix.md</x:v>
      </x:c>
      <x:c r="B156" s="59" t="str">
        <x:v>Wstępna macierz wykonalności</x:v>
      </x:c>
      <x:c r="C156" s="59" t="str">
        <x:v>Liczba znanych projektów przypisanych dokumentem do punktu / CALCULABLE / Deduplikacja, spójny snapshot, status i pewność relacji / Raportować pokrycie i projekty nieprzypisane</x:v>
      </x:c>
    </x:row>
    <x:row r="157" ht="38" customHeight="1">
      <x:c r="A157" s="59" t="str">
        <x:v>docs/02_feasibility_matrix.md</x:v>
      </x:c>
      <x:c r="B157" s="59" t="str">
        <x:v>Wstępna macierz wykonalności</x:v>
      </x:c>
      <x:c r="C157" s="59" t="str">
        <x:v>Moc znanych projektów na tym samym punkcie / CALCULABLE / Jawne MW i definicja mocy; PSE_PIPELINE / wykazy OSD / Osobno kierunek, etap, zainstalowana moc i PCC; nie jest przepływem</x:v>
      </x:c>
    </x:row>
    <x:row r="158" ht="38" customHeight="1">
      <x:c r="A158" s="59" t="str">
        <x:v>docs/02_feasibility_matrix.md</x:v>
      </x:c>
      <x:c r="B158" s="59" t="str">
        <x:v>Wstępna macierz wykonalności</x:v>
      </x:c>
      <x:c r="C158" s="59" t="str">
        <x:v>Pełna istniejąca generacja danego GPZ / NOT_CURRENTLY_AVAILABLE / URE_REGISTERS i wykazy operatorów mają różne zakresy / Możliwy częściowy udokumentowany inwentarz</x:v>
      </x:c>
    </x:row>
    <x:row r="159" ht="38" customHeight="1">
      <x:c r="A159" s="59" t="str">
        <x:v>docs/02_feasibility_matrix.md</x:v>
      </x:c>
      <x:c r="B159" s="59" t="str">
        <x:v>Wstępna macierz wykonalności</x:v>
      </x:c>
      <x:c r="C159" s="59" t="str">
        <x:v>Wskazana przez operatora moc przyłączeniowa w jego jednostce raportowania / AVAILABLE_DIRECTLY / PSE_CAPACITY, ENERGA_EXPORT/IMPORT, STOEN_EXPORT/IMPORT / Horyzont, grupa ograniczeń, kierunek i założenia są częścią wartości</x:v>
      </x:c>
    </x:row>
    <x:row r="160" ht="38" customHeight="1">
      <x:c r="A160" s="59" t="str">
        <x:v>docs/02_feasibility_matrix.md</x:v>
      </x:c>
      <x:c r="B160" s="59" t="str">
        <x:v>Wstępna macierz wykonalności</x:v>
      </x:c>
      <x:c r="C160" s="59" t="str">
        <x:v>Niezależna bieżąca wolna moc dowolnego GPZ / NOT_CURRENTLY_AVAILABLE / Brak kompletnej topologii, lokalnych profili i parametrów / value=null, classification=UNKNOWN</x:v>
      </x:c>
    </x:row>
    <x:row r="161" ht="38" customHeight="1">
      <x:c r="A161" s="59" t="str">
        <x:v>docs/02_feasibility_matrix.md</x:v>
      </x:c>
      <x:c r="B161" s="59" t="str">
        <x:v>Wstępna macierz wykonalności</x:v>
      </x:c>
      <x:c r="C161" s="59" t="str">
        <x:v>Moc znamionowa konkretnego transformatora opisana w dokumencie / AVAILABLE_DIRECTLY / Tylko jeśli właściwy dokument podaje parametr i obiekt / Ten research nie zwalidował pełnego inwentarza; brak wartości = UNKNOWN</x:v>
      </x:c>
    </x:row>
    <x:row r="162" ht="38" customHeight="1">
      <x:c r="A162" s="59" t="str">
        <x:v>docs/02_feasibility_matrix.md</x:v>
      </x:c>
      <x:c r="B162" s="59" t="str">
        <x:v>Wstępna macierz wykonalności</x:v>
      </x:c>
      <x:c r="C162" s="59" t="str">
        <x:v>Krajowy kompletny rejestr mocy transformatorów GPZ / NOT_CURRENTLY_AVAILABLE / Nie znaleziono kompletnego otwartego zbioru w badanym zakresie / Nie wnioskować z napięcia, zdjęcia lub typowej konstrukcji</x:v>
      </x:c>
    </x:row>
    <x:row r="163" ht="38" customHeight="1">
      <x:c r="A163" s="59" t="str">
        <x:v>docs/02_feasibility_matrix.md</x:v>
      </x:c>
      <x:c r="B163" s="59" t="str">
        <x:v>Wstępna macierz wykonalności</x:v>
      </x:c>
      <x:c r="C163" s="59" t="str">
        <x:v>Rzeczywiste obciążenie dowolnego transformatora GPZ / NOT_CURRENTLY_AVAILABLE / Brak publicznego pełnego pokrycia telemetrią / Moc znamionowa i suma PV nie wystarczą</x:v>
      </x:c>
    </x:row>
    <x:row r="164" ht="38" customHeight="1">
      <x:c r="A164" s="59" t="str">
        <x:v>docs/02_feasibility_matrix.md</x:v>
      </x:c>
      <x:c r="B164" s="59" t="str">
        <x:v>Wstępna macierz wykonalności</x:v>
      </x:c>
      <x:c r="C164" s="59" t="str">
        <x:v>Obciążenie dowolnej linii 110 kV / NOT_CURRENTLY_AVAILABLE / Brak parametrów i bieżącego układu/profili / Mapy linii nie pozwalają tego wyliczyć</x:v>
      </x:c>
    </x:row>
    <x:row r="165" ht="38" customHeight="1">
      <x:c r="A165" s="59" t="str">
        <x:v>docs/02_feasibility_matrix.md</x:v>
      </x:c>
      <x:c r="B165" s="59" t="str">
        <x:v>Wstępna macierz wykonalności</x:v>
      </x:c>
      <x:c r="C165" s="59" t="str">
        <x:v>Dane o bilansie i generacji na poziomie KSE / AVAILABLE_DIRECTLY / PSE_API; Energy-Charts jako dodatkowe źródło / Nie przenosić na lokalny GPZ</x:v>
      </x:c>
    </x:row>
    <x:row r="166" ht="38" customHeight="1">
      <x:c r="A166" s="59" t="str">
        <x:v>docs/02_feasibility_matrix.md</x:v>
      </x:c>
      <x:c r="B166" s="59" t="str">
        <x:v>Wstępna macierz wykonalności</x:v>
      </x:c>
      <x:c r="C166" s="59" t="str">
        <x:v>Raportowane redysponowanie z rozróżnieniem przyczyny / AVAILABLE_DIRECTLY / PSE_API poze-redoze, schemat i próbka / Lokalizacja ograniczenia nie wynika z agregatu; null nie jest zerem</x:v>
      </x:c>
    </x:row>
    <x:row r="167" ht="38" customHeight="1">
      <x:c r="A167" s="59" t="str">
        <x:v>docs/02_feasibility_matrix.md</x:v>
      </x:c>
      <x:c r="B167" s="59" t="str">
        <x:v>Wstępna macierz wykonalności</x:v>
      </x:c>
      <x:c r="C167" s="59" t="str">
        <x:v>Congestion konkretnego elementu w dowolnej lokalizacji / NOT_CURRENTLY_AVAILABLE / Brak powszechnego lokalnego dowodu / Możliwy opis udokumentowanego ograniczenia, bez udawanej mapy przeciążeń</x:v>
      </x:c>
    </x:row>
    <x:row r="168" ht="38" customHeight="1">
      <x:c r="A168" s="59" t="str">
        <x:v>docs/02_feasibility_matrix.md</x:v>
      </x:c>
      <x:c r="B168" s="59" t="str">
        <x:v>Wstępna macierz wykonalności</x:v>
      </x:c>
      <x:c r="C168" s="59" t="str">
        <x:v>Moc eksportowa/importowa BESS jako osobne pola projektu / AVAILABLE_DIRECTLY / PSE_PIPELINE i kierunkowe wykazy w badanym zakresie / Dostępność konkretnego pola zależy od rekordu; brak MWh nie uzupełniać domysłem</x:v>
      </x:c>
    </x:row>
    <x:row r="169" ht="38" customHeight="1">
      <x:c r="A169" s="59" t="str">
        <x:v>docs/02_feasibility_matrix.md</x:v>
      </x:c>
      <x:c r="B169" s="59" t="str">
        <x:v>Wstępna macierz wykonalności</x:v>
      </x:c>
      <x:c r="C169" s="59" t="str">
        <x:v>Czas magazynowania przy znanych MWh i mocy rozładowania / CALCULABLE / MWh / MW, dodatni mianownik, jawne znaczenie mocy i pojemności / Wymaga zgodnych nominalnych/użytecznych wartości; nie oznacza profilu pracy</x:v>
      </x:c>
    </x:row>
    <x:row r="170" ht="38" customHeight="1">
      <x:c r="A170" s="59" t="str">
        <x:v>docs/02_feasibility_matrix.md</x:v>
      </x:c>
      <x:c r="B170" s="59" t="str">
        <x:v>Wstępna macierz wykonalności</x:v>
      </x:c>
      <x:c r="C170" s="59" t="str">
        <x:v>Techniczna możliwość przyłączenia dowolnego BESS / NOT_CURRENTLY_AVAILABLE / Osobne import/eksport nie zastępują pełnej analizy sieci / Możliwy screening przesłanek dla obu kierunków</x:v>
      </x:c>
    </x:row>
    <x:row r="171" ht="38" customHeight="1">
      <x:c r="A171" s="59" t="str">
        <x:v>docs/02_feasibility_matrix.md</x:v>
      </x:c>
      <x:c r="B171" s="59" t="str">
        <x:v>Wstępna macierz wykonalności</x:v>
      </x:c>
      <x:c r="C171" s="59" t="str">
        <x:v>Scenariuszowy profil generacji PV/Wind / ESTIMABLE / Potrzebne parametry instalacji, pogoda, metoda i walidacja / Jeszcze nie wdrożono ani nie zwalidowano lokalnego modelu profili</x:v>
      </x:c>
    </x:row>
    <x:row r="172" ht="38" customHeight="1">
      <x:c r="A172" s="59" t="str">
        <x:v>docs/02_feasibility_matrix.md</x:v>
      </x:c>
      <x:c r="B172" s="59" t="str">
        <x:v>Wstępna macierz wykonalności</x:v>
      </x:c>
      <x:c r="C172" s="59" t="str">
        <x:v>Zastępcza lokalizacja/relacja sieciowa / ESTIMABLE / Kilka zgodnych dowodów; wynik relacji oznaczony INFERRED / Samo najbliższe GPZ nie wystarcza; konflikt zachować</x:v>
      </x:c>
    </x:row>
    <x:row r="173" ht="38" customHeight="1">
      <x:c r="A173" s="59" t="str">
        <x:v>docs/02_feasibility_matrix.md</x:v>
      </x:c>
      <x:c r="B173" s="59" t="str">
        <x:v>Wstępna macierz wykonalności</x:v>
      </x:c>
      <x:c r="C173" s="59" t="str">
        <x:v>Pełny łańcuch project–feeder–GPZ–PSE dla każdego projektu / NOT_CURRENTLY_AVAILABLE / Fragmenty dokumentacyjne + pomocnicza geometria / Dopuszczalne nieznane odcinki grafu</x:v>
      </x:c>
    </x:row>
    <x:row r="174" ht="38" customHeight="1">
      <x:c r="A174" s="59" t="str">
        <x:v>docs/02_feasibility_matrix.md</x:v>
      </x:c>
      <x:c r="B174" s="59" t="str">
        <x:v>Wstępna macierz wykonalności</x:v>
      </x:c>
      <x:c r="C174" s="59" t="str">
        <x:v>Udokumentowane planowane inwestycje / AVAILABLE_DIRECTLY / PSE_PLAN, ENERGA_PLAN, ENEA_PLAN / Projekt/uzgodnienie/realizacja to odrębne statusy</x:v>
      </x:c>
    </x:row>
    <x:row r="175" ht="38" customHeight="1">
      <x:c r="A175" s="59" t="str">
        <x:v>docs/02_feasibility_matrix.md</x:v>
      </x:c>
      <x:c r="B175" s="59" t="str">
        <x:v>Wstępna macierz wykonalności</x:v>
      </x:c>
      <x:c r="C175" s="59" t="str">
        <x:v>Przyszła dostępna moc z konkretnego wariantu publikacji / AVAILABLE_DIRECTLY / Jeśli operator podał wartość, datę i założenia; PSE_CAPACITY / Nie wyliczać prostym dodaniem MVA inwestycji do obecnych MW</x:v>
      </x:c>
    </x:row>
    <x:row r="176" ht="38" customHeight="1">
      <x:c r="A176" s="59" t="str">
        <x:v>docs/02_feasibility_matrix.md</x:v>
      </x:c>
      <x:c r="B176" s="59" t="str">
        <x:v>Wstępna macierz wykonalności</x:v>
      </x:c>
      <x:c r="C176" s="59" t="str">
        <x:v>Przyszła fizyczna dostępność każdego punktu / NOT_CURRENTLY_AVAILABLE / Brak kompletnych przyszłych profili, topologii i realizacji planów / Możliwa narracja wariantowa, nie gwarancja</x:v>
      </x:c>
    </x:row>
    <x:row r="177" ht="38" customHeight="1">
      <x:c r="A177" s="59" t="str">
        <x:v>docs/02_feasibility_matrix.md</x:v>
      </x:c>
      <x:c r="B177" s="59" t="str">
        <x:v>Wstępna macierz wykonalności</x:v>
      </x:c>
      <x:c r="C177" s="59" t="str">
        <x:v>Potencjalne korytarze i przecięcia ograniczeń GIS / CALCULABLE / Zweryfikowana geometria, CRS i aktualne warstwy / Nie jest prawem do gruntu ani pełną wykonalnością trasy</x:v>
      </x:c>
    </x:row>
    <x:row r="178" ht="38" customHeight="1">
      <x:c r="A178" s="59" t="str">
        <x:v>docs/02_feasibility_matrix.md</x:v>
      </x:c>
      <x:c r="B178" s="59" t="str">
        <x:v>Wstępna macierz wykonalności</x:v>
      </x:c>
      <x:c r="C178" s="59" t="str">
        <x:v>Rzeczywista możliwość pozyskania trasy przyłącza / NOT_CURRENTLY_AVAILABLE / Potrzebne prawa do nieruchomości, uzgodnienia i projekt techniczny / Publiczne działki i WMS nie wystarczą</x:v>
      </x:c>
    </x:row>
    <x:row r="179" ht="38" customHeight="1">
      <x:c r="A179" s="59" t="str">
        <x:v>docs/02_feasibility_matrix.md</x:v>
      </x:c>
      <x:c r="B179" s="59" t="str">
        <x:v>Wstępna macierz wykonalności</x:v>
      </x:c>
      <x:c r="C179" s="59" t="str">
        <x:v>Grid Connection Score 0–100 o zwalidowanej trafności / NOT_CURRENTLY_AVAILABLE / Nie skalibrowano wag, celu i zbioru referencyjnego / Nie wyświetlać arbitralnej liczby</x:v>
      </x:c>
    </x:row>
    <x:row r="180" ht="38" customHeight="1">
      <x:c r="A180" s="59" t="str">
        <x:v>docs/02_feasibility_matrix.md</x:v>
      </x:c>
      <x:c r="B180" s="59" t="str">
        <x:v>Wstępna macierz wykonalności</x:v>
      </x:c>
      <x:c r="C180" s="59" t="str">
        <x:v>Procentowe prawdopodobieństwo uzyskania WP / NOT_CURRENTLY_AVAILABLE / Brak reprezentatywnych etykiet wyników i wystarczających predyktorów / Nie utożsamiać historycznego udziału odmów z szansą konkretnego projektu</x:v>
      </x:c>
    </x:row>
    <x:row r="181" ht="38" customHeight="1">
      <x:c r="A181" s="59" t="str">
        <x:v>docs/02_feasibility_matrix.md</x:v>
      </x:c>
      <x:c r="B181" s="59" t="str">
        <x:v>Wstępna macierz wykonalności</x:v>
      </x:c>
      <x:c r="C181" s="59" t="str">
        <x:v>Historia wiedzy od rozpoczęcia archiwizacji / CALCULABLE / Snapshoty, manifesty, wersje normalizacji i metody / Nie odtworzy brakujących historycznych źródeł sprzed archiwizacji</x:v>
      </x:c>
    </x:row>
    <x:row r="182" ht="38" customHeight="1">
      <x:c r="A182" s="59" t="str">
        <x:v>docs/02_feasibility_matrix.md</x:v>
      </x:c>
      <x:c r="B182" s="59" t="str">
        <x:v>Wstępna macierz wykonalności</x:v>
      </x:c>
      <x:c r="C182" s="59" t="str">
        <x:v>Najważniejsze rozróżnienie: wiarygodne przepisanie wartości operatora jest możliwe znacznie wcześniej niż wiarygodne obliczenie tej samej wielkości samodzielnie. Produkt powinien wyraźnie pokazywać, którą czynność wykonał.</x:v>
      </x:c>
    </x:row>
    <x:row r="183" ht="30" customHeight="1">
      <x:c r="A183" s="59" t="str">
        <x:v>docs/03_system_architecture.md</x:v>
      </x:c>
      <x:c r="B183" s="59" t="str">
        <x:v>Kierunek architektury po researchu</x:v>
      </x:c>
      <x:c r="C183" s="59" t="str">
        <x:v>10.09.2026 — propozycja do etapu 2, bez instalacji bazy i bez wyboru ostatecznego stosu.</x:v>
      </x:c>
    </x:row>
    <x:row r="184" ht="52" customHeight="1">
      <x:c r="A184" s="59" t="str">
        <x:v>docs/03_system_architecture.md</x:v>
      </x:c>
      <x:c r="B184" s="59" t="str">
        <x:v>Kierunek architektury po researchu</x:v>
      </x:c>
      <x:c r="C18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5" ht="30" customHeight="1">
      <x:c r="A185" s="59" t="str">
        <x:v>docs/03_system_architecture.md</x:v>
      </x:c>
      <x:c r="B185" s="59" t="str">
        <x:v>Kierunek architektury po researchu</x:v>
      </x:c>
      <x:c r="C185" s="59" t="str">
        <x:v>Wariant / Korzyść dla projektu / Koszt / ograniczenie / Wstępna ocena</x:v>
      </x:c>
    </x:row>
    <x:row r="186" ht="38" customHeight="1">
      <x:c r="A186" s="59" t="str">
        <x:v>docs/03_system_architecture.md</x:v>
      </x:c>
      <x:c r="B186" s="59" t="str">
        <x:v>Kierunek architektury po researchu</x:v>
      </x:c>
      <x:c r="C186" s="59" t="str">
        <x:v>PostgreSQL + PostGIS / Jeden magazyn danych domenowych, źródeł, historii i geometrii; graf jako węzły/krawędzie / Złożone przejścia grafowe trzeba świadomie zaprojektować / Preferowany kandydat MVP</x:v>
      </x:c>
    </x:row>
    <x:row r="187" ht="38" customHeight="1">
      <x:c r="A187" s="59" t="str">
        <x:v>docs/03_system_architecture.md</x:v>
      </x:c>
      <x:c r="B187" s="59" t="str">
        <x:v>Kierunek architektury po researchu</x:v>
      </x:c>
      <x:c r="C187" s="59" t="str">
        <x:v>PostgreSQL + PostGIS + pgRouting / Algorytmy trasowania/analizy grafowej w tym samym środowisku / Kolejne rozszerzenie; koszt grafu nie jest modelem przepływu energii / Dodać tylko dla uzasadnionego zapytania lub warstwy trasowej</x:v>
      </x:c>
    </x:row>
    <x:row r="188" ht="38" customHeight="1">
      <x:c r="A188" s="59" t="str">
        <x:v>docs/03_system_architecture.md</x:v>
      </x:c>
      <x:c r="B188" s="59" t="str">
        <x:v>Kierunek architektury po researchu</x:v>
      </x:c>
      <x:c r="C188" s="59" t="str">
        <x:v>Neo4j / Naturalna reprezentacja węzłów i relacji z właściwościami / Wymaga oceny obsługi historii, GIS, edycji/licencji i utrzymania / Brak potrzeby wykazanej badaniem danych</x:v>
      </x:c>
    </x:row>
    <x:row r="189" ht="38" customHeight="1">
      <x:c r="A189" s="59" t="str">
        <x:v>docs/03_system_architecture.md</x:v>
      </x:c>
      <x:c r="B189" s="59" t="str">
        <x:v>Kierunek architektury po researchu</x:v>
      </x:c>
      <x:c r="C189" s="59" t="str">
        <x:v>PostgreSQL/PostGIS + Neo4j / Osobna projekcja do intensywnej eksploracji grafu / Synchronizacja dwóch magazynów, ryzyko niespójności i trudniejszy audyt / Odłożyć do czasu mierzalnej potrzeby</x:v>
      </x:c>
    </x:row>
    <x:row r="190" ht="66" customHeight="1">
      <x:c r="A190" s="59" t="str">
        <x:v>docs/03_system_architecture.md</x:v>
      </x:c>
      <x:c r="B190" s="59" t="str">
        <x:v>Kierunek architektury po researchu</x:v>
      </x:c>
      <x:c r="C19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1" ht="52" customHeight="1">
      <x:c r="A191" s="59" t="str">
        <x:v>docs/03_system_architecture.md</x:v>
      </x:c>
      <x:c r="B191" s="59" t="str">
        <x:v>Przepływ danych do zaprojektowania</x:v>
      </x:c>
      <x:c r="C19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2" ht="52" customHeight="1">
      <x:c r="A192" s="59" t="str">
        <x:v>docs/03_system_architecture.md</x:v>
      </x:c>
      <x:c r="B192" s="59" t="str">
        <x:v>Przepływ danych do zaprojektowania</x:v>
      </x:c>
      <x:c r="C19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3" ht="52" customHeight="1">
      <x:c r="A193" s="59" t="str">
        <x:v>docs/03_system_architecture.md</x:v>
      </x:c>
      <x:c r="B193" s="59" t="str">
        <x:v>Przepływ danych do zaprojektowania</x:v>
      </x:c>
      <x:c r="C19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4" ht="52" customHeight="1">
      <x:c r="A194" s="59" t="str">
        <x:v>docs/04_data_model.md</x:v>
      </x:c>
      <x:c r="B194" s="59" t="str">
        <x:v>Wymagania dla przyszłego modelu danych</x:v>
      </x:c>
      <x:c r="C19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5" ht="30" customHeight="1">
      <x:c r="A195" s="59" t="str">
        <x:v>docs/04_data_model.md</x:v>
      </x:c>
      <x:c r="B195" s="59" t="str">
        <x:v>Wymagania dla przyszłego modelu danych</x:v>
      </x:c>
      <x:c r="C195" s="59" t="str">
        <x:v>10.09.2026 — notatka z etapu 1. To nie jest wdrożony schemat bazy.</x:v>
      </x:c>
    </x:row>
    <x:row r="196" ht="66" customHeight="1">
      <x:c r="A196" s="59" t="str">
        <x:v>docs/04_data_model.md</x:v>
      </x:c>
      <x:c r="B196" s="59" t="str">
        <x:v>Wymagania dla przyszłego modelu danych</x:v>
      </x:c>
      <x:c r="C19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7" ht="30" customHeight="1">
      <x:c r="A197" s="59" t="str">
        <x:v>docs/04_data_model.md</x:v>
      </x:c>
      <x:c r="B197" s="59" t="str">
        <x:v>Wymagania dla przyszłego modelu danych</x:v>
      </x:c>
      <x:c r="C197" s="59" t="str">
        <x:v>Obszar / Wymaganie wynikające z badań</x:v>
      </x:c>
    </x:row>
    <x:row r="198" ht="38" customHeight="1">
      <x:c r="A198" s="59" t="str">
        <x:v>docs/04_data_model.md</x:v>
      </x:c>
      <x:c r="B198" s="59" t="str">
        <x:v>Wymagania dla przyszłego modelu danych</x:v>
      </x:c>
      <x:c r="C198" s="59" t="str">
        <x:v>Tożsamość / Własny stabilny ID, identyfikatory operatora, aliasy, operator, napięcie, geometria; brak scalenia wyłącznie po podobieństwie nazwy</x:v>
      </x:c>
    </x:row>
    <x:row r="199" ht="38" customHeight="1">
      <x:c r="A199" s="59" t="str">
        <x:v>docs/04_data_model.md</x:v>
      </x:c>
      <x:c r="B199" s="59" t="str">
        <x:v>Wymagania dla przyszłego modelu danych</x:v>
      </x:c>
      <x:c r="C199" s="59" t="str">
        <x:v>Obserwacja / Wartość i jednostka, klasyfikacja REPORTED/MEASURED/CALCULATED/ESTIMATED/INFERRED/UNKNOWN, źródło i snapshot, strona/arkusz/wiersz/pole, daty</x:v>
      </x:c>
    </x:row>
    <x:row r="200" ht="38" customHeight="1">
      <x:c r="A200" s="59" t="str">
        <x:v>docs/04_data_model.md</x:v>
      </x:c>
      <x:c r="B200" s="59" t="str">
        <x:v>Wymagania dla przyszłego modelu danych</x:v>
      </x:c>
      <x:c r="C200" s="59" t="str">
        <x:v>Czas / Osobno publication_date, observation_date/source_date, retrieval_date, valid_from/to oraz moment rejestracji wiedzy; nieznane daty pozostają null</x:v>
      </x:c>
    </x:row>
    <x:row r="201" ht="30" customHeight="1">
      <x:c r="A201" s="59" t="str">
        <x:v>docs/04_data_model.md</x:v>
      </x:c>
      <x:c r="B201" s="59" t="str">
        <x:v>Wymagania dla przyszłego modelu danych</x:v>
      </x:c>
      <x:c r="C201" s="59" t="str">
        <x:v>Konflikt / Obie wersje wartości lub daty, dowody, status rozstrzygnięcia; nie nadpisywać jednej drugą</x:v>
      </x:c>
    </x:row>
    <x:row r="202" ht="30" customHeight="1">
      <x:c r="A202" s="59" t="str">
        <x:v>docs/04_data_model.md</x:v>
      </x:c>
      <x:c r="B202" s="59" t="str">
        <x:v>Wymagania dla przyszłego modelu danych</x:v>
      </x:c>
      <x:c r="C202" s="59" t="str">
        <x:v>Relacja / Obiekt początkowy/końcowy, typ, confirmed/probable/inferred/unknown, dowody, okres, stan planowany/istniejący</x:v>
      </x:c>
    </x:row>
    <x:row r="203" ht="38" customHeight="1">
      <x:c r="A203" s="59" t="str">
        <x:v>docs/04_data_model.md</x:v>
      </x:c>
      <x:c r="B203" s="59" t="str">
        <x:v>Wymagania dla przyszłego modelu danych</x:v>
      </x:c>
      <x:c r="C203" s="59" t="str">
        <x:v>Projekt / Technologie jako składniki, SPV/inwestor z dowodami, etapy procedury jako historia; nie wszystkie wpisy są osobnymi projektami</x:v>
      </x:c>
    </x:row>
    <x:row r="204" ht="38" customHeight="1">
      <x:c r="A204" s="59" t="str">
        <x:v>docs/04_data_model.md</x:v>
      </x:c>
      <x:c r="B204" s="59" t="str">
        <x:v>Wymagania dla przyszłego modelu danych</x:v>
      </x:c>
      <x:c r="C204" s="59" t="str">
        <x:v>BESS / P_export_MW, P_import_MW, energy_capacity_MWh, duration_h, PCC_export_limit_MW, PCC_import_limit_MW; brakujące pola null</x:v>
      </x:c>
    </x:row>
    <x:row r="205" ht="30" customHeight="1">
      <x:c r="A205" s="59" t="str">
        <x:v>docs/04_data_model.md</x:v>
      </x:c>
      <x:c r="B205" s="59" t="str">
        <x:v>Wymagania dla przyszłego modelu danych</x:v>
      </x:c>
      <x:c r="C205" s="59" t="str">
        <x:v>Hybryda / Składniki zainstalowane niezależnie od limitów PCC i scenariusza pracy</x:v>
      </x:c>
    </x:row>
    <x:row r="206" ht="30" customHeight="1">
      <x:c r="A206" s="59" t="str">
        <x:v>docs/04_data_model.md</x:v>
      </x:c>
      <x:c r="B206" s="59" t="str">
        <x:v>Wymagania dla przyszłego modelu danych</x:v>
      </x:c>
      <x:c r="C206" s="59" t="str">
        <x:v>Dostępność operatora / Kierunek, napięcie, grupa/stacja, horyzont, wariant WP, ograniczenia i definicja raportu</x:v>
      </x:c>
    </x:row>
    <x:row r="207" ht="38" customHeight="1">
      <x:c r="A207" s="59" t="str">
        <x:v>docs/04_data_model.md</x:v>
      </x:c>
      <x:c r="B207" s="59" t="str">
        <x:v>Wymagania dla przyszłego modelu danych</x:v>
      </x:c>
      <x:c r="C207" s="59" t="str">
        <x:v>Inwestycja / planned/under_construction/commissioned/cancelled/unknown, status dokumentu i daty oczekiwane oddzielone od rzeczywistych</x:v>
      </x:c>
    </x:row>
    <x:row r="208" ht="38" customHeight="1">
      <x:c r="A208" s="59" t="str">
        <x:v>docs/04_data_model.md</x:v>
      </x:c>
      <x:c r="B208" s="59" t="str">
        <x:v>Wymagania dla przyszłego modelu danych</x:v>
      </x:c>
      <x:c r="C208" s="59" t="str">
        <x:v>Wynik analizy / Snapshot, parametry projektu, wersja metody, konfiguracja, czas analizy, źródła wejściowe i wyjaśnienie; score i confidence odrębne</x:v>
      </x:c>
    </x:row>
    <x:row r="209" ht="38" customHeight="1">
      <x:c r="A209" s="59" t="str">
        <x:v>docs/04_data_model.md</x:v>
      </x:c>
      <x:c r="B209" s="59" t="str">
        <x:v>Wymagania dla przyszłego modelu danych</x:v>
      </x:c>
      <x:c r="C209" s="59" t="str">
        <x:v>Szczegółowy projekt SQL/API oraz walidacja kontraktów należą do etapu 2. Katalog źródeł w etapie 1 nie jest zamiennikiem modelu obserwacji technicznych.</x:v>
      </x:c>
    </x:row>
    <x:row r="210" ht="66" customHeight="1">
      <x:c r="A210" s="59" t="str">
        <x:v>docs/04_data_model.md</x:v>
      </x:c>
      <x:c r="B210" s="59" t="str">
        <x:v>Wymagania dla przyszłego modelu danych</x:v>
      </x:c>
      <x:c r="C21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1" ht="52" customHeight="1">
      <x:c r="A211" s="59" t="str">
        <x:v>docs/04_data_model.md</x:v>
      </x:c>
      <x:c r="B211" s="59" t="str">
        <x:v>Prototyp wspólnego przyłącza — 11.09.2026</x:v>
      </x:c>
      <x:c r="C21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2" ht="38" customHeight="1">
      <x:c r="A212" s="59" t="str">
        <x:v>docs/04_data_model.md</x:v>
      </x:c>
      <x:c r="B212" s="59" t="str">
        <x:v>Uzupełnienie historii — 2026-09-15</x:v>
      </x:c>
      <x:c r="C212" s="59" t="str">
        <x:v>Prototyp dwóch osi czasu, korekt i konfliktów opisano w historii obserwacji (14_observation_history.md). Nie zastępuje pełnego modelu bazy. Data publikacji ani pobrania nie wyznacza automatycznie okresu ważności.</x:v>
      </x:c>
    </x:row>
    <x:row r="213" ht="30" customHeight="1">
      <x:c r="A213" s="59" t="str">
        <x:v>docs/05_grid_capacity_methodology.md</x:v>
      </x:c>
      <x:c r="B213" s="59" t="str">
        <x:v>Granice metody oceny dostępności</x:v>
      </x:c>
      <x:c r="C213" s="59" t="str">
        <x:v>10.09.2026 — wymagania badawcze, brak zaimplementowanego silnika mocy.</x:v>
      </x:c>
    </x:row>
    <x:row r="214" ht="30" customHeight="1">
      <x:c r="A214" s="59" t="str">
        <x:v>docs/05_grid_capacity_methodology.md</x:v>
      </x:c>
      <x:c r="B214" s="59" t="str">
        <x:v>Granice metody oceny dostępności</x:v>
      </x:c>
      <x:c r="C214" s="59" t="str">
        <x:v>Pierwszy raport powinien oddzielać:</x:v>
      </x:c>
    </x:row>
    <x:row r="215" ht="66" customHeight="1">
      <x:c r="A215" s="59" t="str">
        <x:v>docs/05_grid_capacity_methodology.md</x:v>
      </x:c>
      <x:c r="B215" s="59" t="str">
        <x:v>Granice metody oceny dostępności</x:v>
      </x:c>
      <x:c r="C21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6" ht="52" customHeight="1">
      <x:c r="A216" s="59" t="str">
        <x:v>docs/05_grid_capacity_methodology.md</x:v>
      </x:c>
      <x:c r="B216" s="59" t="str">
        <x:v>Granice metody oceny dostępności</x:v>
      </x:c>
      <x:c r="C21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7" ht="52" customHeight="1">
      <x:c r="A217" s="59" t="str">
        <x:v>docs/05_grid_capacity_methodology.md</x:v>
      </x:c>
      <x:c r="B217" s="59" t="str">
        <x:v>Granice metody oceny dostępności</x:v>
      </x:c>
      <x:c r="C21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8" ht="52" customHeight="1">
      <x:c r="A218" s="59" t="str">
        <x:v>docs/05_grid_capacity_methodology.md</x:v>
      </x:c>
      <x:c r="B218" s="59" t="str">
        <x:v>Granice metody oceny dostępności</x:v>
      </x:c>
      <x:c r="C21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9" ht="38" customHeight="1">
      <x:c r="A219" s="59" t="str">
        <x:v>docs/05_grid_capacity_methodology.md</x:v>
      </x:c>
      <x:c r="B219" s="59" t="str">
        <x:v>Granice metody oceny dostępności</x:v>
      </x:c>
      <x:c r="C219" s="59" t="str">
        <x:v>W badaniu nie ustalono parametrów pozwalających wyznaczyć wiarygodny przedział wolnej mocy dla dowolnego GPZ. Nie utworzono sztucznych zakresów MW ani współczynników zastępczych. Dowody: raport, rozdziały 3–4 i 8–9 (01_data_research.md).</x:v>
      </x:c>
    </x:row>
    <x:row r="220" ht="30" customHeight="1">
      <x:c r="A220" s="59" t="str">
        <x:v>docs/06_scoring_methodology.md</x:v>
      </x:c>
      <x:c r="B220" s="59" t="str">
        <x:v>Status Grid Connection Score</x:v>
      </x:c>
      <x:c r="C220" s="59" t="str">
        <x:v>10.09.2026 — metoda nie jest jeszcze zdefiniowana ani wdrożona.</x:v>
      </x:c>
    </x:row>
    <x:row r="221" ht="52" customHeight="1">
      <x:c r="A221" s="59" t="str">
        <x:v>docs/06_scoring_methodology.md</x:v>
      </x:c>
      <x:c r="B221" s="59" t="str">
        <x:v>Status Grid Connection Score</x:v>
      </x:c>
      <x:c r="C22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2" ht="30" customHeight="1">
      <x:c r="A222" s="59" t="str">
        <x:v>docs/06_scoring_methodology.md</x:v>
      </x:c>
      <x:c r="B222" s="59" t="str">
        <x:v>Status Grid Connection Score</x:v>
      </x:c>
      <x:c r="C222" s="59" t="str">
        <x:v>Potencjalna zmienna / Stan dowodów</x:v>
      </x:c>
    </x:row>
    <x:row r="223" ht="30" customHeight="1">
      <x:c r="A223" s="59" t="str">
        <x:v>docs/06_scoring_methodology.md</x:v>
      </x:c>
      <x:c r="B223" s="59" t="str">
        <x:v>Status Grid Connection Score</x:v>
      </x:c>
      <x:c r="C223" s="59" t="str">
        <x:v>Raportowana dostępność kierunkowa / Dostępna dla określonych jednostek i założeń operatorów</x:v>
      </x:c>
    </x:row>
    <x:row r="224" ht="30" customHeight="1">
      <x:c r="A224" s="59" t="str">
        <x:v>docs/06_scoring_methodology.md</x:v>
      </x:c>
      <x:c r="B224" s="59" t="str">
        <x:v>Status Grid Connection Score</x:v>
      </x:c>
      <x:c r="C224" s="59" t="str">
        <x:v>Znany pipeline i etap / Częściowo dostępny; wymaga deduplikacji i relacji infrastrukturalnych</x:v>
      </x:c>
    </x:row>
    <x:row r="225" ht="30" customHeight="1">
      <x:c r="A225" s="59" t="str">
        <x:v>docs/06_scoring_methodology.md</x:v>
      </x:c>
      <x:c r="B225" s="59" t="str">
        <x:v>Status Grid Connection Score</x:v>
      </x:c>
      <x:c r="C225" s="59" t="str">
        <x:v>Planowane wzmocnienia / Dostępne dokumentacyjnie; terminy i realizacja nie są pewne</x:v>
      </x:c>
    </x:row>
    <x:row r="226" ht="30" customHeight="1">
      <x:c r="A226" s="59" t="str">
        <x:v>docs/06_scoring_methodology.md</x:v>
      </x:c>
      <x:c r="B226" s="59" t="str">
        <x:v>Status Grid Connection Score</x:v>
      </x:c>
      <x:c r="C226" s="59" t="str">
        <x:v>Napięcie i odległość / Dostępne/obliczalne przy znanym obiekcie i geometrii; sama odległość nie rozstrzyga</x:v>
      </x:c>
    </x:row>
    <x:row r="227" ht="30" customHeight="1">
      <x:c r="A227" s="59" t="str">
        <x:v>docs/06_scoring_methodology.md</x:v>
      </x:c>
      <x:c r="B227" s="59" t="str">
        <x:v>Status Grid Connection Score</x:v>
      </x:c>
      <x:c r="C227" s="59" t="str">
        <x:v>Obciążenia i topologia ruchowa / Brak pełnego publicznego pokrycia</x:v>
      </x:c>
    </x:row>
    <x:row r="228" ht="30" customHeight="1">
      <x:c r="A228" s="59" t="str">
        <x:v>docs/06_scoring_methodology.md</x:v>
      </x:c>
      <x:c r="B228" s="59" t="str">
        <x:v>Status Grid Connection Score</x:v>
      </x:c>
      <x:c r="C228" s="59" t="str">
        <x:v>Elastyczność BESS / Parametry kierunkowe częściowo dostępne; strategia pracy i akceptacja warunków często nieznane</x:v>
      </x:c>
    </x:row>
    <x:row r="229" ht="38" customHeight="1">
      <x:c r="A229" s="59" t="str">
        <x:v>docs/06_scoring_methodology.md</x:v>
      </x:c>
      <x:c r="B229" s="59" t="str">
        <x:v>Status Grid Connection Score</x:v>
      </x:c>
      <x:c r="C229" s="59" t="str">
        <x:v>Odmowy, curtailment i redysponowanie / Konieczny właściwy zakres przestrzenny i przyczyna; brak podstaw do automatycznej lokalnej kary</x:v>
      </x:c>
    </x:row>
    <x:row r="230" ht="52" customHeight="1">
      <x:c r="A230" s="59" t="str">
        <x:v>docs/06_scoring_methodology.md</x:v>
      </x:c>
      <x:c r="B230" s="59" t="str">
        <x:v>Status Grid Connection Score</x:v>
      </x:c>
      <x:c r="C23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1" ht="52" customHeight="1">
      <x:c r="A231" s="59" t="str">
        <x:v>docs/06_scoring_methodology.md</x:v>
      </x:c>
      <x:c r="B231" s="59" t="str">
        <x:v>Status Grid Connection Score</x:v>
      </x:c>
      <x:c r="C23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2" ht="38" customHeight="1">
      <x:c r="A232" s="59" t="str">
        <x:v>docs/07_data_quality.md</x:v>
      </x:c>
      <x:c r="B232" s="59" t="str">
        <x:v>Jakość danych — ustalenia i kontrola etapu 1</x:v>
      </x:c>
      <x:c r="C232" s="59" t="str">
        <x:v>10.09.2026. Autorytet źródła A–H według AGENTS.md jest oddzielony od kompletności, świeżości, pewności relacji i praw do wykorzystania. Katalog nie zawiera arbitralnych liczbowych ocen jakości.</x:v>
      </x:c>
    </x:row>
    <x:row r="233" ht="30" customHeight="1">
      <x:c r="A233" s="59" t="str">
        <x:v>docs/07_data_quality.md</x:v>
      </x:c>
      <x:c r="B233" s="59" t="str">
        <x:v>Znalezione przypadki wymagające ostrożności</x:v>
      </x:c>
      <x:c r="C233" s="59" t="str">
        <x:v>Przypadek / Dowód / Obsługa</x:v>
      </x:c>
    </x:row>
    <x:row r="234" ht="30" customHeight="1">
      <x:c r="A234" s="59" t="str">
        <x:v>docs/07_data_quality.md</x:v>
      </x:c>
      <x:c r="B234" s="59" t="str">
        <x:v>Znalezione przypadki wymagające ostrożności</x:v>
      </x:c>
      <x:c r="C234" s="59" t="str">
        <x:v>HTTP 200 bez danych / PGE: zachowany HTML odrzucenia, 346 bajtów / BLOCKED; nie sukces parsera</x:v>
      </x:c>
    </x:row>
    <x:row r="235" ht="30" customHeight="1">
      <x:c r="A235" s="59" t="str">
        <x:v>docs/07_data_quality.md</x:v>
      </x:c>
      <x:c r="B235" s="59" t="str">
        <x:v>Znalezione przypadki wymagające ostrożności</x:v>
      </x:c>
      <x:c r="C235" s="59" t="str">
        <x:v>Sprzeczne daty / Energa pipeline: nazwa 31.08, nagłówek i metadane 30.06 / Zachować konflikt, source_date nierozstrzygnięta</x:v>
      </x:c>
    </x:row>
    <x:row r="236" ht="30" customHeight="1">
      <x:c r="A236" s="59" t="str">
        <x:v>docs/07_data_quality.md</x:v>
      </x:c>
      <x:c r="B236" s="59" t="str">
        <x:v>Znalezione przypadki wymagające ostrożności</x:v>
      </x:c>
      <x:c r="C236" s="59" t="str">
        <x:v>Inna data strony i arkusza / PSE: aktualizacja strony 01.09, XLSX stan 31.07 / Dwa odrębne pola, bez „odmładzania” danych</x:v>
      </x:c>
    </x:row>
    <x:row r="237" ht="30" customHeight="1">
      <x:c r="A237" s="59" t="str">
        <x:v>docs/07_data_quality.md</x:v>
      </x:c>
      <x:c r="B237" s="59" t="str">
        <x:v>Znalezione przypadki wymagające ostrożności</x:v>
      </x:c>
      <x:c r="C237" s="59" t="str">
        <x:v>Przyszłe zamiast obecnych mocy / PSE: tabela importowa nowych planowanych stacji / FUTURE_GRID; nie bieżąca rezerwa</x:v>
      </x:c>
    </x:row>
    <x:row r="238" ht="38" customHeight="1">
      <x:c r="A238" s="59" t="str">
        <x:v>docs/07_data_quality.md</x:v>
      </x:c>
      <x:c r="B238" s="59" t="str">
        <x:v>Znalezione przypadki wymagające ostrożności</x:v>
      </x:c>
      <x:c r="C238" s="59" t="str">
        <x:v>Starsze wejścia w nowej publikacji / Stoen: część informacji o małych źródłach z IV kw.2025 / Wiek wejść odrębny od daty wydania</x:v>
      </x:c>
    </x:row>
    <x:row r="239" ht="30" customHeight="1">
      <x:c r="A239" s="59" t="str">
        <x:v>docs/07_data_quality.md</x:v>
      </x:c>
      <x:c r="B239" s="59" t="str">
        <x:v>Znalezione przypadki wymagające ostrożności</x:v>
      </x:c>
      <x:c r="C239" s="59" t="str">
        <x:v>Null w API / PSE poze-redoze: brak wartości w próbce / UNKNOWN, bez zamiany na 0</x:v>
      </x:c>
    </x:row>
    <x:row r="240" ht="30" customHeight="1">
      <x:c r="A240" s="59" t="str">
        <x:v>docs/07_data_quality.md</x:v>
      </x:c>
      <x:c r="B240" s="59" t="str">
        <x:v>Znalezione przypadki wymagające ostrożności</x:v>
      </x:c>
      <x:c r="C240" s="59" t="str">
        <x:v>Najstarsze wyniki bez filtra / PSE $first=2: obserwacje z 2024 / Próba interfejsu, nie snapshot bieżącego KSE</x:v>
      </x:c>
    </x:row>
    <x:row r="241" ht="30" customHeight="1">
      <x:c r="A241" s="59" t="str">
        <x:v>docs/07_data_quality.md</x:v>
      </x:c>
      <x:c r="B241" s="59" t="str">
        <x:v>Znalezione przypadki wymagające ostrożności</x:v>
      </x:c>
      <x:c r="C241" s="59" t="str">
        <x:v>Anonimizacja i nieustalone punkty / TAURON: wybrane wiersze próbki / Brak scalenia „Osoba prawna” do jednego inwestora</x:v>
      </x:c>
    </x:row>
    <x:row r="242" ht="30" customHeight="1">
      <x:c r="A242" s="59" t="str">
        <x:v>docs/07_data_quality.md</x:v>
      </x:c>
      <x:c r="B242" s="59" t="str">
        <x:v>Znalezione przypadki wymagające ostrożności</x:v>
      </x:c>
      <x:c r="C242" s="59" t="str">
        <x:v>Mapowy podgląd bez eksportu / ENEA Power BI / Nie deklarować działającego API danych</x:v>
      </x:c>
    </x:row>
    <x:row r="243" ht="66" customHeight="1">
      <x:c r="A243" s="59" t="str">
        <x:v>docs/07_data_quality.md</x:v>
      </x:c>
      <x:c r="B243" s="59" t="str">
        <x:v>Wykonana kontrola</x:v>
      </x:c>
      <x:c r="C24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4" ht="52" customHeight="1">
      <x:c r="A244" s="59" t="str">
        <x:v>docs/07_data_quality.md</x:v>
      </x:c>
      <x:c r="B244" s="59" t="str">
        <x:v>Wykonana kontrola</x:v>
      </x:c>
      <x:c r="C24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5" ht="66" customHeight="1">
      <x:c r="A245" s="59" t="str">
        <x:v>docs/07_data_quality.md</x:v>
      </x:c>
      <x:c r="B245" s="59" t="str">
        <x:v>Wykonana kontrola</x:v>
      </x:c>
      <x:c r="C24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6" ht="66" customHeight="1">
      <x:c r="A246" s="59" t="str">
        <x:v>docs/07_data_quality.md</x:v>
      </x:c>
      <x:c r="B246" s="59" t="str">
        <x:v>Kontrola dat Energi — 11.09.2026</x:v>
      </x:c>
      <x:c r="C24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7" ht="52" customHeight="1">
      <x:c r="A247" s="59" t="str">
        <x:v>docs/07_data_quality.md</x:v>
      </x:c>
      <x:c r="B247" s="59" t="str">
        <x:v>Kontrola dat Energi — 11.09.2026</x:v>
      </x:c>
      <x:c r="C24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8" ht="52" customHeight="1">
      <x:c r="A248" s="59" t="str">
        <x:v>docs/07_data_quality.md</x:v>
      </x:c>
      <x:c r="B248" s="59" t="str">
        <x:v>Kontrola dat Energi — 11.09.2026</x:v>
      </x:c>
      <x:c r="C24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9" ht="30" customHeight="1">
      <x:c r="A249" s="59" t="str">
        <x:v>docs/07_data_quality.md</x:v>
      </x:c>
      <x:c r="B249" s="59" t="str">
        <x:v>Kontrola dat Energi — 11.09.2026</x:v>
      </x:c>
      <x:c r="C249" s="59" t="str">
        <x:v>Odtworzenie po przywróceniu archiwum (Python z requirements-research.txt; nowa nazwa wyjścia chroni historię):</x:v>
      </x:c>
    </x:row>
    <x:row r="250" ht="52" customHeight="1">
      <x:c r="A250" s="59" t="str">
        <x:v>docs/07_data_quality.md</x:v>
      </x:c>
      <x:c r="B250" s="59" t="str">
        <x:v>Kontrola dat Energi — 11.09.2026</x:v>
      </x:c>
      <x:c r="C25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1" ht="38" customHeight="1">
      <x:c r="A251" s="59" t="str">
        <x:v>docs/07_data_quality.md</x:v>
      </x:c>
      <x:c r="B251" s="59" t="str">
        <x:v>Kontrola dat Energi — 11.09.2026</x:v>
      </x:c>
      <x:c r="C251" s="59" t="str">
        <x:v>Wykonano 7 testów, w tym rzeczywistego PDF; wszystkie przeszły. Metoda rozpoznaje wyłącznie wskazany wzorzec dat, więc zmieniony nagłówek powoduje zatrzymanie, a nie zgadywanie daty z wierszy projektów.</x:v>
      </x:c>
    </x:row>
    <x:row r="252" ht="66" customHeight="1">
      <x:c r="A252" s="59" t="str">
        <x:v>docs/07_data_quality.md</x:v>
      </x:c>
      <x:c r="B252" s="59" t="str">
        <x:v>Kontrola dat Energi — 11.09.2026</x:v>
      </x:c>
      <x:c r="C25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3" ht="52" customHeight="1">
      <x:c r="A253" s="59" t="str">
        <x:v>docs/07_data_quality.md</x:v>
      </x:c>
      <x:c r="B253" s="59" t="str">
        <x:v>Kontrola dat Energi — 11.09.2026</x:v>
      </x:c>
      <x:c r="C25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4" ht="30" customHeight="1">
      <x:c r="A254" s="59" t="str">
        <x:v>docs/08_roadmap.md</x:v>
      </x:c>
      <x:c r="B254" s="59" t="str">
        <x:v>Proponowane etapy po badaniu źródeł</x:v>
      </x:c>
      <x:c r="C254" s="59" t="str">
        <x:v>10.09.2026 — rekomendacja, nie rozpoczęta implementacja.</x:v>
      </x:c>
    </x:row>
    <x:row r="255" ht="30" customHeight="1">
      <x:c r="A255" s="59" t="str">
        <x:v>docs/08_roadmap.md</x:v>
      </x:c>
      <x:c r="B255" s="59" t="str">
        <x:v>Proponowane etapy po badaniu źródeł</x:v>
      </x:c>
      <x:c r="C255" s="59" t="str">
        <x:v>Etap / Wartość dla użytkownika / Warunki wejścia / zakończenia</x:v>
      </x:c>
    </x:row>
    <x:row r="256" ht="52" customHeight="1">
      <x:c r="A256" s="59" t="str">
        <x:v>docs/08_roadmap.md</x:v>
      </x:c>
      <x:c r="B256" s="59" t="str">
        <x:v>Proponowane etapy po badaniu źródeł</x:v>
      </x:c>
      <x:c r="C25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7" ht="38" customHeight="1">
      <x:c r="A257" s="59" t="str">
        <x:v>docs/08_roadmap.md</x:v>
      </x:c>
      <x:c r="B257" s="59" t="str">
        <x:v>Proponowane etapy po badaniu źródeł</x:v>
      </x:c>
      <x:c r="C257" s="59" t="str">
        <x:v>V1 — rozszerzenie pokrycia / Kilku operatorów/obszarów, historia zmian, deduplikacja, konflikty, kontrola źródeł, podstawowa mapa dowodów / Mierzalna kompletność i poprawność na próbie referencyjnej; stabilna automatyzacja zgodna z warunkami</x:v>
      </x:c>
    </x:row>
    <x:row r="258" ht="38" customHeight="1">
      <x:c r="A258" s="59" t="str">
        <x:v>docs/08_roadmap.md</x:v>
      </x:c>
      <x:c r="B258" s="59" t="str">
        <x:v>Proponowane etapy po badaniu źródeł</x:v>
      </x:c>
      <x:c r="C258" s="59" t="str">
        <x:v>V2 — scenariusze i warunkowa analityka / Kandydaci przyłączenia, import/eksport BESS, ograniczenia PCC, warianty przyszłej sieci i trasy GIS / Zweryfikowane wejścia i zakres stosowalności; scoring tylko po osobnym opracowaniu i walidacji</x:v>
      </x:c>
    </x:row>
    <x:row r="259" ht="38" customHeight="1">
      <x:c r="A259" s="59" t="str">
        <x:v>docs/08_roadmap.md</x:v>
      </x:c>
      <x:c r="B259" s="59" t="str">
        <x:v>Proponowane etapy po badaniu źródeł</x:v>
      </x:c>
      <x:c r="C259" s="59" t="str">
        <x:v>LONG-TERM — model techniczny / Analizy elektryczne i lepsza kalibracja wyników dla uprawnionych obszarów / Dane operatora/inwestora: topologia, parametry, profile, zdarzenia N-1; referencyjne wyniki studiów</x:v>
      </x:c>
    </x:row>
    <x:row r="260" ht="52" customHeight="1">
      <x:c r="A260" s="59" t="str">
        <x:v>docs/08_roadmap.md</x:v>
      </x:c>
      <x:c r="B260" s="59" t="str">
        <x:v>Proponowane etapy po badaniu źródeł</x:v>
      </x:c>
      <x:c r="C26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1" ht="38" customHeight="1">
      <x:c r="A261" s="59" t="str">
        <x:v>docs/08_roadmap.md</x:v>
      </x:c>
      <x:c r="B261" s="59" t="str">
        <x:v>Proponowane etapy po badaniu źródeł</x:v>
      </x:c>
      <x:c r="C261" s="59" t="str">
        <x:v>Rozbudowa UI następuje po wiarygodnym raporcie danych. Ogólnopolskie pokrycie nie jest warunkiem sukcesu pilota. Brak lokalnych danych elektrycznych może pozostać trwałą granicą produktu opartego wyłącznie na danych publicznych.</x:v>
      </x:c>
    </x:row>
    <x:row r="262" ht="66" customHeight="1">
      <x:c r="A262" s="59" t="str">
        <x:v>docs/08_roadmap.md</x:v>
      </x:c>
      <x:c r="B262" s="59" t="str">
        <x:v>Proponowane etapy po badaniu źródeł</x:v>
      </x:c>
      <x:c r="C26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3" ht="38" customHeight="1">
      <x:c r="A263" s="59" t="str">
        <x:v>docs/gpz_pipeline.md</x:v>
      </x:c>
      <x:c r="B263" s="59" t="str">
        <x:v>Widok GPZ — projekty istniejące i pipeline</x:v>
      </x:c>
      <x:c r="C263" s="59" t="str">
        <x:v>Wymaganie użytkownika z 10.09.2026. Status: specyfikacja do pilota, bez wdrożonego interfejsu i bez wprowadzania danych projektowych.</x:v>
      </x:c>
    </x:row>
    <x:row r="264" ht="30" customHeight="1">
      <x:c r="A264" s="59" t="str">
        <x:v>docs/gpz_pipeline.md</x:v>
      </x:c>
      <x:c r="B264" s="59" t="str">
        <x:v>Widok GPZ — projekty istniejące i pipeline</x:v>
      </x:c>
      <x:c r="C264" s="59" t="str">
        <x:v>Po wybraniu GPZ użytkownik powinien zobaczyć projekty w trzech grupach, z datą stanu źródeł i możliwością obejrzenia dowodów:</x:v>
      </x:c>
    </x:row>
    <x:row r="265" ht="30" customHeight="1">
      <x:c r="A265" s="59" t="str">
        <x:v>docs/gpz_pipeline.md</x:v>
      </x:c>
      <x:c r="B265" s="59" t="str">
        <x:v>Widok GPZ — projekty istniejące i pipeline</x:v>
      </x:c>
      <x:c r="C265" s="59" t="str">
        <x:v>Grupa / Warunek zakwalifikowania / Szczegóły widoczne dla użytkownika</x:v>
      </x:c>
    </x:row>
    <x:row r="266" ht="38" customHeight="1">
      <x:c r="A266" s="59" t="str">
        <x:v>docs/gpz_pipeline.md</x:v>
      </x:c>
      <x:c r="B266" s="59" t="str">
        <x:v>Widok GPZ — projekty istniejące i pipeline</x:v>
      </x:c>
      <x:c r="C266" s="59" t="str">
        <x:v>A. Przyłączone / Źródło potwierdza wykonane przyłączenie do tej stacji / Data przyłączenia, status eksploatacji, jeśli osobno znany; sama umowa lub WP nie wystarcza</x:v>
      </x:c>
    </x:row>
    <x:row r="267" ht="38" customHeight="1">
      <x:c r="A267" s="59" t="str">
        <x:v>docs/gpz_pipeline.md</x:v>
      </x:c>
      <x:c r="B267" s="59" t="str">
        <x:v>Widok GPZ — projekty istniejące i pipeline</x:v>
      </x:c>
      <x:c r="C267" s="59" t="str">
        <x:v>B. Planowane do przyłączenia / Udokumentowane planowane przyłączenie, bez potwierdzenia wykonania / Osobno: plan wstępny, wydane WP, umowa, budowa; plan bez wniosku nie jest rezerwacją mocy</x:v>
      </x:c>
    </x:row>
    <x:row r="268" ht="38" customHeight="1">
      <x:c r="A268" s="59" t="str">
        <x:v>docs/gpz_pipeline.md</x:v>
      </x:c>
      <x:c r="B268" s="59" t="str">
        <x:v>Widok GPZ — projekty istniejące i pipeline</x:v>
      </x:c>
      <x:c r="C26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9" ht="52" customHeight="1">
      <x:c r="A269" s="59" t="str">
        <x:v>docs/gpz_pipeline.md</x:v>
      </x:c>
      <x:c r="B269" s="59" t="str">
        <x:v>Widok GPZ — projekty istniejące i pipeline</x:v>
      </x:c>
      <x:c r="C26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0" ht="52" customHeight="1">
      <x:c r="A270" s="59" t="str">
        <x:v>docs/gpz_pipeline.md</x:v>
      </x:c>
      <x:c r="B270" s="59" t="str">
        <x:v>Widok GPZ — projekty istniejące i pipeline</x:v>
      </x:c>
      <x:c r="C27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1" ht="52" customHeight="1">
      <x:c r="A271" s="59" t="str">
        <x:v>docs/gpz_pipeline.md</x:v>
      </x:c>
      <x:c r="B271" s="59" t="str">
        <x:v>Powiązanie projektu ze stacją</x:v>
      </x:c>
      <x:c r="C27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2" ht="52" customHeight="1">
      <x:c r="A272" s="59" t="str">
        <x:v>docs/gpz_pipeline.md</x:v>
      </x:c>
      <x:c r="B272" s="59" t="str">
        <x:v>Powiązanie projektu ze stacją</x:v>
      </x:c>
      <x:c r="C27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3" ht="52" customHeight="1">
      <x:c r="A273" s="59" t="str">
        <x:v>docs/gpz_pipeline.md</x:v>
      </x:c>
      <x:c r="B273" s="59" t="str">
        <x:v>Informacje i podsumowania</x:v>
      </x:c>
      <x:c r="C27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4" ht="52" customHeight="1">
      <x:c r="A274" s="59" t="str">
        <x:v>docs/gpz_pipeline.md</x:v>
      </x:c>
      <x:c r="B274" s="59" t="str">
        <x:v>Informacje i podsumowania</x:v>
      </x:c>
      <x:c r="C27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5" ht="52" customHeight="1">
      <x:c r="A275" s="59" t="str">
        <x:v>docs/gpz_pipeline.md</x:v>
      </x:c>
      <x:c r="B275" s="59" t="str">
        <x:v>Informacje i podsumowania</x:v>
      </x:c>
      <x:c r="C27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6" ht="52" customHeight="1">
      <x:c r="A276" s="59" t="str">
        <x:v>docs/gpz_pipeline.md</x:v>
      </x:c>
      <x:c r="B276" s="59" t="str">
        <x:v>Informacje i podsumowania</x:v>
      </x:c>
      <x:c r="C27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7" ht="80" customHeight="1">
      <x:c r="A277" s="59" t="str">
        <x:v>docs/gpz_pipeline.md</x:v>
      </x:c>
      <x:c r="B277" s="59" t="str">
        <x:v>Warunki gotowości pilota</x:v>
      </x:c>
      <x:c r="C27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8" ht="38" customHeight="1">
      <x:c r="A278" s="59" t="str">
        <x:v>docs/gpz_pipeline.md</x:v>
      </x:c>
      <x:c r="B278" s="59" t="str">
        <x:v>Warunki gotowości pilota</x:v>
      </x:c>
      <x:c r="C278" s="59" t="str">
        <x:v>Źródła kandydackie i ich ograniczenia są już opisane w katalogu (data_sources.md) oraz macierzy wykonalności (02_feasibility_matrix.md). Specyfikacja nie potwierdza kompletności takich list dla wszystkich GPZ w Polsce.</x:v>
      </x:c>
    </x:row>
    <x:row r="279" ht="52" customHeight="1">
      <x:c r="A279" s="59" t="str">
        <x:v>docs/gpz_pipeline.md</x:v>
      </x:c>
      <x:c r="B279" s="59" t="str">
        <x:v>Działający widok badawczy Radkowic — 16.09.2026</x:v>
      </x:c>
      <x:c r="C279"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0" ht="30" customHeight="1">
      <x:c r="A280" s="59" t="str">
        <x:v>docs/gpz_pipeline.md</x:v>
      </x:c>
      <x:c r="B280" s="59" t="str">
        <x:v>Działający widok badawczy Radkowic — 16.09.2026</x:v>
      </x:c>
      <x:c r="C280" s="59" t="str">
        <x:v>Wpis PSE / Eksport przyłączeniowy MW / Import przyłączeniowy MW / Wiersz</x:v>
      </x:c>
    </x:row>
    <x:row r="281" ht="30" customHeight="1">
      <x:c r="A281" s="59" t="str">
        <x:v>docs/gpz_pipeline.md</x:v>
      </x:c>
      <x:c r="B281" s="59" t="str">
        <x:v>Działający widok badawczy Radkowic — 16.09.2026</x:v>
      </x:c>
      <x:c r="C281" s="59" t="str">
        <x:v>MEE Chałupki / 96,96 / 98,8992 / 787</x:v>
      </x:c>
    </x:row>
    <x:row r="282" ht="30" customHeight="1">
      <x:c r="A282" s="59" t="str">
        <x:v>docs/gpz_pipeline.md</x:v>
      </x:c>
      <x:c r="B282" s="59" t="str">
        <x:v>Działający widok badawczy Radkowic — 16.09.2026</x:v>
      </x:c>
      <x:c r="C282" s="59" t="str">
        <x:v>MEE Radkowice / 50 / 50 / 843</x:v>
      </x:c>
    </x:row>
    <x:row r="283" ht="30" customHeight="1">
      <x:c r="A283" s="59" t="str">
        <x:v>docs/gpz_pipeline.md</x:v>
      </x:c>
      <x:c r="B283" s="59" t="str">
        <x:v>Działający widok badawczy Radkowic — 16.09.2026</x:v>
      </x:c>
      <x:c r="C283" s="59" t="str">
        <x:v>MEE Chęciny / 100 / 102 / 847</x:v>
      </x:c>
    </x:row>
    <x:row r="284" ht="80" customHeight="1">
      <x:c r="A284" s="59" t="str">
        <x:v>docs/gpz_pipeline.md</x:v>
      </x:c>
      <x:c r="B284" s="59" t="str">
        <x:v>Działający widok badawczy Radkowic — 16.09.2026</x:v>
      </x:c>
      <x:c r="C284"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5" ht="66" customHeight="1">
      <x:c r="A285" s="59" t="str">
        <x:v>docs/gpz_pipeline.md</x:v>
      </x:c>
      <x:c r="B285" s="59" t="str">
        <x:v>Działający widok badawczy Radkowic — 16.09.2026</x:v>
      </x:c>
      <x:c r="C285"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6" ht="52" customHeight="1">
      <x:c r="A286" s="59" t="str">
        <x:v>docs/gpz_pipeline.md</x:v>
      </x:c>
      <x:c r="B286" s="59" t="str">
        <x:v>Działający widok badawczy Radkowic — 16.09.2026</x:v>
      </x:c>
      <x:c r="C286"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7" ht="66" customHeight="1">
      <x:c r="A287" s="59" t="str">
        <x:v>docs/gpz_pipeline.md</x:v>
      </x:c>
      <x:c r="B287" s="59" t="str">
        <x:v>Działający widok badawczy Radkowic — 16.09.2026</x:v>
      </x:c>
      <x:c r="C287"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8" ht="66" customHeight="1">
      <x:c r="A288" s="59" t="str">
        <x:v>docs/gpz_pipeline.md</x:v>
      </x:c>
      <x:c r="B288" s="59" t="str">
        <x:v>Kontrola ponownego uruchomienia — 16.09.2026</x:v>
      </x:c>
      <x:c r="C288"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9" ht="80" customHeight="1">
      <x:c r="A289" s="59" t="str">
        <x:v>docs/decision_log.md</x:v>
      </x:c>
      <x:c r="B289" s="59" t="str">
        <x:v>2026-09-10 — Zakres etapu 1</x:v>
      </x:c>
      <x:c r="C28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0" ht="80" customHeight="1">
      <x:c r="A290" s="59" t="str">
        <x:v>docs/decision_log.md</x:v>
      </x:c>
      <x:c r="B290" s="59" t="str">
        <x:v>2026-09-10 — Proweniencja i status weryfikacji</x:v>
      </x:c>
      <x:c r="C29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1" ht="80" customHeight="1">
      <x:c r="A291" s="59" t="str">
        <x:v>docs/decision_log.md</x:v>
      </x:c>
      <x:c r="B291" s="59" t="str">
        <x:v>2026-09-10 — Brak sztucznej dokładności i scoringu</x:v>
      </x:c>
      <x:c r="C29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2" ht="94" customHeight="1">
      <x:c r="A292" s="59" t="str">
        <x:v>docs/decision_log.md</x:v>
      </x:c>
      <x:c r="B292" s="59" t="str">
        <x:v>2026-09-10 — Daty i grupy raportowania są częścią danych</x:v>
      </x:c>
      <x:c r="C29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3" ht="38" customHeight="1">
      <x:c r="A293" s="59" t="str">
        <x:v>docs/decision_log.md</x:v>
      </x:c>
      <x:c r="B293" s="59" t="str">
        <x:v>2026-09-10 — Daty i grupy raportowania są częścią danych</x:v>
      </x:c>
      <x:c r="C293" s="59" t="str">
        <x:v>Consequences: Rozstrzygnięcie konfliktu i interpretacja tabel są warunkami normalizacji.</x:v>
      </x:c>
    </x:row>
    <x:row r="294" ht="80" customHeight="1">
      <x:c r="A294" s="59" t="str">
        <x:v>docs/decision_log.md</x:v>
      </x:c>
      <x:c r="B294" s="59" t="str">
        <x:v>2026-09-10 — Architektura pozostaje propozycją</x:v>
      </x:c>
      <x:c r="C29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5" ht="94" customHeight="1">
      <x:c r="A295" s="59" t="str">
        <x:v>docs/decision_log.md</x:v>
      </x:c>
      <x:c r="B295" s="59" t="str">
        <x:v>2026-09-10 — Git i odtwarzalne snapshoty</x:v>
      </x:c>
      <x:c r="C29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6" ht="38" customHeight="1">
      <x:c r="A296" s="59" t="str">
        <x:v>docs/decision_log.md</x:v>
      </x:c>
      <x:c r="B296" s="59" t="str">
        <x:v>2026-09-10 — Git i odtwarzalne snapshoty</x:v>
      </x:c>
      <x:c r="C296" s="59" t="str">
        <x:v>ZIP; nie skonfigurowano zewnętrznego magazynu danych. Consequences: Autor z adresem GitHub noreply, lokalne commity po sprawdzeniu, push odrębny od zapisu lokalnego; zależności badawcze przypięte do wersji.</x:v>
      </x:c>
    </x:row>
    <x:row r="297" ht="30" customHeight="1">
      <x:c r="A297" s="59" t="str">
        <x:v>docs/decision_log.md</x:v>
      </x:c>
      <x:c r="B297" s="59" t="str">
        <x:v>2026-09-10 — Lokalne sekrety i widok pipeline GPZ</x:v>
      </x:c>
      <x:c r="C297" s="59" t="str">
        <x:v>Date: 2026-09-10</x:v>
      </x:c>
    </x:row>
    <x:row r="298" ht="30" customHeight="1">
      <x:c r="A298" s="59" t="str">
        <x:v>docs/decision_log.md</x:v>
      </x:c>
      <x:c r="B298" s="59" t="str">
        <x:v>2026-09-10 — Lokalne sekrety i widok pipeline GPZ</x:v>
      </x:c>
      <x:c r="C298" s="59" t="str">
        <x:v>Decision: Wykluczyć _secrets/ z Git i opisać trzy grupy projektów wybranego GPZ.</x:v>
      </x:c>
    </x:row>
    <x:row r="299" ht="38" customHeight="1">
      <x:c r="A299" s="59" t="str">
        <x:v>docs/decision_log.md</x:v>
      </x:c>
      <x:c r="B299" s="59" t="str">
        <x:v>2026-09-10 — Lokalne sekrety i widok pipeline GPZ</x:v>
      </x:c>
      <x:c r="C299" s="59" t="str">
        <x:v>Context: Użytkownik dodał lokalne poświadczenie ENTSO-E oraz wskazał potrzebę rozróżnienia projektów przyłączonych, planowanych i wniosków bez odpowiedzi.</x:v>
      </x:c>
    </x:row>
    <x:row r="300" ht="38" customHeight="1">
      <x:c r="A300" s="59" t="str">
        <x:v>docs/decision_log.md</x:v>
      </x:c>
      <x:c r="B300" s="59" t="str">
        <x:v>2026-09-10 — Lokalne sekrety i widok pipeline GPZ</x:v>
      </x:c>
      <x:c r="C300" s="59" t="str">
        <x:v>Options considered: Sam status projektu; odrębne wykonanie przyłączenia, eksploatacja i procedury wniosków. Interpretowanie pustej daty odpowiedzi jako oczekiwania albo jawne UNKNOWN.</x:v>
      </x:c>
    </x:row>
    <x:row r="301" ht="38" customHeight="1">
      <x:c r="A301" s="59" t="str">
        <x:v>docs/decision_log.md</x:v>
      </x:c>
      <x:c r="B301" s="59" t="str">
        <x:v>2026-09-10 — Lokalne sekrety i widok pipeline GPZ</x:v>
      </x:c>
      <x:c r="C301" s="59" t="str">
        <x:v>Selected option: Specyfikacja gpz_pipeline.md, odrębne wnioski i dowody statusu; brak potwierdzenia odpowiedzi nie jest potwierdzonym oczekiwaniem. Folder sekretów ignorowany rekurencyjnie, bez odczytu zawartości.</x:v>
      </x:c>
    </x:row>
    <x:row r="302" ht="30" customHeight="1">
      <x:c r="A302" s="59" t="str">
        <x:v>docs/decision_log.md</x:v>
      </x:c>
      <x:c r="B302" s="59" t="str">
        <x:v>2026-09-10 — Lokalne sekrety i widok pipeline GPZ</x:v>
      </x:c>
      <x:c r="C302" s="59" t="str">
        <x:v>Reason: Użyteczność raportu GPZ przy zachowaniu poprawnych statusów, deduplikacji i ochrony poświadczeń.</x:v>
      </x:c>
    </x:row>
    <x:row r="303" ht="30" customHeight="1">
      <x:c r="A303" s="59" t="str">
        <x:v>docs/decision_log.md</x:v>
      </x:c>
      <x:c r="B303" s="59" t="str">
        <x:v>2026-09-10 — Lokalne sekrety i widok pipeline GPZ</x:v>
      </x:c>
      <x:c r="C303" s="59" t="str">
        <x:v>Trade-offs: Nie każdy publiczny rekord pozwala wypełnić jedną z trzech grup; potrzebna kategoria nieznana/konfliktowa.</x:v>
      </x:c>
    </x:row>
    <x:row r="304" ht="30" customHeight="1">
      <x:c r="A304" s="59" t="str">
        <x:v>docs/decision_log.md</x:v>
      </x:c>
      <x:c r="B304" s="59" t="str">
        <x:v>2026-09-10 — Lokalne sekrety i widok pipeline GPZ</x:v>
      </x:c>
      <x:c r="C304" s="59" t="str">
        <x:v>Consequences: Rozszerzono wymagania pilota i modelu danych; nie wdrożono jeszcze funkcji ani nie użyto klucza API.</x:v>
      </x:c>
    </x:row>
    <x:row r="305" ht="30" customHeight="1">
      <x:c r="A305" s="59" t="str">
        <x:v>docs/decision_log.md</x:v>
      </x:c>
      <x:c r="B305" s="59" t="str">
        <x:v>2026-09-10 — Stały TODO i generowany raport Excel</x:v>
      </x:c>
      <x:c r="C305" s="59" t="str">
        <x:v>Date: 2026-09-10</x:v>
      </x:c>
    </x:row>
    <x:row r="306" ht="30" customHeight="1">
      <x:c r="A306" s="59" t="str">
        <x:v>docs/decision_log.md</x:v>
      </x:c>
      <x:c r="B306" s="59" t="str">
        <x:v>2026-09-10 — Stały TODO i generowany raport Excel</x:v>
      </x:c>
      <x:c r="C306" s="59" t="str">
        <x:v>Decision: Utrzymywać jeden strukturalny rejestr zadań i generować z plików projektu szczegółowy raport XLSX.</x:v>
      </x:c>
    </x:row>
    <x:row r="307" ht="30" customHeight="1">
      <x:c r="A307" s="59" t="str">
        <x:v>docs/decision_log.md</x:v>
      </x:c>
      <x:c r="B307" s="59" t="str">
        <x:v>2026-09-10 — Stały TODO i generowany raport Excel</x:v>
      </x:c>
      <x:c r="C307" s="59" t="str">
        <x:v>Context: Użytkownik poprosił o prowadzenie TODO oraz skrypt do pełnego raportowania projektu; wybrał szablon Project Tracker.</x:v>
      </x:c>
    </x:row>
    <x:row r="308" ht="38" customHeight="1">
      <x:c r="A308" s="59" t="str">
        <x:v>docs/decision_log.md</x:v>
      </x:c>
      <x:c r="B308" s="59" t="str">
        <x:v>2026-09-10 — Stały TODO i generowany raport Excel</x:v>
      </x:c>
      <x:c r="C308" s="59" t="str">
        <x:v>Options considered: Ręcznie aktualizowany Excel; osobne niesynchronizowane listy; JSON jako źródło i generowane widoki Markdown/Excel.</x:v>
      </x:c>
    </x:row>
    <x:row r="309" ht="38" customHeight="1">
      <x:c r="A309" s="59" t="str">
        <x:v>docs/decision_log.md</x:v>
      </x:c>
      <x:c r="B309" s="59" t="str">
        <x:v>2026-09-10 — Stały TODO i generowany raport Excel</x:v>
      </x:c>
      <x:c r="C309" s="59" t="str">
        <x:v>Selected option: data/project/todo.json, stałe ID, zależności i kryteria; generator Node.js z dołączonym artifact-tool oraz zachowanym szablonem. Pełny raport obejmuje wszystkie źródła, wykonalność, ryzyka, dokumentację i zapisane kontrole.</x:v>
      </x:c>
    </x:row>
    <x:row r="310" ht="38" customHeight="1">
      <x:c r="A310" s="59" t="str">
        <x:v>docs/decision_log.md</x:v>
      </x:c>
      <x:c r="B310" s="59" t="str">
        <x:v>2026-09-10 — Stały TODO i generowany raport Excel</x:v>
      </x:c>
      <x:c r="C310" s="59" t="str">
        <x:v>Reason: Utrzymanie historii w Git i odtwarzalnego powiązania raportu z konkretnymi wejściami. Brak podwójnej ręcznej edycji statusów.</x:v>
      </x:c>
    </x:row>
    <x:row r="311" ht="52" customHeight="1">
      <x:c r="A311" s="59" t="str">
        <x:v>docs/decision_log.md</x:v>
      </x:c>
      <x:c r="B311" s="59" t="str">
        <x:v>2026-09-10 — Stały TODO i generowany raport Excel</x:v>
      </x:c>
      <x:c r="C31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2" ht="38" customHeight="1">
      <x:c r="A312" s="59" t="str">
        <x:v>docs/decision_log.md</x:v>
      </x:c>
      <x:c r="B312" s="59" t="str">
        <x:v>2026-09-10 — Stały TODO i generowany raport Excel</x:v>
      </x:c>
      <x:c r="C312" s="59" t="str">
        <x:v>Consequences: Dodano walidację zależności, dowodów zakończenia, schematu wykonalności oraz manifest raportu z hashami wejść. Sekrety pozostają poza raportem. Nie rozpoczęto implementacji analitycznej aplikacji.</x:v>
      </x:c>
    </x:row>
    <x:row r="313" ht="38" customHeight="1">
      <x:c r="A313" s="59" t="str">
        <x:v>docs/decision_log.md</x:v>
      </x:c>
      <x:c r="B313" s="59" t="str">
        <x:v>2026-09-11 — kwarantanna sprzecznej daty pipeline</x:v>
      </x:c>
      <x:c r="C313" s="59" t="str">
        <x:v>Decision / Context: Publikacja Energi wskazuje różne daty w nazwie pliku i nagłówku. Ponowny odczyt oficjalnej strony nie dostarczył rozstrzygnięcia.</x:v>
      </x:c>
    </x:row>
    <x:row r="314" ht="30" customHeight="1">
      <x:c r="A314" s="59" t="str">
        <x:v>docs/decision_log.md</x:v>
      </x:c>
      <x:c r="B314" s="59" t="str">
        <x:v>2026-09-11 — kwarantanna sprzecznej daty pipeline</x:v>
      </x:c>
      <x:c r="C314" s="59" t="str">
        <x:v>Options considered: Data z nazwy; data z nagłówka; zachowanie wszystkich twierdzeń i kwarantanna.</x:v>
      </x:c>
    </x:row>
    <x:row r="315" ht="38" customHeight="1">
      <x:c r="A315" s="59" t="str">
        <x:v>docs/decision_log.md</x:v>
      </x:c>
      <x:c r="B315" s="59" t="str">
        <x:v>2026-09-11 — kwarantanna sprzecznej daty pipeline</x:v>
      </x:c>
      <x:c r="C315" s="59" t="str">
        <x:v>Selected option / Reason: Ostatni wariant, source_date=null, DATE_CONFLICT. Nie ma podstaw do wyboru jednej daty dla całego zbioru. KSE-008 kończy się kontrolą ryzyka, a nie usunięciem sprzeczności u operatora.</x:v>
      </x:c>
    </x:row>
    <x:row r="316" ht="52" customHeight="1">
      <x:c r="A316" s="59" t="str">
        <x:v>docs/decision_log.md</x:v>
      </x:c>
      <x:c r="B316" s="59" t="str">
        <x:v>2026-09-11 — kwarantanna sprzecznej daty pipeline</x:v>
      </x:c>
      <x:c r="C31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7" ht="38" customHeight="1">
      <x:c r="A317" s="59" t="str">
        <x:v>docs/decision_log.md</x:v>
      </x:c>
      <x:c r="B317" s="59" t="str">
        <x:v>2026-09-11 — Radkowice jako obszar pilota dokumentacyjnego</x:v>
      </x:c>
      <x:c r="C317" s="59" t="str">
        <x:v>Decision / Context: Użytkownik zaproponował Radkowice 220/110 kV i dopuścił lepiej udokumentowaną alternatywę.</x:v>
      </x:c>
    </x:row>
    <x:row r="318" ht="38" customHeight="1">
      <x:c r="A318" s="59" t="str">
        <x:v>docs/decision_log.md</x:v>
      </x:c>
      <x:c r="B318" s="59" t="str">
        <x:v>2026-09-11 — Radkowice jako obszar pilota dokumentacyjnego</x:v>
      </x:c>
      <x:c r="C318" s="59" t="str">
        <x:v>Options considered: Radkowice; Kościerzyna z publikacji Energi; dalsze poszukiwanie stacji bez wskazania użytkownika.</x:v>
      </x:c>
    </x:row>
    <x:row r="319" ht="52" customHeight="1">
      <x:c r="A319" s="59" t="str">
        <x:v>docs/decision_log.md</x:v>
      </x:c>
      <x:c r="B319" s="59" t="str">
        <x:v>2026-09-11 — Radkowice jako obszar pilota dokumentacyjnego</x:v>
      </x:c>
      <x:c r="C31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0" ht="66" customHeight="1">
      <x:c r="A320" s="59" t="str">
        <x:v>docs/decision_log.md</x:v>
      </x:c>
      <x:c r="B320" s="59" t="str">
        <x:v>2026-09-11 — Radkowice jako obszar pilota dokumentacyjnego</x:v>
      </x:c>
      <x:c r="C32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1" ht="38" customHeight="1">
      <x:c r="A321" s="59" t="str">
        <x:v>docs/decision_log.md</x:v>
      </x:c>
      <x:c r="B321" s="59" t="str">
        <x:v>2026-09-11 — eksperymentalny graf dowodów, bez bazy produkcyjnej</x:v>
      </x:c>
      <x:c r="C321" s="59" t="str">
        <x:v>Decision / Context: Dostępne źródła pozwalają przetestować część relacji przed pełnym modelem pilota; brak granic własności i parametrów elektrycznych.</x:v>
      </x:c>
    </x:row>
    <x:row r="322" ht="38" customHeight="1">
      <x:c r="A322" s="59" t="str">
        <x:v>docs/decision_log.md</x:v>
      </x:c>
      <x:c r="B322" s="59" t="str">
        <x:v>2026-09-11 — eksperymentalny graf dowodów, bez bazy produkcyjnej</x:v>
      </x:c>
      <x:c r="C322" s="59" t="str">
        <x:v>Options considered: Czekać na komplet źródeł; uruchomić pełną bazę; przetestować niewielki graf dokumentacyjny w JSON z walidacją.</x:v>
      </x:c>
    </x:row>
    <x:row r="323" ht="38" customHeight="1">
      <x:c r="A323" s="59" t="str">
        <x:v>docs/decision_log.md</x:v>
      </x:c>
      <x:c r="B323" s="59" t="str">
        <x:v>2026-09-11 — eksperymentalny graf dowodów, bez bazy produkcyjnej</x:v>
      </x:c>
      <x:c r="C323" s="59" t="str">
        <x:v>Selected option / Reason: JSON i walidator Python, bez nowych zależności. Każde twierdzenie ma dowód, daty i hash. To odtwarzalny eksperyment reprezentacji danych; nie zmienia otwartych warunków produkcyjnego wykorzystania źródeł.</x:v>
      </x:c>
    </x:row>
    <x:row r="324" ht="52" customHeight="1">
      <x:c r="A324" s="59" t="str">
        <x:v>docs/decision_log.md</x:v>
      </x:c>
      <x:c r="B324" s="59" t="str">
        <x:v>2026-09-11 — eksperymentalny graf dowodów, bez bazy produkcyjnej</x:v>
      </x:c>
      <x:c r="C32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5" ht="94" customHeight="1">
      <x:c r="A325" s="59" t="str">
        <x:v>docs/decision_log.md</x:v>
      </x:c>
      <x:c r="B325" s="59" t="str">
        <x:v>11.09.2026 — graf v2 i prywatne materiały</x:v>
      </x:c>
      <x:c r="C32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6" ht="30" customHeight="1">
      <x:c r="A326" s="59" t="str">
        <x:v>docs/decision_log.md</x:v>
      </x:c>
      <x:c r="B326" s="59" t="str">
        <x:v>11.09.2026 — graf v2 i prywatne materiały</x:v>
      </x:c>
      <x:c r="C326" s="59" t="str">
        <x:v>dostępu.</x:v>
      </x:c>
    </x:row>
    <x:row r="327" ht="94" customHeight="1">
      <x:c r="A327" s="59" t="str">
        <x:v>docs/decision_log.md</x:v>
      </x:c>
      <x:c r="B327" s="59" t="str">
        <x:v>11.09.2026 — niezależna ewidencja wspólnego przyłącza</x:v>
      </x:c>
      <x:c r="C32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8" ht="38" customHeight="1">
      <x:c r="A328" s="59" t="str">
        <x:v>docs/decision_log.md</x:v>
      </x:c>
      <x:c r="B328" s="59" t="str">
        <x:v>11.09.2026 — niezależna ewidencja wspólnego przyłącza</x:v>
      </x:c>
      <x:c r="C328" s="59" t="str">
        <x:v>ponieważ nie ukończono historii i integracji aplikacyjnej.</x:v>
      </x:c>
    </x:row>
    <x:row r="329" ht="94" customHeight="1">
      <x:c r="A329" s="59" t="str">
        <x:v>docs/decision_log.md</x:v>
      </x:c>
      <x:c r="B329" s="59" t="str">
        <x:v>2026-09-15 — oddzielny czas wiedzy i ważności obserwacji</x:v>
      </x:c>
      <x:c r="C32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0" ht="38" customHeight="1">
      <x:c r="A330" s="59" t="str">
        <x:v>docs/decision_log.md</x:v>
      </x:c>
      <x:c r="B330" s="59" t="str">
        <x:v>2026-09-15 — oddzielny czas wiedzy i ważności obserwacji</x:v>
      </x:c>
      <x:c r="C330" s="59" t="str">
        <x:v>czas 15 września. Prywatność dziedziczy cały wynik widocznej historii pola. KSE-033 pozostaje w toku. Szczegóły: docs/14_observation_history.md.</x:v>
      </x:c>
    </x:row>
    <x:row r="331" ht="94" customHeight="1">
      <x:c r="A331" s="59" t="str">
        <x:v>docs/decision_log.md</x:v>
      </x:c>
      <x:c r="B331" s="59" t="str">
        <x:v>2026-09-15 — odtwarzanie przypisań z historii dowodów</x:v>
      </x:c>
      <x:c r="C33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2" ht="38" customHeight="1">
      <x:c r="A332" s="59" t="str">
        <x:v>docs/decision_log.md</x:v>
      </x:c>
      <x:c r="B332" s="59" t="str">
        <x:v>2026-09-15 — odtwarzanie przypisań z historii dowodów</x:v>
      </x:c>
      <x:c r="C332" s="59" t="str">
        <x:v>publiczne wpisy projektów przy Radkowicach nie stają się przypisaniami do mostu. Integracja jest biblioteką, bez trwałego magazynu i bez nowych faktów sieciowych. KSE-033 nadal w toku.</x:v>
      </x:c>
    </x:row>
    <x:row r="333" ht="94" customHeight="1">
      <x:c r="A333" s="59" t="str">
        <x:v>docs/decision_log.md</x:v>
      </x:c>
      <x:c r="B333" s="59" t="str">
        <x:v>2026-09-15 — plikowy replay historii z manifestem</x:v>
      </x:c>
      <x:c r="C33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4" ht="38" customHeight="1">
      <x:c r="A334" s="59" t="str">
        <x:v>docs/decision_log.md</x:v>
      </x:c>
      <x:c r="B334" s="59" t="str">
        <x:v>2026-09-15 — plikowy replay historii z manifestem</x:v>
      </x:c>
      <x:c r="C334" s="59" t="str">
        <x:v>czasem zapytania. Dekoder JSON jest wspólny dla obu runnerów, jego hash jest zachowany. KSE-033 pozostaje otwarte do dalszej integracji i historii parametrów.</x:v>
      </x:c>
    </x:row>
    <x:row r="335" ht="94" customHeight="1">
      <x:c r="A335" s="59" t="str">
        <x:v>docs/decision_log.md</x:v>
      </x:c>
      <x:c r="B335" s="59" t="str">
        <x:v>2026-09-15 — jawnie wybierana wersja parametrów historycznych v2</x:v>
      </x:c>
      <x:c r="C33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6" ht="38" customHeight="1">
      <x:c r="A336" s="59" t="str">
        <x:v>docs/decision_log.md</x:v>
      </x:c>
      <x:c r="B336" s="59" t="str">
        <x:v>2026-09-15 — jawnie wybierana wersja parametrów historycznych v2</x:v>
      </x:c>
      <x:c r="C336" s="59" t="str">
        <x:v>liczbowych. Consequences: jawne jednostki i dowody są obowiązkowe; raportowane limity nie są dostępnymi MW. Nie dodano parametrów Radkowic bez dowodów. Kod i testy bez nowych zależności; manifest obejmuje nowy moduł. KSE-033 nadal w toku.</x:v>
      </x:c>
    </x:row>
    <x:row r="337" ht="94" customHeight="1">
      <x:c r="A337" s="59" t="str">
        <x:v>docs/decision_log.md</x:v>
      </x:c>
      <x:c r="B337" s="59" t="str">
        <x:v>2026-09-15 — rejestr potrzeb użytkownika w raporcie</x:v>
      </x:c>
      <x:c r="C33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8" ht="38" customHeight="1">
      <x:c r="A338" s="59" t="str">
        <x:v>docs/decision_log.md</x:v>
      </x:c>
      <x:c r="B338" s="59" t="str">
        <x:v>2026-09-15 — rejestr potrzeb użytkownika w raporcie</x:v>
      </x:c>
      <x:c r="C338" s="59" t="str">
        <x:v>pozycje niedostępne i otrzymane pozostają widoczne. Bez ponawiania prośby o ekspertyzę lub już dostarczone WP. Prywatna treść nie trafia do rejestru ani ogólnego raportu.</x:v>
      </x:c>
    </x:row>
    <x:row r="339" ht="94" customHeight="1">
      <x:c r="A339" s="59" t="str">
        <x:v>docs/decision_log.md</x:v>
      </x:c>
      <x:c r="B339" s="59" t="str">
        <x:v>2026-09-15 — walidacja katalogu obejmująca wiele dat pobrań</x:v>
      </x:c>
      <x:c r="C33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0" ht="38" customHeight="1">
      <x:c r="A340" s="59" t="str">
        <x:v>docs/decision_log.md</x:v>
      </x:c>
      <x:c r="B340" s="59" t="str">
        <x:v>2026-09-15 — walidacja katalogu obejmująca wiele dat pobrań</x:v>
      </x:c>
      <x:c r="C340" s="59" t="str">
        <x:v>nadal dotyczą swoich datowanych próbek. Consequences: 35 plików objętych kontrolą, bez włączania data/private i _secrets. Nowe źródła nie oznaczają nowych parametrów sieci w grafie.</x:v>
      </x:c>
    </x:row>
    <x:row r="341" ht="94" customHeight="1">
      <x:c r="A341" s="59" t="str">
        <x:v>docs/decision_log.md</x:v>
      </x:c>
      <x:c r="B341" s="59" t="str">
        <x:v>2026-09-16 — odtwarzanie jawnie wybranego archiwum</x:v>
      </x:c>
      <x:c r="C341"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2" ht="38" customHeight="1">
      <x:c r="A342" s="59" t="str">
        <x:v>docs/decision_log.md</x:v>
      </x:c>
      <x:c r="B342" s="59" t="str">
        <x:v>2026-09-16 — odtwarzanie jawnie wybranego archiwum</x:v>
      </x:c>
      <x:c r="C342" s="59" t="str">
        <x:v>sprawdzono wszystkie sześć istniejących archiwów, 42 elementy. Nie poszerzono zakresu o prywatne dane ani sekrety. Zewnętrzna kopia nadal niepotwierdzona.</x:v>
      </x:c>
    </x:row>
    <x:row r="343" ht="94" customHeight="1">
      <x:c r="A343" s="59" t="str">
        <x:v>docs/decision_log.md</x:v>
      </x:c>
      <x:c r="B343" s="59" t="str">
        <x:v>2026-09-16 — widok pipeline ograniczony do zachowanej próbki</x:v>
      </x:c>
      <x:c r="C343"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4" ht="38" customHeight="1">
      <x:c r="A344" s="59" t="str">
        <x:v>docs/decision_log.md</x:v>
      </x:c>
      <x:c r="B344" s="59" t="str">
        <x:v>2026-09-16 — widok pipeline ograniczony do zachowanej próbki</x:v>
      </x:c>
      <x:c r="C344" s="59" t="str">
        <x:v>mocy są CALCULATED, liczą rekordy, nie przepływy ani rezerwę MW. Brak podstaw do zamknięcia KSE-021 i przypisywania wpisów do mostu.</x:v>
      </x:c>
    </x:row>
    <x:row r="345" ht="94" customHeight="1">
      <x:c r="A345" s="59" t="str">
        <x:v>docs/decision_log.md</x:v>
      </x:c>
      <x:c r="B345" s="59" t="str">
        <x:v>2026-09-16 — pierwsza lokalna aplikacja oceny przesłanek</x:v>
      </x:c>
      <x:c r="C345"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46" ht="52" customHeight="1">
      <x:c r="A346" s="59" t="str">
        <x:v>docs/decision_log.md</x:v>
      </x:c>
      <x:c r="B346" s="59" t="str">
        <x:v>2026-09-16 — pierwsza lokalna aplikacja oceny przesłanek</x:v>
      </x:c>
      <x:c r="C346"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47" ht="38" customHeight="1">
      <x:c r="A347" s="59" t="str">
        <x:v>docs/discovery_log.md</x:v>
      </x:c>
      <x:c r="B347" s="59" t="str">
        <x:v>Zakres odkrywania interfejsów — 10.09.2026</x:v>
      </x:c>
      <x:c r="C347" s="59" t="str">
        <x:v>Uzupełnienie raportu (01_data_research.md) i katalogu (data_sources.md). To macierz wyników pierwszego badania, nie certyfikat nieistnienia nieodnalezionego interfejsu.</x:v>
      </x:c>
    </x:row>
    <x:row r="348" ht="52" customHeight="1">
      <x:c r="A348" s="59" t="str">
        <x:v>docs/discovery_log.md</x:v>
      </x:c>
      <x:c r="B348" s="59" t="str">
        <x:v>Zakres odkrywania interfejsów — 10.09.2026</x:v>
      </x:c>
      <x:c r="C348"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49" ht="30" customHeight="1">
      <x:c r="A349" s="59" t="str">
        <x:v>docs/discovery_log.md</x:v>
      </x:c>
      <x:c r="B349" s="59" t="str">
        <x:v>Zakres odkrywania interfejsów — 10.09.2026</x:v>
      </x:c>
      <x:c r="C349" s="59" t="str">
        <x:v>Rodzina / API / dane strukturalne / GIS / Dokumenty / pozostałe / Dowód w katalogu</x:v>
      </x:c>
    </x:row>
    <x:row r="350" ht="38" customHeight="1">
      <x:c r="A350" s="59" t="str">
        <x:v>docs/discovery_log.md</x:v>
      </x:c>
      <x:c r="B350" s="59" t="str">
        <x:v>Zakres odkrywania interfejsów — 10.09.2026</x:v>
      </x:c>
      <x:c r="C350" s="59" t="str">
        <x:v>PSE / Działa API JSON, pobrano OpenAPI i XLSX / Nie potwierdzono publicznego operacyjnego WFS/ArcGIS ani pełnej topologii API / PDF mocy i planów; dokumentacja strukturalna B2B to odrębny zakres / PSE_API, PSE_PIPELINE, PSE_CAPACITY, PSE_STRUCT_B2B</x:v>
      </x:c>
    </x:row>
    <x:row r="351" ht="38" customHeight="1">
      <x:c r="A351" s="59" t="str">
        <x:v>docs/discovery_log.md</x:v>
      </x:c>
      <x:c r="B351" s="59" t="str">
        <x:v>Zakres odkrywania interfejsów — 10.09.2026</x:v>
      </x:c>
      <x:c r="C351" s="59" t="str">
        <x:v>PGE / Brak potwierdzenia; odczyt blokowany / Nie potwierdzono / Wskazania PDF; treść niepotwierdzona / PGE_LANDING, PGE_EXPORT_DISCOVERY, PGE_PLAN_DISCOVERY</x:v>
      </x:c>
    </x:row>
    <x:row r="352" ht="38" customHeight="1">
      <x:c r="A352" s="59" t="str">
        <x:v>docs/discovery_log.md</x:v>
      </x:c>
      <x:c r="B352" s="59" t="str">
        <x:v>Zakres odkrywania interfejsów — 10.09.2026</x:v>
      </x:c>
      <x:c r="C352" s="59" t="str">
        <x:v>ENEA / Nie potwierdzono publicznego API; Power BI w HTML / Viewer; nie potwierdzono WFS/WMS/GeoJSON do pobierania infrastruktury / Wykazy, kryteria SN, plan / ENEA_MAP, ENEA_PIPELINE, ENEA_PLAN</x:v>
      </x:c>
    </x:row>
    <x:row r="353" ht="38" customHeight="1">
      <x:c r="A353" s="59" t="str">
        <x:v>docs/discovery_log.md</x:v>
      </x:c>
      <x:c r="B353" s="59" t="str">
        <x:v>Zakres odkrywania interfejsów — 10.09.2026</x:v>
      </x:c>
      <x:c r="C353" s="59" t="str">
        <x:v>TAURON / Nie potwierdzono publicznego API portalu / Viewer dostępności; brak potwierdzonego eksportu topologii / Pobrany PDF wykazu, indeks planu / TAURON_PIPELINE, TAURON_MAP, TAURON_PLAN</x:v>
      </x:c>
    </x:row>
    <x:row r="354" ht="38" customHeight="1">
      <x:c r="A354" s="59" t="str">
        <x:v>docs/discovery_log.md</x:v>
      </x:c>
      <x:c r="B354" s="59" t="str">
        <x:v>Zakres odkrywania interfejsów — 10.09.2026</x:v>
      </x:c>
      <x:c r="C354" s="59" t="str">
        <x:v>Energa / Nie potwierdzono publicznego API badanych wykazów / Nie potwierdzono operacyjnej topologii GIS / Pobrane osobne PDF eksport/import/pipeline; plan / ENERGA_*</x:v>
      </x:c>
    </x:row>
    <x:row r="355" ht="38" customHeight="1">
      <x:c r="A355" s="59" t="str">
        <x:v>docs/discovery_log.md</x:v>
      </x:c>
      <x:c r="B355" s="59" t="str">
        <x:v>Zakres odkrywania interfejsów — 10.09.2026</x:v>
      </x:c>
      <x:c r="C355" s="59" t="str">
        <x:v>Stoen / Nie potwierdzono publicznego API / Nie potwierdzono operacyjnej topologii GIS / PDF kierunkowych mocy; linki rejestrów i planu / STOEN_*</x:v>
      </x:c>
    </x:row>
    <x:row r="356" ht="30" customHeight="1">
      <x:c r="A356" s="59" t="str">
        <x:v>docs/discovery_log.md</x:v>
      </x:c>
      <x:c r="B356" s="59" t="str">
        <x:v>Zakres odkrywania interfejsów — 10.09.2026</x:v>
      </x:c>
      <x:c r="C356" s="59" t="str">
        <x:v>KGHM OSDn / Linki do arkuszy; nie zwalidowano załączników / Nie potwierdzono / Publiczne informacje OSD i rejestry / KGHM_OSD</x:v>
      </x:c>
    </x:row>
    <x:row r="357" ht="38" customHeight="1">
      <x:c r="A357" s="59" t="str">
        <x:v>docs/discovery_log.md</x:v>
      </x:c>
      <x:c r="B357" s="59" t="str">
        <x:v>Zakres odkrywania interfejsów — 10.09.2026</x:v>
      </x:c>
      <x:c r="C357" s="59" t="str">
        <x:v>GUGiK / Pliki i GeoParquet; dokumentowane usługi / Potwierdzony WFS GetCapabilities EGiB; dokumentacja WMS/WMTS/WCS pozostałych produktów / Dane katastralne/topograficzne/terenowe, integracja MPZP / GUGIK_*</x:v>
      </x:c>
    </x:row>
    <x:row r="358" ht="30" customHeight="1">
      <x:c r="A358" s="59" t="str">
        <x:v>docs/discovery_log.md</x:v>
      </x:c>
      <x:c r="B358" s="59" t="str">
        <x:v>Zakres odkrywania interfejsów — 10.09.2026</x:v>
      </x:c>
      <x:c r="C358" s="59" t="str">
        <x:v>GDOŚ / OGC XML / Potwierdzony WFS GetCapabilities, opis WMS / Ochrona przyrody; akty prawne osobno / GDOS_GIS</x:v>
      </x:c>
    </x:row>
    <x:row r="359" ht="38" customHeight="1">
      <x:c r="A359" s="59" t="str">
        <x:v>docs/discovery_log.md</x:v>
      </x:c>
      <x:c r="B359" s="59" t="str">
        <x:v>Zakres odkrywania interfejsów — 10.09.2026</x:v>
      </x:c>
      <x:c r="C359" s="59" t="str">
        <x:v>Wody Polskie / BDL / Zależnie od produktu / Opis WMS i WFS/WMTS BDL, adresy usług ArcGIS; brak testu całego pobierania / Procedury udostępniania / WODY_SIGW, BDL_GIS</x:v>
      </x:c>
    </x:row>
    <x:row r="360" ht="38" customHeight="1">
      <x:c r="A360" s="59" t="str">
        <x:v>docs/discovery_log.md</x:v>
      </x:c>
      <x:c r="B360" s="59" t="str">
        <x:v>Zakres odkrywania interfejsów — 10.09.2026</x:v>
      </x:c>
      <x:c r="C360" s="59" t="str">
        <x:v>ENTSO-E / REST/XML z tokenem, nie wykonano zapytania / Mapa PDF nie jest API topologii / Warunki ponownego wykorzystania według datasetu / ENTSOE_TP, ENTSOE_MAP</x:v>
      </x:c>
    </x:row>
    <x:row r="361" ht="38" customHeight="1">
      <x:c r="A361" s="59" t="str">
        <x:v>docs/discovery_log.md</x:v>
      </x:c>
      <x:c r="B361" s="59" t="str">
        <x:v>Zakres odkrywania interfejsów — 10.09.2026</x:v>
      </x:c>
      <x:c r="C361" s="59" t="str">
        <x:v>OSM/OpenInfraMap / Regionalny PBF; Overpass jako wskazany kanał małych ekstraktów / Geometria społecznościowa, nie potwierdzone relacje operatora / ODbL; OpenInfraMap nie jest drugim źródłem / OSM_LICENSE, GEOFABRIK_PL, OPENINFRAMAP</x:v>
      </x:c>
    </x:row>
    <x:row r="362" ht="38" customHeight="1">
      <x:c r="A362" s="59" t="str">
        <x:v>docs/discovery_log.md</x:v>
      </x:c>
      <x:c r="B362" s="59" t="str">
        <x:v>Zakres odkrywania interfejsów — 10.09.2026</x:v>
      </x:c>
      <x:c r="C362" s="59" t="str">
        <x:v>Modele otwarte / Repozytoria GitHub i formaty modeli / Geometria i parametry mogą być inferowane / PyPSA-Eur i historyczny MATPOWER nie są aktualnym operacyjnym KSE / PYPSA_EUR, MATPOWER_POLAND</x:v>
      </x:c>
    </x:row>
    <x:row r="363" ht="52" customHeight="1">
      <x:c r="A363" s="59" t="str">
        <x:v>docs/discovery_log.md</x:v>
      </x:c>
      <x:c r="B363" s="59" t="str">
        <x:v>Zakres odkrywania interfejsów — 10.09.2026</x:v>
      </x:c>
      <x:c r="C363"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4" ht="94" customHeight="1">
      <x:c r="A364" s="59" t="str">
        <x:v>docs/discovery_log.md</x:v>
      </x:c>
      <x:c r="B364" s="59" t="str">
        <x:v>Otwarte działania po badaniu</x:v>
      </x:c>
      <x:c r="C364"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5" ht="38" customHeight="1">
      <x:c r="A365" s="59" t="str">
        <x:v>docs/discovery_log.md</x:v>
      </x:c>
      <x:c r="B365" s="59" t="str">
        <x:v>Otwarte działania po badaniu</x:v>
      </x:c>
      <x:c r="C365" s="59" t="str">
        <x:v>Nie traktować powyższej listy jako zaległej implementacji w etapie 1: są to ujawnione warunki wejścia do dalszych etapów. Źródła o niepotwierdzonej treści pozostają oznaczone jako niepotwierdzone.</x:v>
      </x:c>
    </x:row>
    <x:row r="366" ht="52" customHeight="1">
      <x:c r="A366" s="59" t="str">
        <x:v>docs/reproducibility.md</x:v>
      </x:c>
      <x:c r="B366" s="59" t="str">
        <x:v>Wersjonowanie i odtwarzalność</x:v>
      </x:c>
      <x:c r="C366"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7" ht="30" customHeight="1">
      <x:c r="A367" s="59" t="str">
        <x:v>docs/reproducibility.md</x:v>
      </x:c>
      <x:c r="B367" s="59" t="str">
        <x:v>Dwa elementy kopii projektu</x:v>
      </x:c>
      <x:c r="C367" s="59" t="str">
        <x:v>Element / Co zachowuje / Gdzie</x:v>
      </x:c>
    </x:row>
    <x:row r="368" ht="38" customHeight="1">
      <x:c r="A368" s="59" t="str">
        <x:v>docs/reproducibility.md</x:v>
      </x:c>
      <x:c r="B368" s="59" t="str">
        <x:v>Dwa elementy kopii projektu</x:v>
      </x:c>
      <x:c r="C368" s="59" t="str">
        <x:v>Historia Git / Dokumentacja, notatki źródłowe, skrypty, konfiguracja, wersje zależności, hash i lista próbek / Lokalnie .git, po push także prywatne GitHub</x:v>
      </x:c>
    </x:row>
    <x:row r="369" ht="30" customHeight="1">
      <x:c r="A369" s="59" t="str">
        <x:v>docs/reproducibility.md</x:v>
      </x:c>
      <x:c r="B369" s="59" t="str">
        <x:v>Dwa elementy kopii projektu</x:v>
      </x:c>
      <x:c r="C369" s="59" t="str">
        <x:v>Archiwum badania / Dokładne bajty pobranych plików i kontrolnych podglądów oraz manifesty / data/archives/, pomijane przez Git</x:v>
      </x:c>
    </x:row>
    <x:row r="370" ht="66" customHeight="1">
      <x:c r="A370" s="59" t="str">
        <x:v>docs/reproducibility.md</x:v>
      </x:c>
      <x:c r="B370" s="59" t="str">
        <x:v>Dwa elementy kopii projektu</x:v>
      </x:c>
      <x:c r="C370"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71" ht="38" customHeight="1">
      <x:c r="A371" s="59" t="str">
        <x:v>docs/reproducibility.md</x:v>
      </x:c>
      <x:c r="B371" s="59" t="str">
        <x:v>Dwa elementy kopii projektu</x:v>
      </x:c>
      <x:c r="C371" s="59" t="str">
        <x:v>URL pozwala ponowić pobranie, ale nie gwarantuje identycznej historycznej wersji. Gdy operator podmieni plik, nie wolno zastąpić starego snapshotu nową treścią i twierdzić, że odtworzono stare badanie. Dlatego zachowujemy osobne kopie oraz SHA-256.</x:v>
      </x:c>
    </x:row>
    <x:row r="372" ht="38" customHeight="1">
      <x:c r="A372" s="59" t="str">
        <x:v>docs/reproducibility.md</x:v>
      </x:c>
      <x:c r="B372" s="59" t="str">
        <x:v>Odtworzenie na komputerze z Pythonem</x:v>
      </x:c>
      <x:c r="C372" s="59" t="str">
        <x:v>Badanie sprawdzono na Pythonie 3.12.14. Dokładne użyte pakiety zapisano w requirements-research.txt. W PowerShell, w folderze repozytorium:</x:v>
      </x:c>
    </x:row>
    <x:row r="373" ht="52" customHeight="1">
      <x:c r="A373" s="59" t="str">
        <x:v>docs/reproducibility.md</x:v>
      </x:c>
      <x:c r="B373" s="59" t="str">
        <x:v>Odtworzenie na komputerze z Pythonem</x:v>
      </x:c>
      <x:c r="C373"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4" ht="52" customHeight="1">
      <x:c r="A374" s="59" t="str">
        <x:v>docs/reproducibility.md</x:v>
      </x:c>
      <x:c r="B374" s="59" t="str">
        <x:v>Odtworzenie na komputerze z Pythonem</x:v>
      </x:c>
      <x:c r="C374"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5" ht="52" customHeight="1">
      <x:c r="A375" s="59" t="str">
        <x:v>docs/reproducibility.md</x:v>
      </x:c>
      <x:c r="B375" s="59" t="str">
        <x:v>Odtworzenie na komputerze z Pythonem</x:v>
      </x:c>
      <x:c r="C375"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6" ht="66" customHeight="1">
      <x:c r="A376" s="59" t="str">
        <x:v>docs/reproducibility.md</x:v>
      </x:c>
      <x:c r="B376" s="59" t="str">
        <x:v>Test odtwarzania wykonany 10.09.2026</x:v>
      </x:c>
      <x:c r="C376"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7" ht="66" customHeight="1">
      <x:c r="A377" s="59" t="str">
        <x:v>docs/reproducibility.md</x:v>
      </x:c>
      <x:c r="B377" s="59" t="str">
        <x:v>Budowanie kolejnego archiwum</x:v>
      </x:c>
      <x:c r="C377"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78" ht="52" customHeight="1">
      <x:c r="A378" s="59" t="str">
        <x:v>docs/reproducibility.md</x:v>
      </x:c>
      <x:c r="B378" s="59" t="str">
        <x:v>Budowanie kolejnego archiwum</x:v>
      </x:c>
      <x:c r="C378"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79" ht="66" customHeight="1">
      <x:c r="A379" s="59" t="str">
        <x:v>docs/reproducibility.md</x:v>
      </x:c>
      <x:c r="B379" s="59" t="str">
        <x:v>Odtwarzanie kolejnych archiwów — 16.09.2026</x:v>
      </x:c>
      <x:c r="C379"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80" ht="30" customHeight="1">
      <x:c r="A380" s="59" t="str">
        <x:v>docs/reproducibility.md</x:v>
      </x:c>
      <x:c r="B380" s="59" t="str">
        <x:v>Odtwarzanie kolejnych archiwów — 16.09.2026</x:v>
      </x:c>
      <x:c r="C380" s="59" t="str">
        <x:v>Pary manifest–archiwum do zachowania (wszystkie manifesty w data/catalog/, ZIP w data/archives/):</x:v>
      </x:c>
    </x:row>
    <x:row r="381" ht="30" customHeight="1">
      <x:c r="A381" s="59" t="str">
        <x:v>docs/reproducibility.md</x:v>
      </x:c>
      <x:c r="B381" s="59" t="str">
        <x:v>Odtwarzanie kolejnych archiwów — 16.09.2026</x:v>
      </x:c>
      <x:c r="C381" s="59" t="str">
        <x:v>Manifest / ZIP</x:v>
      </x:c>
    </x:row>
    <x:row r="382" ht="30" customHeight="1">
      <x:c r="A382" s="59" t="str">
        <x:v>docs/reproducibility.md</x:v>
      </x:c>
      <x:c r="B382" s="59" t="str">
        <x:v>Odtwarzanie kolejnych archiwów — 16.09.2026</x:v>
      </x:c>
      <x:c r="C382" s="59" t="str">
        <x:v>archive_manifest.json / research_2026-09-10_d143d3c637bc7af3.zip</x:v>
      </x:c>
    </x:row>
    <x:row r="383" ht="30" customHeight="1">
      <x:c r="A383" s="59" t="str">
        <x:v>docs/reproducibility.md</x:v>
      </x:c>
      <x:c r="B383" s="59" t="str">
        <x:v>Odtwarzanie kolejnych archiwów — 16.09.2026</x:v>
      </x:c>
      <x:c r="C383" s="59" t="str">
        <x:v>radkowice_archive_manifest.json / radkowice_sources_2026-09-11.zip</x:v>
      </x:c>
    </x:row>
    <x:row r="384" ht="30" customHeight="1">
      <x:c r="A384" s="59" t="str">
        <x:v>docs/reproducibility.md</x:v>
      </x:c>
      <x:c r="B384" s="59" t="str">
        <x:v>Odtwarzanie kolejnych archiwów — 16.09.2026</x:v>
      </x:c>
      <x:c r="C384" s="59" t="str">
        <x:v>radkowice_tariff_archive.json / radkowice_tariff_2026-09-11.zip</x:v>
      </x:c>
    </x:row>
    <x:row r="385" ht="30" customHeight="1">
      <x:c r="A385" s="59" t="str">
        <x:v>docs/reproducibility.md</x:v>
      </x:c>
      <x:c r="B385" s="59" t="str">
        <x:v>Odtwarzanie kolejnych archiwów — 16.09.2026</x:v>
      </x:c>
      <x:c r="C385" s="59" t="str">
        <x:v>radkowice_wolica_archive.json / radkowice_wolica_2026-09-11.zip</x:v>
      </x:c>
    </x:row>
    <x:row r="386" ht="30" customHeight="1">
      <x:c r="A386" s="59" t="str">
        <x:v>docs/reproducibility.md</x:v>
      </x:c>
      <x:c r="B386" s="59" t="str">
        <x:v>Odtwarzanie kolejnych archiwów — 16.09.2026</x:v>
      </x:c>
      <x:c r="C386" s="59" t="str">
        <x:v>radkowice_followup_archive_2026-09-15.json / radkowice_followup_2026-09-15.zip</x:v>
      </x:c>
    </x:row>
    <x:row r="387" ht="30" customHeight="1">
      <x:c r="A387" s="59" t="str">
        <x:v>docs/reproducibility.md</x:v>
      </x:c>
      <x:c r="B387" s="59" t="str">
        <x:v>Odtwarzanie kolejnych archiwów — 16.09.2026</x:v>
      </x:c>
      <x:c r="C387" s="59" t="str">
        <x:v>radkowice_decision_archive_2026-09-15.json / radkowice_decision_2026-09-15.zip</x:v>
      </x:c>
    </x:row>
    <x:row r="388" ht="30" customHeight="1">
      <x:c r="A388" s="59" t="str">
        <x:v>docs/reproducibility.md</x:v>
      </x:c>
      <x:c r="B388" s="59" t="str">
        <x:v>Odtwarzanie kolejnych archiwów — 16.09.2026</x:v>
      </x:c>
      <x:c r="C388" s="59" t="str">
        <x:v>Przykład kontroli kopii zachowanej na innym nośniku:</x:v>
      </x:c>
    </x:row>
    <x:row r="389" ht="38" customHeight="1">
      <x:c r="A389" s="59" t="str">
        <x:v>docs/reproducibility.md</x:v>
      </x:c>
      <x:c r="B389" s="59" t="str">
        <x:v>Odtwarzanie kolejnych archiwów — 16.09.2026</x:v>
      </x:c>
      <x:c r="C389" s="59" t="str">
        <x:v>python scripts/research_archive.py restore 'D:\Kopie\radkowice_decision_2026-09-15.zip' --manifest data/catalog/radkowice_decision_archive_2026-09-15.json --verify-only</x:v>
      </x:c>
    </x:row>
    <x:row r="390" ht="66" customHeight="1">
      <x:c r="A390" s="59" t="str">
        <x:v>docs/reproducibility.md</x:v>
      </x:c>
      <x:c r="B390" s="59" t="str">
        <x:v>Odtwarzanie kolejnych archiwów — 16.09.2026</x:v>
      </x:c>
      <x:c r="C390"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91" ht="66" customHeight="1">
      <x:c r="A391" s="59" t="str">
        <x:v>docs/reproducibility.md</x:v>
      </x:c>
      <x:c r="B391" s="59" t="str">
        <x:v>Odtwarzanie kolejnych archiwów — 16.09.2026</x:v>
      </x:c>
      <x:c r="C391"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92" ht="66" customHeight="1">
      <x:c r="A392" s="59" t="str">
        <x:v>docs/reproducibility.md</x:v>
      </x:c>
      <x:c r="B392" s="59" t="str">
        <x:v>Odtwarzanie kolejnych archiwów — 16.09.2026</x:v>
      </x:c>
      <x:c r="C392"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3" ht="30" customHeight="1">
      <x:c r="A393" s="59" t="str">
        <x:v>docs/git_workflow.md</x:v>
      </x:c>
      <x:c r="B393" s="59" t="str">
        <x:v>Git i GitHub — instrukcja dla tego projektu</x:v>
      </x:c>
      <x:c r="C393" s="59" t="str">
        <x:v>Przygotowano 10.09.2026. Folder: C:\Users\woloo\Desktop\KSE. Repozytorium: woloo-del/KSE (https://github.com/woloo-del/KSE).</x:v>
      </x:c>
    </x:row>
    <x:row r="394" ht="38" customHeight="1">
      <x:c r="A394" s="59" t="str">
        <x:v>docs/git_workflow.md</x:v>
      </x:c>
      <x:c r="B394" s="59" t="str">
        <x:v>Git i GitHub — instrukcja dla tego projektu</x:v>
      </x:c>
      <x:c r="C394" s="59" t="str">
        <x:v>Git zapisuje wersje lokalnie. GitHub przechowuje wysłaną kopię historii. Commit to zapis wersji na komputerze; push wysyła zapisane commity na GitHub. Zapisanie pliku w edytorze samo nie wykonuje żadnej z tych operacji.</x:v>
      </x:c>
    </x:row>
    <x:row r="395" ht="94" customHeight="1">
      <x:c r="A395" s="59" t="str">
        <x:v>docs/git_workflow.md</x:v>
      </x:c>
      <x:c r="B395" s="59" t="str">
        <x:v>Co już skonfigurowano</x:v>
      </x:c>
      <x:c r="C395"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6" ht="30" customHeight="1">
      <x:c r="A396" s="59" t="str">
        <x:v>docs/git_workflow.md</x:v>
      </x:c>
      <x:c r="B396" s="59" t="str">
        <x:v>Co już skonfigurowano</x:v>
      </x:c>
      <x:c r="C396" s="59" t="str">
        <x:v>środowiska, cache i duże dane źródłowe. .gitattributes ustala końce linii plików tekstowych.</x:v>
      </x:c>
    </x:row>
    <x:row r="397" ht="30" customHeight="1">
      <x:c r="A397" s="59" t="str">
        <x:v>docs/git_workflow.md</x:v>
      </x:c>
      <x:c r="B397" s="59" t="str">
        <x:v>Pierwszy push</x:v>
      </x:c>
      <x:c r="C397" s="59" t="str">
        <x:v>Otwórz PowerShell i wpisz:</x:v>
      </x:c>
    </x:row>
    <x:row r="398" ht="30" customHeight="1">
      <x:c r="A398" s="59" t="str">
        <x:v>docs/git_workflow.md</x:v>
      </x:c>
      <x:c r="B398" s="59" t="str">
        <x:v>Pierwszy push</x:v>
      </x:c>
      <x:c r="C398" s="59" t="str">
        <x:v>Set-Location 'C:\Users\woloo\Desktop\KSE' git status git log -1 --oneline git push -u origin main</x:v>
      </x:c>
    </x:row>
    <x:row r="399" ht="52" customHeight="1">
      <x:c r="A399" s="59" t="str">
        <x:v>docs/git_workflow.md</x:v>
      </x:c>
      <x:c r="B399" s="59" t="str">
        <x:v>Pierwszy push</x:v>
      </x:c>
      <x:c r="C399"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00" ht="52" customHeight="1">
      <x:c r="A400" s="59" t="str">
        <x:v>docs/git_workflow.md</x:v>
      </x:c>
      <x:c r="B400" s="59" t="str">
        <x:v>Pierwszy push</x:v>
      </x:c>
      <x:c r="C400"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01" ht="30" customHeight="1">
      <x:c r="A401" s="59" t="str">
        <x:v>docs/git_workflow.md</x:v>
      </x:c>
      <x:c r="B401" s="59" t="str">
        <x:v>Kolejne zmiany — zwykły cykl</x:v>
      </x:c>
      <x:c r="C401" s="59" t="str">
        <x:v>Po zapisaniu plików i wykonaniu właściwych kontroli:</x:v>
      </x:c>
    </x:row>
    <x:row r="402" ht="38" customHeight="1">
      <x:c r="A402" s="59" t="str">
        <x:v>docs/git_workflow.md</x:v>
      </x:c>
      <x:c r="B402" s="59" t="str">
        <x:v>Kolejne zmiany — zwykły cykl</x:v>
      </x:c>
      <x:c r="C402" s="59" t="str">
        <x:v>git status git diff git add README.md docs scripts config data/catalog requirements-research.txt .gitignore .gitattributes AGENTS.md git diff --cached --stat git commit -m "Opisz konkretnie wykonana zmiane" git push</x:v>
      </x:c>
    </x:row>
    <x:row r="403" ht="52" customHeight="1">
      <x:c r="A403" s="59" t="str">
        <x:v>docs/git_workflow.md</x:v>
      </x:c>
      <x:c r="B403" s="59" t="str">
        <x:v>Kolejne zmiany — zwykły cykl</x:v>
      </x:c>
      <x:c r="C403"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4" ht="38" customHeight="1">
      <x:c r="A404" s="59" t="str">
        <x:v>docs/git_workflow.md</x:v>
      </x:c>
      <x:c r="B404" s="59" t="str">
        <x:v>Kolejne zmiany — zwykły cykl</x:v>
      </x:c>
      <x:c r="C404" s="59" t="str">
        <x:v>Gdy Codex informuje, że już wykonał commit, nie musisz ponownie robić add i commit; sprawdź git status, git log -1 --oneline, a następnie wykonaj git push.</x:v>
      </x:c>
    </x:row>
    <x:row r="405" ht="38" customHeight="1">
      <x:c r="A405" s="59" t="str">
        <x:v>docs/git_workflow.md</x:v>
      </x:c>
      <x:c r="B405" s="59" t="str">
        <x:v>Praca na drugim komputerze i zmiany na GitHub</x:v>
      </x:c>
      <x:c r="C405" s="59" t="str">
        <x:v>Na nowym komputerze pobierz repozytorium przez git clone https://github.com/woloo-del/KSE.git. Zależności i archiwum danych odtwórz według instrukcji odtwarzania (reproducibility.md).</x:v>
      </x:c>
    </x:row>
    <x:row r="406" ht="52" customHeight="1">
      <x:c r="A406" s="59" t="str">
        <x:v>docs/git_workflow.md</x:v>
      </x:c>
      <x:c r="B406" s="59" t="str">
        <x:v>Praca na drugim komputerze i zmiany na GitHub</x:v>
      </x:c>
      <x:c r="C406"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7" ht="30" customHeight="1">
      <x:c r="A407" s="59" t="str">
        <x:v>docs/git_workflow.md</x:v>
      </x:c>
      <x:c r="B407" s="59" t="str">
        <x:v>Co oznaczają typowe komunikaty</x:v>
      </x:c>
      <x:c r="C407" s="59" t="str">
        <x:v>Komunikat / Znaczenie / następny krok</x:v>
      </x:c>
    </x:row>
    <x:row r="408" ht="30" customHeight="1">
      <x:c r="A408" s="59" t="str">
        <x:v>docs/git_workflow.md</x:v>
      </x:c>
      <x:c r="B408" s="59" t="str">
        <x:v>Co oznaczają typowe komunikaty</x:v>
      </x:c>
      <x:c r="C408" s="59" t="str">
        <x:v>nothing to commit, working tree clean / Wszystkie śledzone zmiany zapisane lokalnie; nie dowodzi jeszcze wysłania</x:v>
      </x:c>
    </x:row>
    <x:row r="409" ht="30" customHeight="1">
      <x:c r="A409" s="59" t="str">
        <x:v>docs/git_workflow.md</x:v>
      </x:c>
      <x:c r="B409" s="59" t="str">
        <x:v>Co oznaczają typowe komunikaty</x:v>
      </x:c>
      <x:c r="C409" s="59" t="str">
        <x:v>Everything up-to-date / Brak nowych commitów do wysłania</x:v>
      </x:c>
    </x:row>
    <x:row r="410" ht="30" customHeight="1">
      <x:c r="A410" s="59" t="str">
        <x:v>docs/git_workflow.md</x:v>
      </x:c>
      <x:c r="B410" s="59" t="str">
        <x:v>Co oznaczają typowe komunikaty</x:v>
      </x:c>
      <x:c r="C410" s="59" t="str">
        <x:v>Your branch is ahead ... / Masz lokalne commity oczekujące na push</x:v>
      </x:c>
    </x:row>
    <x:row r="411" ht="30" customHeight="1">
      <x:c r="A411" s="59" t="str">
        <x:v>docs/git_workflow.md</x:v>
      </x:c>
      <x:c r="B411" s="59" t="str">
        <x:v>Co oznaczają typowe komunikaty</x:v>
      </x:c>
      <x:c r="C411" s="59" t="str">
        <x:v>Repository not found / Dla repo prywatnego sprawdź konto, dostęp i adres; nie musi oznaczać nieistnienia repo</x:v>
      </x:c>
    </x:row>
    <x:row r="412" ht="30" customHeight="1">
      <x:c r="A412" s="59" t="str">
        <x:v>docs/git_workflow.md</x:v>
      </x:c>
      <x:c r="B412" s="59" t="str">
        <x:v>Co oznaczają typowe komunikaty</x:v>
      </x:c>
      <x:c r="C412" s="59" t="str">
        <x:v>src refspec main does not match any / Zwykle brak pierwszego commita lub inna nazwa gałęzi</x:v>
      </x:c>
    </x:row>
    <x:row r="413" ht="30" customHeight="1">
      <x:c r="A413" s="59" t="str">
        <x:v>docs/git_workflow.md</x:v>
      </x:c>
      <x:c r="B413" s="59" t="str">
        <x:v>Co oznaczają typowe komunikaty</x:v>
      </x:c>
      <x:c r="C413" s="59" t="str">
        <x:v>non-fast-forward / fetch first / Na serwerze jest historia, której nie ma lokalnie; wymagana bezpieczna synchronizacja</x:v>
      </x:c>
    </x:row>
    <x:row r="414" ht="52" customHeight="1">
      <x:c r="A414" s="59" t="str">
        <x:v>docs/git_workflow.md</x:v>
      </x:c>
      <x:c r="B414" s="59" t="str">
        <x:v>Co oznaczają typowe komunikaty</x:v>
      </x:c>
      <x:c r="C414"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5" ht="52" customHeight="1">
      <x:c r="A415" s="59" t="str">
        <x:v>docs/project_reporting.md</x:v>
      </x:c>
      <x:c r="B415" s="59" t="str">
        <x:v>Rejestr TODO i raport projektu w Excelu</x:v>
      </x:c>
      <x:c r="C415"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6" ht="52" customHeight="1">
      <x:c r="A416" s="59" t="str">
        <x:v>docs/project_reporting.md</x:v>
      </x:c>
      <x:c r="B416" s="59" t="str">
        <x:v>Rejestr TODO i raport projektu w Excelu</x:v>
      </x:c>
      <x:c r="C416"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7" ht="30" customHeight="1">
      <x:c r="A417" s="59" t="str">
        <x:v>docs/project_reporting.md</x:v>
      </x:c>
      <x:c r="B417" s="59" t="str">
        <x:v>Generowanie</x:v>
      </x:c>
      <x:c r="C417" s="59" t="str">
        <x:v>W PowerShell, w folderze projektu:</x:v>
      </x:c>
    </x:row>
    <x:row r="418" ht="30" customHeight="1">
      <x:c r="A418" s="59" t="str">
        <x:v>docs/project_reporting.md</x:v>
      </x:c>
      <x:c r="B418" s="59" t="str">
        <x:v>Generowanie</x:v>
      </x:c>
      <x:c r="C418" s="59" t="str">
        <x:v>.\scripts\generate_project_report.ps1</x:v>
      </x:c>
    </x:row>
    <x:row r="419" ht="52" customHeight="1">
      <x:c r="A419" s="59" t="str">
        <x:v>docs/project_reporting.md</x:v>
      </x:c>
      <x:c r="B419" s="59" t="str">
        <x:v>Generowanie</x:v>
      </x:c>
      <x:c r="C419"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20" ht="80" customHeight="1">
      <x:c r="A420" s="59" t="str">
        <x:v>docs/project_reporting.md</x:v>
      </x:c>
      <x:c r="B420" s="59" t="str">
        <x:v>Generowanie</x:v>
      </x:c>
      <x:c r="C420"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21" ht="66" customHeight="1">
      <x:c r="A421" s="59" t="str">
        <x:v>docs/project_reporting.md</x:v>
      </x:c>
      <x:c r="B421" s="59" t="str">
        <x:v>Generowanie</x:v>
      </x:c>
      <x:c r="C421"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22" ht="66" customHeight="1">
      <x:c r="A422" s="59" t="str">
        <x:v>docs/project_reporting.md</x:v>
      </x:c>
      <x:c r="B422" s="59" t="str">
        <x:v>Zakres raportu</x:v>
      </x:c>
      <x:c r="C422"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3" ht="94" customHeight="1">
      <x:c r="A423" s="59" t="str">
        <x:v>docs/project_reporting.md</x:v>
      </x:c>
      <x:c r="B423" s="59" t="str">
        <x:v>Zakres raportu</x:v>
      </x:c>
      <x:c r="C423"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4" ht="80" customHeight="1">
      <x:c r="A424" s="59" t="str">
        <x:v>docs/project_reporting.md</x:v>
      </x:c>
      <x:c r="B424" s="59" t="str">
        <x:v>Zakres raportu</x:v>
      </x:c>
      <x:c r="C424"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5" ht="38" customHeight="1">
      <x:c r="A425" s="59" t="str">
        <x:v>docs/project_reporting.md</x:v>
      </x:c>
      <x:c r="B425" s="59" t="str">
        <x:v>Zakres raportu</x:v>
      </x:c>
      <x:c r="C425" s="59" t="str">
        <x:v>Raport jest snapshotem wiedzy projektowej. Nie zawiera nieistniejących wyników dla GPZ, sztucznych MW ani scoringu. Nie zastępuje szczegółowych surowych plików operatorów; ich lokalne archiwum i manifest pozostają osobno.</x:v>
      </x:c>
    </x:row>
    <x:row r="426" ht="52" customHeight="1">
      <x:c r="A426" s="59" t="str">
        <x:v>docs/project_reporting.md</x:v>
      </x:c>
      <x:c r="B426" s="59" t="str">
        <x:v>Bezpieczeństwo i aktualizacja</x:v>
      </x:c>
      <x:c r="C426"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7" ht="52" customHeight="1">
      <x:c r="A427" s="59" t="str">
        <x:v>docs/project_reporting.md</x:v>
      </x:c>
      <x:c r="B427" s="59" t="str">
        <x:v>Bezpieczeństwo i aktualizacja</x:v>
      </x:c>
      <x:c r="C427"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28" ht="52" customHeight="1">
      <x:c r="A428" s="59" t="str">
        <x:v>docs/09_pilot_scope.md</x:v>
      </x:c>
      <x:c r="B428" s="59" t="str">
        <x:v>Propozycja pilota GPZ</x:v>
      </x:c>
      <x:c r="C428"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29" ht="38" customHeight="1">
      <x:c r="A429" s="59" t="str">
        <x:v>docs/09_pilot_scope.md</x:v>
      </x:c>
      <x:c r="B429" s="59" t="str">
        <x:v>Propozycja pilota GPZ</x:v>
      </x:c>
      <x:c r="C429" s="59" t="str">
        <x:v>Pierwszy wynik: audytowalny raport jednego GPZ z powiązanymi projektami, stanem źródeł, kierunkami mocy i ograniczeniami. Obszar wybieramy po porównaniu dowodów, nie po liczbie punktów na mapie. Użytkownik może wskazać własny region.</x:v>
      </x:c>
    </x:row>
    <x:row r="430" ht="94" customHeight="1">
      <x:c r="A430" s="59" t="str">
        <x:v>docs/09_pilot_scope.md</x:v>
      </x:c>
      <x:c r="B430" s="59" t="str">
        <x:v>Kryteria odbioru</x:v>
      </x:c>
      <x:c r="C430"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31" ht="66" customHeight="1">
      <x:c r="A431" s="59" t="str">
        <x:v>docs/09_pilot_scope.md</x:v>
      </x:c>
      <x:c r="B431" s="59" t="str">
        <x:v>Kryteria odbioru</x:v>
      </x:c>
      <x:c r="C431"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32" ht="52" customHeight="1">
      <x:c r="A432" s="59" t="str">
        <x:v>docs/09_pilot_scope.md</x:v>
      </x:c>
      <x:c r="B432" s="59" t="str">
        <x:v>Kryteria odbioru</x:v>
      </x:c>
      <x:c r="C432"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3" ht="38" customHeight="1">
      <x:c r="A433" s="59" t="str">
        <x:v>docs/09_pilot_scope.md</x:v>
      </x:c>
      <x:c r="B433" s="59" t="str">
        <x:v>Kryteria odbioru</x:v>
      </x:c>
      <x:c r="C433" s="59" t="str">
        <x:v>Najbliższe zależności: zaakceptować zakres, wybrać dopuszczone źródła, porównać kandydatów GPZ, zaprojektować model i wdrożyć parsery. Kontrola jakości źródeł może być rozwijana niezależnie od wyboru regionu.</x:v>
      </x:c>
    </x:row>
    <x:row r="434" ht="52" customHeight="1">
      <x:c r="A434" s="59" t="str">
        <x:v>docs/10_radkowice_pilot.md</x:v>
      </x:c>
      <x:c r="B434" s="59" t="str">
        <x:v>Pilot: SE Radkowice 220/110 kV</x:v>
      </x:c>
      <x:c r="C434"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5" ht="38" customHeight="1">
      <x:c r="A435" s="59" t="str">
        <x:v>docs/10_radkowice_pilot.md</x:v>
      </x:c>
      <x:c r="B435" s="59" t="str">
        <x:v>Tożsamość i granice</x:v>
      </x:c>
      <x:c r="C435"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6" ht="52" customHeight="1">
      <x:c r="A436" s="59" t="str">
        <x:v>docs/10_radkowice_pilot.md</x:v>
      </x:c>
      <x:c r="B436" s="59" t="str">
        <x:v>Tożsamość i granice</x:v>
      </x:c>
      <x:c r="C436"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7" ht="52" customHeight="1">
      <x:c r="A437" s="59" t="str">
        <x:v>docs/10_radkowice_pilot.md</x:v>
      </x:c>
      <x:c r="B437" s="59" t="str">
        <x:v>Tożsamość i granice</x:v>
      </x:c>
      <x:c r="C437"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38" ht="52" customHeight="1">
      <x:c r="A438" s="59" t="str">
        <x:v>docs/10_radkowice_pilot.md</x:v>
      </x:c>
      <x:c r="B438" s="59" t="str">
        <x:v>Pierwsze znane projekty</x:v>
      </x:c>
      <x:c r="C438"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39" ht="30" customHeight="1">
      <x:c r="A439" s="59" t="str">
        <x:v>docs/10_radkowice_pilot.md</x:v>
      </x:c>
      <x:c r="B439" s="59" t="str">
        <x:v>Pierwsze znane projekty</x:v>
      </x:c>
      <x:c r="C439" s="59" t="str">
        <x:v>Wiersz / Projekt / Podmiot / Punkt / Eksport MW / Import MW / Status</x:v>
      </x:c>
    </x:row>
    <x:row r="440" ht="30" customHeight="1">
      <x:c r="A440" s="59" t="str">
        <x:v>docs/10_radkowice_pilot.md</x:v>
      </x:c>
      <x:c r="B440" s="59" t="str">
        <x:v>Pierwsze znane projekty</x:v>
      </x:c>
      <x:c r="C440" s="59" t="str">
        <x:v>787 / MEE Chałupki / Grand Solar 23 Sp. z o.o. / Radkowice 220 kV / 96,96 / 98,8992 / Obowiązująca umowa przyłączeniowa</x:v>
      </x:c>
    </x:row>
    <x:row r="441" ht="30" customHeight="1">
      <x:c r="A441" s="59" t="str">
        <x:v>docs/10_radkowice_pilot.md</x:v>
      </x:c>
      <x:c r="B441" s="59" t="str">
        <x:v>Pierwsze znane projekty</x:v>
      </x:c>
      <x:c r="C441" s="59" t="str">
        <x:v>843 / MEE Radkowice / RSE 10 Sp. z o.o. / Radkowice 220 kV / 50 / 50 / Obowiązująca umowa przyłączeniowa</x:v>
      </x:c>
    </x:row>
    <x:row r="442" ht="30" customHeight="1">
      <x:c r="A442" s="59" t="str">
        <x:v>docs/10_radkowice_pilot.md</x:v>
      </x:c>
      <x:c r="B442" s="59" t="str">
        <x:v>Pierwsze znane projekty</x:v>
      </x:c>
      <x:c r="C442" s="59" t="str">
        <x:v>847 / MEE Chęciny / Qair Polska S.A. / Radkowice 220 kV / 100 / 102 / Obowiązująca umowa przyłączeniowa</x:v>
      </x:c>
    </x:row>
    <x:row r="443" ht="52" customHeight="1">
      <x:c r="A443" s="59" t="str">
        <x:v>docs/10_radkowice_pilot.md</x:v>
      </x:c>
      <x:c r="B443" s="59" t="str">
        <x:v>Pierwsze znane projekty</x:v>
      </x:c>
      <x:c r="C443"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4" ht="52" customHeight="1">
      <x:c r="A444" s="59" t="str">
        <x:v>docs/10_radkowice_pilot.md</x:v>
      </x:c>
      <x:c r="B444" s="59" t="str">
        <x:v>Pierwsze znane projekty</x:v>
      </x:c>
      <x:c r="C444"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5" ht="52" customHeight="1">
      <x:c r="A445" s="59" t="str">
        <x:v>docs/10_radkowice_pilot.md</x:v>
      </x:c>
      <x:c r="B445" s="59" t="str">
        <x:v>Infrastruktura i inwestycje</x:v>
      </x:c>
      <x:c r="C445"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6" ht="52" customHeight="1">
      <x:c r="A446" s="59" t="str">
        <x:v>docs/10_radkowice_pilot.md</x:v>
      </x:c>
      <x:c r="B446" s="59" t="str">
        <x:v>Infrastruktura i inwestycje</x:v>
      </x:c>
      <x:c r="C446"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7" ht="52" customHeight="1">
      <x:c r="A447" s="59" t="str">
        <x:v>docs/10_radkowice_pilot.md</x:v>
      </x:c>
      <x:c r="B447" s="59" t="str">
        <x:v>Infrastruktura i inwestycje</x:v>
      </x:c>
      <x:c r="C447"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48" ht="30" customHeight="1">
      <x:c r="A448" s="59" t="str">
        <x:v>docs/10_radkowice_pilot.md</x:v>
      </x:c>
      <x:c r="B448" s="59" t="str">
        <x:v>Porównanie z alternatywą</x:v>
      </x:c>
      <x:c r="C448" s="59" t="str">
        <x:v>Kryterium / Radkowice — wybór główny / Kościerzyna — kandydat rezerwowy</x:v>
      </x:c>
    </x:row>
    <x:row r="449" ht="30" customHeight="1">
      <x:c r="A449" s="59" t="str">
        <x:v>docs/10_radkowice_pilot.md</x:v>
      </x:c>
      <x:c r="B449" s="59" t="str">
        <x:v>Porównanie z alternatywą</x:v>
      </x:c>
      <x:c r="C449" s="59" t="str">
        <x:v>Preferencja użytkownika / Wskazane wprost / Nie wskazana</x:v>
      </x:c>
    </x:row>
    <x:row r="450" ht="38" customHeight="1">
      <x:c r="A450" s="59" t="str">
        <x:v>docs/10_radkowice_pilot.md</x:v>
      </x:c>
      <x:c r="B450" s="59" t="str">
        <x:v>Porównanie z alternatywą</x:v>
      </x:c>
      <x:c r="C450" s="59" t="str">
        <x:v>Konkretne projekty / Trzy wskazane BESS w XLSX PSE / W dokumencie Energi jest m.in. wpis GPZ Kościerzyna i status obiektu przyłączonego</x:v>
      </x:c>
    </x:row>
    <x:row r="451" ht="30" customHeight="1">
      <x:c r="A451" s="59" t="str">
        <x:v>docs/10_radkowice_pilot.md</x:v>
      </x:c>
      <x:c r="B451" s="59" t="str">
        <x:v>Porównanie z alternatywą</x:v>
      </x:c>
      <x:c r="C451" s="59" t="str">
        <x:v>Jakość czasu publikacji / Jawny stan XLSX 31.07.2026 / Konflikt dat sierpień/czerwiec; kwarantanna</x:v>
      </x:c>
    </x:row>
    <x:row r="452" ht="30" customHeight="1">
      <x:c r="A452" s="59" t="str">
        <x:v>docs/10_radkowice_pilot.md</x:v>
      </x:c>
      <x:c r="B452" s="59" t="str">
        <x:v>Porównanie z alternatywą</x:v>
      </x:c>
      <x:c r="C452" s="59" t="str">
        <x:v>Inwestycje i topologia / Portal PSE i lokalny BIP / W tym porównaniu nie zweryfikowano kompletu dowodów</x:v>
      </x:c>
    </x:row>
    <x:row r="453" ht="30" customHeight="1">
      <x:c r="A453" s="59" t="str">
        <x:v>docs/10_radkowice_pilot.md</x:v>
      </x:c>
      <x:c r="B453" s="59" t="str">
        <x:v>Porównanie z alternatywą</x:v>
      </x:c>
      <x:c r="C453" s="59" t="str">
        <x:v>Przewaga / Bezpośredni test BESS i styku 220/110 kV / Możliwy późniejszy test innych statusów i OSD</x:v>
      </x:c>
    </x:row>
    <x:row r="454" ht="38" customHeight="1">
      <x:c r="A454" s="59" t="str">
        <x:v>docs/10_radkowice_pilot.md</x:v>
      </x:c>
      <x:c r="B454" s="59" t="str">
        <x:v>Porównanie z alternatywą</x:v>
      </x:c>
      <x:c r="C454" s="59" t="str">
        <x:v>Źródło alternatywy: Energa PDF (https://cdn-netpr.pl/file/mediakit/3063617/fa/2026_08_31_pusop_wnioski_i_odmowy_eop.pdf), strona 1, pozycja 3; konflikt opisany w kontroli z 11.09.2026. Nie jest to pełny ranking stacji Polski.</x:v>
      </x:c>
    </x:row>
    <x:row r="455" ht="66" customHeight="1">
      <x:c r="A455" s="59" t="str">
        <x:v>docs/10_radkowice_pilot.md</x:v>
      </x:c>
      <x:c r="B455" s="59" t="str">
        <x:v>Odtwarzanie i dalsze prace</x:v>
      </x:c>
      <x:c r="C455"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6" ht="80" customHeight="1">
      <x:c r="A456" s="59" t="str">
        <x:v>docs/10_radkowice_pilot.md</x:v>
      </x:c>
      <x:c r="B456" s="59" t="str">
        <x:v>Odtwarzanie i dalsze prace</x:v>
      </x:c>
      <x:c r="C456"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7" ht="52" customHeight="1">
      <x:c r="A457" s="59" t="str">
        <x:v>docs/10_radkowice_pilot.md</x:v>
      </x:c>
      <x:c r="B457" s="59" t="str">
        <x:v>Odtwarzanie i dalsze prace</x:v>
      </x:c>
      <x:c r="C457"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58" ht="38" customHeight="1">
      <x:c r="A458" s="59" t="str">
        <x:v>docs/11_radkowice_evidence_model.md</x:v>
      </x:c>
      <x:c r="B458" s="59" t="str">
        <x:v>Radkowice — pierwszy model powiązań dokumentacyjnych</x:v>
      </x:c>
      <x:c r="C458" s="59" t="str">
        <x:v>11.09.2026. Działa lokalny generator grafu: 11 obiektów i 10 relacji. To eksperyment na zachowanych źródłach, nie wdrożenie produkcyjnego silnika sieciowego. Nie wymaga nowej bazy ani dodatkowych bibliotek.</x:v>
      </x:c>
    </x:row>
    <x:row r="459" ht="66" customHeight="1">
      <x:c r="A459" s="59" t="str">
        <x:v>docs/11_radkowice_evidence_model.md</x:v>
      </x:c>
      <x:c r="B459" s="59" t="str">
        <x:v>Nowy dowód PSE/PGE</x:v>
      </x:c>
      <x:c r="C459"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60" ht="38" customHeight="1">
      <x:c r="A460" s="59" t="str">
        <x:v>docs/11_radkowice_evidence_model.md</x:v>
      </x:c>
      <x:c r="B460" s="59" t="str">
        <x:v>Nowy dowód PSE/PGE</x:v>
      </x:c>
      <x:c r="C460" s="59" t="str">
        <x:v>Ponowna próba bezpośredniego pliku mocy PGE: HTTP 200, 346 bajtów i brak sygnatury PDF. Zapisano metadane próby w data/catalog/pge_radkowice_access_2026-09-11.json; żadne wartości mocy z tej odpowiedzi nie weszły do modelu.</x:v>
      </x:c>
    </x:row>
    <x:row r="461" ht="66" customHeight="1">
      <x:c r="A461" s="59" t="str">
        <x:v>docs/11_radkowice_evidence_model.md</x:v>
      </x:c>
      <x:c r="B461" s="59" t="str">
        <x:v>Co reprezentuje graf</x:v>
      </x:c>
      <x:c r="C461"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62" ht="30" customHeight="1">
      <x:c r="A462" s="59" t="str">
        <x:v>docs/11_radkowice_evidence_model.md</x:v>
      </x:c>
      <x:c r="B462" s="59" t="str">
        <x:v>Co reprezentuje graf</x:v>
      </x:c>
      <x:c r="C462" s="59" t="str">
        <x:v>Obiekt/relacja / Znaczenie / Czego nie oznacza</x:v>
      </x:c>
    </x:row>
    <x:row r="463" ht="30" customHeight="1">
      <x:c r="A463" s="59" t="str">
        <x:v>docs/11_radkowice_evidence_model.md</x:v>
      </x:c>
      <x:c r="B463" s="59" t="str">
        <x:v>Co reprezentuje graf</x:v>
      </x:c>
      <x:c r="C463" s="59" t="str">
        <x:v>STATION_REFERENCE / Stacja nazwana w dokumencie / Pełna ewidencja urządzeń</x:v>
      </x:c>
    </x:row>
    <x:row r="464" ht="30" customHeight="1">
      <x:c r="A464" s="59" t="str">
        <x:v>docs/11_radkowice_evidence_model.md</x:v>
      </x:c>
      <x:c r="B464" s="59" t="str">
        <x:v>Co reprezentuje graf</x:v>
      </x:c>
      <x:c r="C464" s="59" t="str">
        <x:v>VOLTAGE_LEVEL_REFERENCE / Potwierdzony poziom 220 lub 110 kV / Konkretna sekcja szyn, pole lub punkt fizyczny</x:v>
      </x:c>
    </x:row>
    <x:row r="465" ht="30" customHeight="1">
      <x:c r="A465" s="59" t="str">
        <x:v>docs/11_radkowice_evidence_model.md</x:v>
      </x:c>
      <x:c r="B465" s="59" t="str">
        <x:v>Co reprezentuje graf</x:v>
      </x:c>
      <x:c r="C465" s="59" t="str">
        <x:v>REPORTED_LINE / Relacja do Kielc, Połańca lub Kielc Piaski opisana w BIP / Znany aktualny stan łączników i obciążalność</x:v>
      </x:c>
    </x:row>
    <x:row r="466" ht="30" customHeight="1">
      <x:c r="A466" s="59" t="str">
        <x:v>docs/11_radkowice_evidence_model.md</x:v>
      </x:c>
      <x:c r="B466" s="59" t="str">
        <x:v>Co reprezentuje graf</x:v>
      </x:c>
      <x:c r="C466" s="59" t="str">
        <x:v>PROJECT_RECORD / Wiersz PSE dotyczący BESS / Ostatecznie rozstrzygnięta tożsamość inwestycji we wszystkich źródłach</x:v>
      </x:c>
    </x:row>
    <x:row r="467" ht="30" customHeight="1">
      <x:c r="A467" s="59" t="str">
        <x:v>docs/11_radkowice_evidence_model.md</x:v>
      </x:c>
      <x:c r="B467" s="59" t="str">
        <x:v>Co reprezentuje graf</x:v>
      </x:c>
      <x:c r="C467" s="59" t="str">
        <x:v>PLANNED_CONNECTION / Wskazanie Radkowic 220 kV i umowy przyłączeniowej / Potwierdzone wykonanie przyłączenia</x:v>
      </x:c>
    </x:row>
    <x:row r="468" ht="30" customHeight="1">
      <x:c r="A468" s="59" t="str">
        <x:v>docs/11_radkowice_evidence_model.md</x:v>
      </x:c>
      <x:c r="B468" s="59" t="str">
        <x:v>Co reprezentuje graf</x:v>
      </x:c>
      <x:c r="C468" s="59" t="str">
        <x:v>DELIVERY_POINT_REFERENCE / Miejsce dostarczania z taryfy / Identyfikator konkretnego transformatora</x:v>
      </x:c>
    </x:row>
    <x:row r="469" ht="30" customHeight="1">
      <x:c r="A469" s="59" t="str">
        <x:v>docs/11_radkowice_evidence_model.md</x:v>
      </x:c>
      <x:c r="B469" s="59" t="str">
        <x:v>Co reprezentuje graf</x:v>
      </x:c>
      <x:c r="C469" s="59" t="str">
        <x:v>TARIFF_RECIPIENT / Odbiorca usług wskazany przez PSE / Właściciel całej stacji</x:v>
      </x:c>
    </x:row>
    <x:row r="470" ht="52" customHeight="1">
      <x:c r="A470" s="59" t="str">
        <x:v>docs/11_radkowice_evidence_model.md</x:v>
      </x:c>
      <x:c r="B470" s="59" t="str">
        <x:v>Co reprezentuje graf</x:v>
      </x:c>
      <x:c r="C470"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71" ht="38" customHeight="1">
      <x:c r="A471" s="59" t="str">
        <x:v>docs/11_radkowice_evidence_model.md</x:v>
      </x:c>
      <x:c r="B471" s="59" t="str">
        <x:v>Co reprezentuje graf</x:v>
      </x:c>
      <x:c r="C471" s="59" t="str">
        <x:v>Strzałki opisują relacje dokumentacyjne, nie kierunki przepływów energii. Schemat nie wstawia brakujących transformatorów ani feederów. Dla grafu obowiązuje power_flow_ready=false.</x:v>
      </x:c>
    </x:row>
    <x:row r="472" ht="30" customHeight="1">
      <x:c r="A472" s="59" t="str">
        <x:v>docs/11_radkowice_evidence_model.md</x:v>
      </x:c>
      <x:c r="B472" s="59" t="str">
        <x:v>Uruchamianie i kontrola</x:v>
      </x:c>
      <x:c r="C472" s="59" t="str">
        <x:v>Po przywróceniu wcześniejszych snapshotów XLSX/PDF i taryfy:</x:v>
      </x:c>
    </x:row>
    <x:row r="473" ht="30" customHeight="1">
      <x:c r="A473" s="59" t="str">
        <x:v>docs/11_radkowice_evidence_model.md</x:v>
      </x:c>
      <x:c r="B473" s="59" t="str">
        <x:v>Uruchamianie i kontrola</x:v>
      </x:c>
      <x:c r="C473" s="59" t="str">
        <x:v>python scripts/build_radkowice_graph.py python -m unittest discover -s tests -p test_evidence_graph.py -v</x:v>
      </x:c>
    </x:row>
    <x:row r="474" ht="52" customHeight="1">
      <x:c r="A474" s="59" t="str">
        <x:v>docs/11_radkowice_evidence_model.md</x:v>
      </x:c>
      <x:c r="B474" s="59" t="str">
        <x:v>Uruchamianie i kontrola</x:v>
      </x:c>
      <x:c r="C474"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5" ht="52" customHeight="1">
      <x:c r="A475" s="59" t="str">
        <x:v>docs/11_radkowice_evidence_model.md</x:v>
      </x:c>
      <x:c r="B475" s="59" t="str">
        <x:v>Uruchamianie i kontrola</x:v>
      </x:c>
      <x:c r="C475"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6" ht="66" customHeight="1">
      <x:c r="A476" s="59" t="str">
        <x:v>docs/11_radkowice_evidence_model.md</x:v>
      </x:c>
      <x:c r="B476" s="59" t="str">
        <x:v>Następny etap</x:v>
      </x:c>
      <x:c r="C476"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7" ht="38" customHeight="1">
      <x:c r="A477" s="59" t="str">
        <x:v>docs/11_radkowice_evidence_model.md</x:v>
      </x:c>
      <x:c r="B477" s="59" t="str">
        <x:v>Wersja v2 — 11.09.2026</x:v>
      </x:c>
      <x:c r="C477" s="59" t="str">
        <x:v>Uzupełnienie 110 kV (12_radkowice_110kv_research.md) rozszerza graf do 13 obiektów i 13 relacji. Polecenie bez argumentu generuje teraz v2; --version 1 odtwarza zachowaną wersję v1. Dokumenty prywatne nie wchodzą do tego grafu.</x:v>
      </x:c>
    </x:row>
    <x:row r="478" ht="66" customHeight="1">
      <x:c r="A478" s="59" t="str">
        <x:v>docs/12_radkowice_110kv_research.md</x:v>
      </x:c>
      <x:c r="B478" s="59" t="str">
        <x:v>Radkowice–Wolica: dowód dla sieci 110 kV</x:v>
      </x:c>
      <x:c r="C478"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79" ht="52" customHeight="1">
      <x:c r="A479" s="59" t="str">
        <x:v>docs/12_radkowice_110kv_research.md</x:v>
      </x:c>
      <x:c r="B479" s="59" t="str">
        <x:v>Radkowice–Wolica: dowód dla sieci 110 kV</x:v>
      </x:c>
      <x:c r="C479"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80" ht="52" customHeight="1">
      <x:c r="A480" s="59" t="str">
        <x:v>docs/12_radkowice_110kv_research.md</x:v>
      </x:c>
      <x:c r="B480" s="59" t="str">
        <x:v>Radkowice–Wolica: dowód dla sieci 110 kV</x:v>
      </x:c>
      <x:c r="C480"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81" ht="30" customHeight="1">
      <x:c r="A481" s="59" t="str">
        <x:v>docs/12_radkowice_110kv_research.md</x:v>
      </x:c>
      <x:c r="B481" s="59" t="str">
        <x:v>Radkowice–Wolica: dowód dla sieci 110 kV</x:v>
      </x:c>
      <x:c r="C481" s="59" t="str">
        <x:v>Odtworzenie po przywróceniu wszystkich źródeł:</x:v>
      </x:c>
    </x:row>
    <x:row r="482" ht="30" customHeight="1">
      <x:c r="A482" s="59" t="str">
        <x:v>docs/12_radkowice_110kv_research.md</x:v>
      </x:c>
      <x:c r="B482" s="59" t="str">
        <x:v>Radkowice–Wolica: dowód dla sieci 110 kV</x:v>
      </x:c>
      <x:c r="C482" s="59" t="str">
        <x:v>python scripts/build_radkowice_graph.py --version 2 python -m unittest discover -s tests -v</x:v>
      </x:c>
    </x:row>
    <x:row r="483" ht="52" customHeight="1">
      <x:c r="A483" s="59" t="str">
        <x:v>docs/12_radkowice_110kv_research.md</x:v>
      </x:c>
      <x:c r="B483" s="59" t="str">
        <x:v>Radkowice–Wolica: dowód dla sieci 110 kV</x:v>
      </x:c>
      <x:c r="C483"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4" ht="52" customHeight="1">
      <x:c r="A484" s="59" t="str">
        <x:v>docs/12_radkowice_110kv_research.md</x:v>
      </x:c>
      <x:c r="B484" s="59" t="str">
        <x:v>Radkowice–Wolica: dowód dla sieci 110 kV</x:v>
      </x:c>
      <x:c r="C484"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5" ht="38" customHeight="1">
      <x:c r="A485" s="59" t="str">
        <x:v>docs/12_radkowice_110kv_research.md</x:v>
      </x:c>
      <x:c r="B485" s="59" t="str">
        <x:v>Radkowice–Wolica: dowód dla sieci 110 kV</x:v>
      </x:c>
      <x:c r="C485" s="59" t="str">
        <x:v>Pozostałe tropy wyszukiwarki: decyzja 2/2024 oraz projekt planu rozwoju PGE 2026–2031. Pełnych dokumentów tych dwóch tropów nie udało się odczytać w tym kroku; dat i wartości z ich snippetów nie włączono do modelu.</x:v>
      </x:c>
    </x:row>
    <x:row r="486" ht="38" customHeight="1">
      <x:c r="A486" s="59" t="str">
        <x:v>docs/13_shared_connection_model.md</x:v>
      </x:c>
      <x:c r="B486" s="59" t="str">
        <x:v>Wspólne przyłącze — model dokumentacyjny</x:v>
      </x:c>
      <x:c r="C486" s="59" t="str">
        <x:v>12.09.2026 (prace rozpoczęte 11.09). Moduł grid_engine/shared_connection.py działa bez bazy, internetu i nowych zależności. Jest ograniczonym modelem ewidencji miejsc, nie silnikiem oceny przepływów ani rezerwy mocy.</x:v>
      </x:c>
    </x:row>
    <x:row r="487" ht="52" customHeight="1">
      <x:c r="A487" s="59" t="str">
        <x:v>docs/13_shared_connection_model.md</x:v>
      </x:c>
      <x:c r="B487" s="59" t="str">
        <x:v>Dane wejściowe</x:v>
      </x:c>
      <x:c r="C487"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88" ht="66" customHeight="1">
      <x:c r="A488" s="59" t="str">
        <x:v>docs/13_shared_connection_model.md</x:v>
      </x:c>
      <x:c r="B488" s="59" t="str">
        <x:v>Dane wejściowe</x:v>
      </x:c>
      <x:c r="C488"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89" ht="52" customHeight="1">
      <x:c r="A489" s="59" t="str">
        <x:v>docs/13_shared_connection_model.md</x:v>
      </x:c>
      <x:c r="B489" s="59" t="str">
        <x:v>Dane wejściowe</x:v>
      </x:c>
      <x:c r="C489"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90" ht="94" customHeight="1">
      <x:c r="A490" s="59" t="str">
        <x:v>docs/13_shared_connection_model.md</x:v>
      </x:c>
      <x:c r="B490" s="59" t="str">
        <x:v>Wynik i reguły</x:v>
      </x:c>
      <x:c r="C490"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91" ht="38" customHeight="1">
      <x:c r="A491" s="59" t="str">
        <x:v>docs/13_shared_connection_model.md</x:v>
      </x:c>
      <x:c r="B491" s="59" t="str">
        <x:v>Wynik i reguły</x:v>
      </x:c>
      <x:c r="C491" s="59" t="str">
        <x:v>niezależnymi wartościami źródłowymi. Zero jest różne od braku danych. - Dostępna moc importowa/eksportowa i możliwość rozpływu pozostają nieznane niezależnie od liczby miejsc.</x:v>
      </x:c>
    </x:row>
    <x:row r="492" ht="52" customHeight="1">
      <x:c r="A492" s="59" t="str">
        <x:v>docs/13_shared_connection_model.md</x:v>
      </x:c>
      <x:c r="B492" s="59" t="str">
        <x:v>Wynik i reguły</x:v>
      </x:c>
      <x:c r="C492"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3" ht="66" customHeight="1">
      <x:c r="A493" s="59" t="str">
        <x:v>docs/13_shared_connection_model.md</x:v>
      </x:c>
      <x:c r="B493" s="59" t="str">
        <x:v>Czas i prywatność</x:v>
      </x:c>
      <x:c r="C493"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4" ht="52" customHeight="1">
      <x:c r="A494" s="59" t="str">
        <x:v>docs/13_shared_connection_model.md</x:v>
      </x:c>
      <x:c r="B494" s="59" t="str">
        <x:v>Czas i prywatność</x:v>
      </x:c>
      <x:c r="C494"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5" ht="52" customHeight="1">
      <x:c r="A495" s="59" t="str">
        <x:v>docs/13_shared_connection_model.md</x:v>
      </x:c>
      <x:c r="B495" s="59" t="str">
        <x:v>Walidacja i dalsza praca</x:v>
      </x:c>
      <x:c r="C495"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6" ht="30" customHeight="1">
      <x:c r="A496" s="59" t="str">
        <x:v>docs/13_shared_connection_model.md</x:v>
      </x:c>
      <x:c r="B496" s="59" t="str">
        <x:v>Walidacja i dalsza praca</x:v>
      </x:c>
      <x:c r="C496" s="59" t="str">
        <x:v>python -m unittest discover -s tests -p test_shared_connection.py -v</x:v>
      </x:c>
    </x:row>
    <x:row r="497" ht="52" customHeight="1">
      <x:c r="A497" s="59" t="str">
        <x:v>docs/13_shared_connection_model.md</x:v>
      </x:c>
      <x:c r="B497" s="59" t="str">
        <x:v>Odtwarzanie z zapisanego wejścia</x:v>
      </x:c>
      <x:c r="C497"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98" ht="30" customHeight="1">
      <x:c r="A498" s="59" t="str">
        <x:v>docs/13_shared_connection_model.md</x:v>
      </x:c>
      <x:c r="B498" s="59" t="str">
        <x:v>Odtwarzanie z zapisanego wejścia</x:v>
      </x:c>
      <x:c r="C498" s="59" t="str">
        <x:v>python scripts/analyze_shared_connection.py --input SCIEZKA_WEJSCIA.json --output SCIEZKA_NOWEGO_WYNIKU.json</x:v>
      </x:c>
    </x:row>
    <x:row r="499" ht="80" customHeight="1">
      <x:c r="A499" s="59" t="str">
        <x:v>docs/13_shared_connection_model.md</x:v>
      </x:c>
      <x:c r="B499" s="59" t="str">
        <x:v>Odtwarzanie z zapisanego wejścia</x:v>
      </x:c>
      <x:c r="C499"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00" ht="66" customHeight="1">
      <x:c r="A500" s="59" t="str">
        <x:v>docs/13_shared_connection_model.md</x:v>
      </x:c>
      <x:c r="B500" s="59" t="str">
        <x:v>Kontrola wejścia — 15.09.2026</x:v>
      </x:c>
      <x:c r="C500"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01" ht="52" customHeight="1">
      <x:c r="A501" s="59" t="str">
        <x:v>docs/13_shared_connection_model.md</x:v>
      </x:c>
      <x:c r="B501" s="59" t="str">
        <x:v>Kontrola wejścia — 15.09.2026</x:v>
      </x:c>
      <x:c r="C501"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02" ht="38" customHeight="1">
      <x:c r="A502" s="59" t="str">
        <x:v>docs/14_observation_history.md</x:v>
      </x:c>
      <x:c r="B502" s="59" t="str">
        <x:v>Historia obserwacji — prototyp v1</x:v>
      </x:c>
      <x:c r="C502" s="59" t="str">
        <x:v>Data: 2026-09-15. Zakres: dokumentacyjne obserwacje REPORTED / UNKNOWN, bez bazy produkcyjnej, automatycznej aktualizacji i obliczania mocy.</x:v>
      </x:c>
    </x:row>
    <x:row r="503" ht="52" customHeight="1">
      <x:c r="A503" s="59" t="str">
        <x:v>docs/14_observation_history.md</x:v>
      </x:c>
      <x:c r="B503" s="59" t="str">
        <x:v>Dwa niezależne pytania</x:v>
      </x:c>
      <x:c r="C503"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4" ht="52" customHeight="1">
      <x:c r="A504" s="59" t="str">
        <x:v>docs/14_observation_history.md</x:v>
      </x:c>
      <x:c r="B504" s="59" t="str">
        <x:v>Dwa niezależne pytania</x:v>
      </x:c>
      <x:c r="C504"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5" ht="66" customHeight="1">
      <x:c r="A505" s="59" t="str">
        <x:v>docs/14_observation_history.md</x:v>
      </x:c>
      <x:c r="B505" s="59" t="str">
        <x:v>Korekty, konflikty i prywatność</x:v>
      </x:c>
      <x:c r="C505"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6" ht="66" customHeight="1">
      <x:c r="A506" s="59" t="str">
        <x:v>docs/14_observation_history.md</x:v>
      </x:c>
      <x:c r="B506" s="59" t="str">
        <x:v>Korekty, konflikty i prywatność</x:v>
      </x:c>
      <x:c r="C506"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7" ht="66" customHeight="1">
      <x:c r="A507" s="59" t="str">
        <x:v>docs/14_observation_history.md</x:v>
      </x:c>
      <x:c r="B507" s="59" t="str">
        <x:v>Próba Radkowice na rzeczywistych danych</x:v>
      </x:c>
      <x:c r="C507"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08" ht="52" customHeight="1">
      <x:c r="A508" s="59" t="str">
        <x:v>docs/14_observation_history.md</x:v>
      </x:c>
      <x:c r="B508" s="59" t="str">
        <x:v>Próba Radkowice na rzeczywistych danych</x:v>
      </x:c>
      <x:c r="C508"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09" ht="30" customHeight="1">
      <x:c r="A509" s="59" t="str">
        <x:v>docs/14_observation_history.md</x:v>
      </x:c>
      <x:c r="B509" s="59" t="str">
        <x:v>Próba Radkowice na rzeczywistych danych</x:v>
      </x:c>
      <x:c r="C509" s="59" t="str">
        <x:v>Odtworzenie z katalogu repozytorium:</x:v>
      </x:c>
    </x:row>
    <x:row r="510" ht="30" customHeight="1">
      <x:c r="A510" s="59" t="str">
        <x:v>docs/14_observation_history.md</x:v>
      </x:c>
      <x:c r="B510" s="59" t="str">
        <x:v>Próba Radkowice na rzeczywistych danych</x:v>
      </x:c>
      <x:c r="C510" s="59" t="str">
        <x:v>python -m scripts.build_radkowice_history --recorded-at 2026-09-15T11:21:36Z</x:v>
      </x:c>
    </x:row>
    <x:row r="511" ht="52" customHeight="1">
      <x:c r="A511" s="59" t="str">
        <x:v>docs/14_observation_history.md</x:v>
      </x:c>
      <x:c r="B511" s="59" t="str">
        <x:v>Próba Radkowice na rzeczywistych danych</x:v>
      </x:c>
      <x:c r="C511"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12" ht="66" customHeight="1">
      <x:c r="A512" s="59" t="str">
        <x:v>docs/14_observation_history.md</x:v>
      </x:c>
      <x:c r="B512" s="59" t="str">
        <x:v>Ograniczenia i kolejny krok</x:v>
      </x:c>
      <x:c r="C512"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3" ht="38" customHeight="1">
      <x:c r="A513" s="59" t="str">
        <x:v>docs/14_observation_history.md</x:v>
      </x:c>
      <x:c r="B513" s="59" t="str">
        <x:v>Ograniczenia i kolejny krok</x:v>
      </x:c>
      <x:c r="C513" s="59" t="str">
        <x:v>Integrację historii z ewidencją przypisań dodano w kolejnym przyroście poniżej. Nie wymaga to ekspertyzy wpływu; nie uprawnia do wyliczania rezerwy MW ani prawdopodobieństwa przyłączenia.</x:v>
      </x:c>
    </x:row>
    <x:row r="514" ht="66" customHeight="1">
      <x:c r="A514" s="59" t="str">
        <x:v>docs/14_observation_history.md</x:v>
      </x:c>
      <x:c r="B514" s="59" t="str">
        <x:v>Ograniczenia i kolejny krok</x:v>
      </x:c>
      <x:c r="C514"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5" ht="38" customHeight="1">
      <x:c r="A515" s="59" t="str">
        <x:v>docs/14_observation_history.md</x:v>
      </x:c>
      <x:c r="B515" s="59" t="str">
        <x:v>Integracja z przypisaniami — 2026-09-15</x:v>
      </x:c>
      <x:c r="C515" s="59" t="str">
        <x:v>grid_engine/historical_assignments.py łączy zapytanie as_known z istniejącym licznikiem summarize. Przyjmuje pełną historię oraz identyfikator przyłącza, scenariusz CURRENT / PLANNED, moment wiedzy i dzień ocenianego stanu.</x:v>
      </x:c>
    </x:row>
    <x:row r="516" ht="66" customHeight="1">
      <x:c r="A516" s="59" t="str">
        <x:v>docs/14_observation_history.md</x:v>
      </x:c>
      <x:c r="B516" s="59" t="str">
        <x:v>Integracja z przypisaniami — 2026-09-15</x:v>
      </x:c>
      <x:c r="C516"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7" ht="66" customHeight="1">
      <x:c r="A517" s="59" t="str">
        <x:v>docs/14_observation_history.md</x:v>
      </x:c>
      <x:c r="B517" s="59" t="str">
        <x:v>Integracja z przypisaniami — 2026-09-15</x:v>
      </x:c>
      <x:c r="C517"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18" ht="52" customHeight="1">
      <x:c r="A518" s="59" t="str">
        <x:v>docs/14_observation_history.md</x:v>
      </x:c>
      <x:c r="B518" s="59" t="str">
        <x:v>Integracja z przypisaniami — 2026-09-15</x:v>
      </x:c>
      <x:c r="C518"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19" ht="80" customHeight="1">
      <x:c r="A519" s="59" t="str">
        <x:v>docs/14_observation_history.md</x:v>
      </x:c>
      <x:c r="B519" s="59" t="str">
        <x:v>Integracja z przypisaniami — 2026-09-15</x:v>
      </x:c>
      <x:c r="C519"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20" ht="52" customHeight="1">
      <x:c r="A520" s="59" t="str">
        <x:v>docs/14_observation_history.md</x:v>
      </x:c>
      <x:c r="B520" s="59" t="str">
        <x:v>Integracja z przypisaniami — 2026-09-15</x:v>
      </x:c>
      <x:c r="C520"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21" ht="30" customHeight="1">
      <x:c r="A521" s="59" t="str">
        <x:v>docs/14_observation_history.md</x:v>
      </x:c>
      <x:c r="B521" s="59" t="str">
        <x:v>Integracja z przypisaniami — 2026-09-15</x:v>
      </x:c>
      <x:c r="C521" s="59" t="str">
        <x:v>Następny krok po odtwarzaniu plikowym: historia parametrów i jawnych deklaracji kompletności.</x:v>
      </x:c>
    </x:row>
    <x:row r="522" ht="52" customHeight="1">
      <x:c r="A522" s="59" t="str">
        <x:v>docs/14_observation_history.md</x:v>
      </x:c>
      <x:c r="B522" s="59" t="str">
        <x:v>Integracja z przypisaniami — 2026-09-15</x:v>
      </x:c>
      <x:c r="C522"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3" ht="38" customHeight="1">
      <x:c r="A523" s="59" t="str">
        <x:v>docs/14_observation_history.md</x:v>
      </x:c>
      <x:c r="B523" s="59" t="str">
        <x:v>Integracja z przypisaniami — 2026-09-15</x:v>
      </x:c>
      <x:c r="C523" s="59" t="str">
        <x:v>Walidacja przyrostu integracyjnego: 76 testów Python (w tym 12 testów nowego adaptera) oraz 8 testów raportowania przeszło 2026-09-15. git diff --check bez błędów. Nie wprowadzono nowych zależności ani danych prywatnych do repozytorium.</x:v>
      </x:c>
    </x:row>
    <x:row r="524" ht="30" customHeight="1">
      <x:c r="A524" s="59" t="str">
        <x:v>docs/14_observation_history.md</x:v>
      </x:c>
      <x:c r="B524" s="59" t="str">
        <x:v>Odtwarzanie plikowe z manifestem — 2026-09-15</x:v>
      </x:c>
      <x:c r="C524" s="59" t="str">
        <x:v>python scripts/analyze_historical_assignments.py --input SCIEZKA_WEJSCIA.json --output SCIEZKA_NOWEGO_WYNIKU.json</x:v>
      </x:c>
    </x:row>
    <x:row r="525" ht="66" customHeight="1">
      <x:c r="A525" s="59" t="str">
        <x:v>docs/14_observation_history.md</x:v>
      </x:c>
      <x:c r="B525" s="59" t="str">
        <x:v>Odtwarzanie plikowe z manifestem — 2026-09-15</x:v>
      </x:c>
      <x:c r="C525"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6" ht="52" customHeight="1">
      <x:c r="A526" s="59" t="str">
        <x:v>docs/14_observation_history.md</x:v>
      </x:c>
      <x:c r="B526" s="59" t="str">
        <x:v>Odtwarzanie plikowe z manifestem — 2026-09-15</x:v>
      </x:c>
      <x:c r="C526"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7" ht="80" customHeight="1">
      <x:c r="A527" s="59" t="str">
        <x:v>docs/14_observation_history.md</x:v>
      </x:c>
      <x:c r="B527" s="59" t="str">
        <x:v>Odtwarzanie plikowe z manifestem — 2026-09-15</x:v>
      </x:c>
      <x:c r="C527"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28" ht="52" customHeight="1">
      <x:c r="A528" s="59" t="str">
        <x:v>docs/14_observation_history.md</x:v>
      </x:c>
      <x:c r="B528" s="59" t="str">
        <x:v>Odtwarzanie plikowe z manifestem — 2026-09-15</x:v>
      </x:c>
      <x:c r="C528"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29" ht="80" customHeight="1">
      <x:c r="A529" s="59" t="str">
        <x:v>docs/14_observation_history.md</x:v>
      </x:c>
      <x:c r="B529" s="59" t="str">
        <x:v>Odtwarzanie plikowe z manifestem — 2026-09-15</x:v>
      </x:c>
      <x:c r="C529"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30" ht="66" customHeight="1">
      <x:c r="A530" s="59" t="str">
        <x:v>docs/14_observation_history.md</x:v>
      </x:c>
      <x:c r="B530" s="59" t="str">
        <x:v>Odtwarzanie plikowe z manifestem — 2026-09-15</x:v>
      </x:c>
      <x:c r="C530"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31" ht="52" customHeight="1">
      <x:c r="A531" s="59" t="str">
        <x:v>docs/14_observation_history.md</x:v>
      </x:c>
      <x:c r="B531" s="59" t="str">
        <x:v>Odtwarzanie plikowe z manifestem — 2026-09-15</x:v>
      </x:c>
      <x:c r="C531"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32" ht="80" customHeight="1">
      <x:c r="A532" s="59" t="str">
        <x:v>docs/14_observation_history.md</x:v>
      </x:c>
      <x:c r="B532" s="59" t="str">
        <x:v>Historyczne parametry przyłącza — wariant v2, 2026-09-15</x:v>
      </x:c>
      <x:c r="C532"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3" ht="38" customHeight="1">
      <x:c r="A533" s="59" t="str">
        <x:v>docs/14_observation_history.md</x:v>
      </x:c>
      <x:c r="B533" s="59" t="str">
        <x:v>Historyczne parametry przyłącza — wariant v2, 2026-09-15</x:v>
      </x:c>
      <x:c r="C533" s="59" t="str">
        <x:v>Wspólne dla parametrów: entity_id oznacza konkretne przyłącze, scenario rozdziela CURRENT / PLANNED, a daty i dowody mają kontrakt Observation.</x:v>
      </x:c>
    </x:row>
    <x:row r="534" ht="38" customHeight="1">
      <x:c r="A534" s="59" t="str">
        <x:v>docs/14_observation_history.md</x:v>
      </x:c>
      <x:c r="B534" s="59" t="str">
        <x:v>Historyczne parametry przyłącza — wariant v2, 2026-09-15</x:v>
      </x:c>
      <x:c r="C534" s="59" t="str">
        <x:v>field / unit / value jako tekst</x:v>
      </x:c>
    </x:row>
    <x:row r="535" ht="38" customHeight="1">
      <x:c r="A535" s="59" t="str">
        <x:v>docs/14_observation_history.md</x:v>
      </x:c>
      <x:c r="B535" s="59" t="str">
        <x:v>Historyczne parametry przyłącza — wariant v2, 2026-09-15</x:v>
      </x:c>
      <x:c r="C535" s="59" t="str">
        <x:v>maximum_positions / position / Nieujemna liczba całkowita</x:v>
      </x:c>
    </x:row>
    <x:row r="536" ht="38" customHeight="1">
      <x:c r="A536" s="59" t="str">
        <x:v>docs/14_observation_history.md</x:v>
      </x:c>
      <x:c r="B536" s="59" t="str">
        <x:v>Historyczne parametry przyłącza — wariant v2, 2026-09-15</x:v>
      </x:c>
      <x:c r="C536" s="59" t="str">
        <x:v>inventory_complete / null / Dokładnie true albo false</x:v>
      </x:c>
    </x:row>
    <x:row r="537" ht="38" customHeight="1">
      <x:c r="A537" s="59" t="str">
        <x:v>docs/14_observation_history.md</x:v>
      </x:c>
      <x:c r="B537" s="59" t="str">
        <x:v>Historyczne parametry przyłącza — wariant v2, 2026-09-15</x:v>
      </x:c>
      <x:c r="C537" s="59" t="str">
        <x:v>export_limit_MW / MW / Nieujemna liczba dziesiętna z kropką</x:v>
      </x:c>
    </x:row>
    <x:row r="538" ht="38" customHeight="1">
      <x:c r="A538" s="59" t="str">
        <x:v>docs/14_observation_history.md</x:v>
      </x:c>
      <x:c r="B538" s="59" t="str">
        <x:v>Historyczne parametry przyłącza — wariant v2, 2026-09-15</x:v>
      </x:c>
      <x:c r="C538" s="59" t="str">
        <x:v>import_limit_MW / MW / Nieujemna liczba dziesiętna z kropką</x:v>
      </x:c>
    </x:row>
    <x:row r="539" ht="66" customHeight="1">
      <x:c r="A539" s="59" t="str">
        <x:v>docs/14_observation_history.md</x:v>
      </x:c>
      <x:c r="B539" s="59" t="str">
        <x:v>Historyczne parametry przyłącza — wariant v2, 2026-09-15</x:v>
      </x:c>
      <x:c r="C539"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40" ht="52" customHeight="1">
      <x:c r="A540" s="59" t="str">
        <x:v>docs/14_observation_history.md</x:v>
      </x:c>
      <x:c r="B540" s="59" t="str">
        <x:v>Historyczne parametry przyłącza — wariant v2, 2026-09-15</x:v>
      </x:c>
      <x:c r="C540"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41" ht="80" customHeight="1">
      <x:c r="A541" s="59" t="str">
        <x:v>docs/14_observation_history.md</x:v>
      </x:c>
      <x:c r="B541" s="59" t="str">
        <x:v>Historyczne parametry przyłącza — wariant v2, 2026-09-15</x:v>
      </x:c>
      <x:c r="C541"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42" ht="52" customHeight="1">
      <x:c r="A542" s="59" t="str">
        <x:v>docs/14_observation_history.md</x:v>
      </x:c>
      <x:c r="B542" s="59" t="str">
        <x:v>Historyczne parametry przyłącza — wariant v2, 2026-09-15</x:v>
      </x:c>
      <x:c r="C542"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3" ht="38" customHeight="1">
      <x:c r="A543" s="59" t="str">
        <x:v>docs/14_observation_history.md</x:v>
      </x:c>
      <x:c r="B543" s="59" t="str">
        <x:v>Historyczne parametry przyłącza — wariant v2, 2026-09-15</x:v>
      </x:c>
      <x:c r="C543" s="59" t="str">
        <x:v>Po zamknięciu tego przyrostu kolejnym krokiem jest sprawdzenie, które rzeczywiste dowody pilota spełniają kontrakt parametrów i jakie dokładnie braki pozostają. Trwała baza i kontrola dostępu aplikacji nadal nie są wdrożone.</x:v>
      </x:c>
    </x:row>
    <x:row r="544" ht="66" customHeight="1">
      <x:c r="A544" s="59" t="str">
        <x:v>docs/14_observation_history.md</x:v>
      </x:c>
      <x:c r="B544" s="59" t="str">
        <x:v>Historyczne parametry przyłącza — wariant v2, 2026-09-15</x:v>
      </x:c>
      <x:c r="C544"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5" ht="52" customHeight="1">
      <x:c r="A545" s="59" t="str">
        <x:v>docs/15_information_requests.md</x:v>
      </x:c>
      <x:c r="B545" s="59" t="str">
        <x:v>Rejestr potrzebnych dokumentów i informacji</x:v>
      </x:c>
      <x:c r="C545"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6" ht="52" customHeight="1">
      <x:c r="A546" s="59" t="str">
        <x:v>docs/15_information_requests.md</x:v>
      </x:c>
      <x:c r="B546" s="59" t="str">
        <x:v>Rejestr potrzebnych dokumentów i informacji</x:v>
      </x:c>
      <x:c r="C546"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7" ht="52" customHeight="1">
      <x:c r="A547" s="59" t="str">
        <x:v>docs/15_information_requests.md</x:v>
      </x:c>
      <x:c r="B547" s="59" t="str">
        <x:v>Rejestr potrzebnych dokumentów i informacji</x:v>
      </x:c>
      <x:c r="C547"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48" ht="52" customHeight="1">
      <x:c r="A548" s="59" t="str">
        <x:v>docs/15_information_requests.md</x:v>
      </x:c>
      <x:c r="B548" s="59" t="str">
        <x:v>Rejestr potrzebnych dokumentów i informacji</x:v>
      </x:c>
      <x:c r="C548"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49" ht="66" customHeight="1">
      <x:c r="A549" s="59" t="str">
        <x:v>docs/15_information_requests.md</x:v>
      </x:c>
      <x:c r="B549" s="59" t="str">
        <x:v>Rejestr potrzebnych dokumentów i informacji</x:v>
      </x:c>
      <x:c r="C549"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50" ht="66" customHeight="1">
      <x:c r="A550" s="59" t="str">
        <x:v>docs/15_information_requests.md</x:v>
      </x:c>
      <x:c r="B550" s="59" t="str">
        <x:v>Rejestr potrzebnych dokumentów i informacji</x:v>
      </x:c>
      <x:c r="C550"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51" ht="66" customHeight="1">
      <x:c r="A551" s="59" t="str">
        <x:v>docs/15_information_requests.md</x:v>
      </x:c>
      <x:c r="B551" s="59" t="str">
        <x:v>Rejestr potrzebnych dokumentów i informacji</x:v>
      </x:c>
      <x:c r="C551"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52" ht="38" customHeight="1">
      <x:c r="A552" s="59" t="str">
        <x:v>docs/15_information_requests.md</x:v>
      </x:c>
      <x:c r="B552" s="59" t="str">
        <x:v>Rejestr potrzebnych dokumentów i informacji</x:v>
      </x:c>
      <x:c r="C552" s="59" t="str">
        <x:v>Możesz odpowiadać numerem, np. „NEED-001: mam projekt, rewizja ...” albo „NEED-004: nie uda się uzyskać”. Zaktualizuję rejestr i kolejny raport. Zmiany wpisane bezpośrednio w Excel nie wracają automatycznie do rejestru.</x:v>
      </x:c>
    </x:row>
    <x:row r="553" ht="52" customHeight="1">
      <x:c r="A553" s="59" t="str">
        <x:v>docs/15_information_requests.md</x:v>
      </x:c>
      <x:c r="B553" s="59" t="str">
        <x:v>Rejestr potrzebnych dokumentów i informacji</x:v>
      </x:c>
      <x:c r="C553"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4" ht="52" customHeight="1">
      <x:c r="A554" s="59" t="str">
        <x:v>docs/16_radkowice_public_followup.md</x:v>
      </x:c>
      <x:c r="B554" s="59" t="str">
        <x:v>Nowy punkt odniesienia dla projektu mostu</x:v>
      </x:c>
      <x:c r="C554"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5" ht="66" customHeight="1">
      <x:c r="A555" s="59" t="str">
        <x:v>docs/16_radkowice_public_followup.md</x:v>
      </x:c>
      <x:c r="B555" s="59" t="str">
        <x:v>Nowy punkt odniesienia dla projektu mostu</x:v>
      </x:c>
      <x:c r="C555"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6" ht="38" customHeight="1">
      <x:c r="A556" s="59" t="str">
        <x:v>docs/16_radkowice_public_followup.md</x:v>
      </x:c>
      <x:c r="B556" s="59" t="str">
        <x:v>Nowy punkt odniesienia dla projektu mostu</x:v>
      </x:c>
      <x:c r="C556" s="59" t="str">
        <x:v>NEED-001 pozostaje „W pozyskiwaniu”. Numer ogłoszenia i dokładny zakres pomagają szukać projektu i dokumentacji postępowania. Nie utożsamiamy automatycznie tego zamówienia z konkretną rewizją prywatnego projektu ani z wszystkimi etapami stacji.</x:v>
      </x:c>
    </x:row>
    <x:row r="557" ht="66" customHeight="1">
      <x:c r="A557" s="59" t="str">
        <x:v>docs/16_radkowice_public_followup.md</x:v>
      </x:c>
      <x:c r="B557" s="59" t="str">
        <x:v>Linia Radkowice–Kielce Piaski</x:v>
      </x:c>
      <x:c r="C557"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58" ht="38" customHeight="1">
      <x:c r="A558" s="59" t="str">
        <x:v>docs/16_radkowice_public_followup.md</x:v>
      </x:c>
      <x:c r="B558" s="59" t="str">
        <x:v>Linia Radkowice–Kielce Piaski</x:v>
      </x:c>
      <x:c r="C558" s="59" t="str">
        <x:v>NEED-006 uzupełniono o ten trop. Nie połączono automatycznie robót na linii z zakresem mostu ani przebudową linii 110 kV Radkowice–Wolica.</x:v>
      </x:c>
    </x:row>
    <x:row r="559" ht="66" customHeight="1">
      <x:c r="A559" s="59" t="str">
        <x:v>docs/16_radkowice_public_followup.md</x:v>
      </x:c>
      <x:c r="B559" s="59" t="str">
        <x:v>Ponowny odczyt portalu PSE</x:v>
      </x:c>
      <x:c r="C559"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60" ht="66" customHeight="1">
      <x:c r="A560" s="59" t="str">
        <x:v>docs/16_radkowice_public_followup.md</x:v>
      </x:c>
      <x:c r="B560" s="59" t="str">
        <x:v>Automatyzacja i odtwarzanie</x:v>
      </x:c>
      <x:c r="C560"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61" ht="52" customHeight="1">
      <x:c r="A561" s="59" t="str">
        <x:v>docs/16_radkowice_public_followup.md</x:v>
      </x:c>
      <x:c r="B561" s="59" t="str">
        <x:v>Automatyzacja i odtwarzanie</x:v>
      </x:c>
      <x:c r="C561"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62" ht="52" customHeight="1">
      <x:c r="A562" s="59" t="str">
        <x:v>docs/16_radkowice_public_followup.md</x:v>
      </x:c>
      <x:c r="B562" s="59" t="str">
        <x:v>Automatyzacja i odtwarzanie</x:v>
      </x:c>
      <x:c r="C562"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3" ht="38" customHeight="1">
      <x:c r="A563" s="59" t="str">
        <x:v>docs/16_radkowice_public_followup.md</x:v>
      </x:c>
      <x:c r="B563" s="59" t="str">
        <x:v>Automatyzacja i odtwarzanie</x:v>
      </x:c>
      <x:c r="C563" s="59" t="str">
        <x:v>Tropy niezaliczone do dowodów modelu: prognoza postępowań z innym plikiem PSE (odczyt web zwrócił błąd), projekt PRSP 2027–2036 i projekt planu PGE 2026–2031 (w tym przyroście tylko wyniki wyszukiwania). Daty z ich snippetów nie zasilają modelu.</x:v>
      </x:c>
    </x:row>
    <x:row r="564" ht="52" customHeight="1">
      <x:c r="A564" s="59" t="str">
        <x:v>docs/16_radkowice_public_followup.md</x:v>
      </x:c>
      <x:c r="B564" s="59" t="str">
        <x:v>Automatyzacja i odtwarzanie</x:v>
      </x:c>
      <x:c r="C564"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5" ht="52" customHeight="1">
      <x:c r="A565" s="59" t="str">
        <x:v>docs/16_radkowice_public_followup.md</x:v>
      </x:c>
      <x:c r="B565" s="59" t="str">
        <x:v>Automatyzacja i odtwarzanie</x:v>
      </x:c>
      <x:c r="C565"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6" ht="80" customHeight="1">
      <x:c r="A566" s="59" t="str">
        <x:v>docs/16_radkowice_public_followup.md</x:v>
      </x:c>
      <x:c r="B566" s="59" t="str">
        <x:v>Pełna decyzja i rozróżnienie pól 8/6 — dalsza weryfikacja 15.09.2026</x:v>
      </x:c>
      <x:c r="C566"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7" ht="52" customHeight="1">
      <x:c r="A567" s="59" t="str">
        <x:v>docs/16_radkowice_public_followup.md</x:v>
      </x:c>
      <x:c r="B567" s="59" t="str">
        <x:v>Pełna decyzja i rozróżnienie pól 8/6 — dalsza weryfikacja 15.09.2026</x:v>
      </x:c>
      <x:c r="C567"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68" ht="80" customHeight="1">
      <x:c r="A568" s="59" t="str">
        <x:v>docs/16_radkowice_public_followup.md</x:v>
      </x:c>
      <x:c r="B568" s="59" t="str">
        <x:v>Pełna decyzja i rozróżnienie pól 8/6 — dalsza weryfikacja 15.09.2026</x:v>
      </x:c>
      <x:c r="C568"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69" ht="80" customHeight="1">
      <x:c r="A569" s="59" t="str">
        <x:v>docs/16_radkowice_public_followup.md</x:v>
      </x:c>
      <x:c r="B569" s="59" t="str">
        <x:v>Pełna decyzja i rozróżnienie pól 8/6 — dalsza weryfikacja 15.09.2026</x:v>
      </x:c>
      <x:c r="C569"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70" ht="38" customHeight="1">
      <x:c r="A570" s="59" t="str">
        <x:v>docs/17_local_application.md</x:v>
      </x:c>
      <x:c r="B570" s="59" t="str">
        <x:v>Lokalna aplikacja pilotażowa — Radkowice</x:v>
      </x:c>
      <x:c r="C570" s="59" t="str">
        <x:v>Stan: 2026-09-16. Użytkownik zatwierdził rozpoczęcie aplikacji z oceną przesłanek i ryzyk; porównanie stacji pozostaje późniejszym etapem.</x:v>
      </x:c>
    </x:row>
    <x:row r="571" ht="30" customHeight="1">
      <x:c r="A571" s="59" t="str">
        <x:v>docs/17_local_application.md</x:v>
      </x:c>
      <x:c r="B571" s="59" t="str">
        <x:v>Uruchomienie</x:v>
      </x:c>
      <x:c r="C571" s="59" t="str">
        <x:v>W PowerShell, z folderu projektu:</x:v>
      </x:c>
    </x:row>
    <x:row r="572" ht="30" customHeight="1">
      <x:c r="A572" s="59" t="str">
        <x:v>docs/17_local_application.md</x:v>
      </x:c>
      <x:c r="B572" s="59" t="str">
        <x:v>Uruchomienie</x:v>
      </x:c>
      <x:c r="C572" s="59" t="str">
        <x:v>./scripts/start_local_app.ps1</x:v>
      </x:c>
    </x:row>
    <x:row r="573" ht="66" customHeight="1">
      <x:c r="A573" s="59" t="str">
        <x:v>docs/17_local_application.md</x:v>
      </x:c>
      <x:c r="B573" s="59" t="str">
        <x:v>Uruchomienie</x:v>
      </x:c>
      <x:c r="C573"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574" ht="66" customHeight="1">
      <x:c r="A574" s="59" t="str">
        <x:v>docs/17_local_application.md</x:v>
      </x:c>
      <x:c r="B574" s="59" t="str">
        <x:v>Zakres</x:v>
      </x:c>
      <x:c r="C574"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575" ht="66" customHeight="1">
      <x:c r="A575" s="59" t="str">
        <x:v>docs/17_local_application.md</x:v>
      </x:c>
      <x:c r="B575" s="59" t="str">
        <x:v>Interpretacja opinii</x:v>
      </x:c>
      <x:c r="C575"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576" ht="52" customHeight="1">
      <x:c r="A576" s="59" t="str">
        <x:v>docs/17_local_application.md</x:v>
      </x:c>
      <x:c r="B576" s="59" t="str">
        <x:v>Interpretacja opinii</x:v>
      </x:c>
      <x:c r="C576"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577" ht="66" customHeight="1">
      <x:c r="A577" s="59" t="str">
        <x:v>docs/17_local_application.md</x:v>
      </x:c>
      <x:c r="B577" s="59" t="str">
        <x:v>Dane, prywatność i odtwarzalność</x:v>
      </x:c>
      <x:c r="C577"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578" ht="38" customHeight="1">
      <x:c r="A578" s="59" t="str">
        <x:v>docs/17_local_application.md</x:v>
      </x:c>
      <x:c r="B578" s="59" t="str">
        <x:v>Dane, prywatność i odtwarzalność</x:v>
      </x:c>
      <x:c r="C578" s="59" t="str">
        <x:v>Zmiana formularza unieważnia poprzednią opinię. Źródła mają własne daty; uruchomienie aplikacji nie pobiera nowych danych operatorów. Linki zewnętrzne otwierają się dopiero po wybraniu przez użytkownika.</x:v>
      </x:c>
    </x:row>
    <x:row r="579" ht="66" customHeight="1">
      <x:c r="A579" s="59" t="str">
        <x:v>docs/17_local_application.md</x:v>
      </x:c>
      <x:c r="B579" s="59" t="str">
        <x:v>Walidacja i dalszy rozwój</x:v>
      </x:c>
      <x:c r="C579"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580" ht="52" customHeight="1">
      <x:c r="A580" s="59" t="str">
        <x:v>docs/17_local_application.md</x:v>
      </x:c>
      <x:c r="B580" s="59" t="str">
        <x:v>Walidacja i dalszy rozwój</x:v>
      </x:c>
      <x:c r="C580"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581" ht="52" customHeight="1">
      <x:c r="A581" s="59" t="str">
        <x:v>docs/private_sources.md</x:v>
      </x:c>
      <x:c r="B581" s="59" t="str">
        <x:v>Materiały użytkownika i prywatne wyniki</x:v>
      </x:c>
      <x:c r="C581"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82" ht="52" customHeight="1">
      <x:c r="A582" s="59" t="str">
        <x:v>docs/private_sources.md</x:v>
      </x:c>
      <x:c r="B582" s="59" t="str">
        <x:v>Materiały użytkownika i prywatne wyniki</x:v>
      </x:c>
      <x:c r="C582"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83" ht="66" customHeight="1">
      <x:c r="A583" s="59" t="str">
        <x:v>docs/private_sources.md</x:v>
      </x:c>
      <x:c r="B583" s="59" t="str">
        <x:v>Materiały użytkownika i prywatne wyniki</x:v>
      </x:c>
      <x:c r="C583"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84" ht="52" customHeight="1">
      <x:c r="A584" s="59" t="str">
        <x:v>docs/private_sources.md</x:v>
      </x:c>
      <x:c r="B584" s="59" t="str">
        <x:v>Materiały użytkownika i prywatne wyniki</x:v>
      </x:c>
      <x:c r="C584"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585" ht="66" customHeight="1">
      <x:c r="A585" s="59" t="str">
        <x:v>docs/private_sources.md</x:v>
      </x:c>
      <x:c r="B585" s="59" t="str">
        <x:v>16.09.2026 — nowy pakiet mostu i historyczny GIS</x:v>
      </x:c>
      <x:c r="C585"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586" ht="66" customHeight="1">
      <x:c r="A586" s="59" t="str">
        <x:v>docs/private_sources.md</x:v>
      </x:c>
      <x:c r="B586" s="59" t="str">
        <x:v>16.09.2026 — nowy pakiet mostu i historyczny GIS</x:v>
      </x:c>
      <x:c r="C586"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587" ht="66" customHeight="1">
      <x:c r="A587" s="59" t="str">
        <x:v>docs/private_sources.md</x:v>
      </x:c>
      <x:c r="B587" s="59" t="str">
        <x:v>16.09.2026 — nowy pakiet mostu i historyczny GIS</x:v>
      </x:c>
      <x:c r="C587"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sheetData>
  <x:pageMargins left="0.7" right="0.7" top="0.75" bottom="0.75" header="0.3" footer="0.3"/>
  <x:tableParts count="1">
    <x:tablePart xmlns:r="http://schemas.openxmlformats.org/officeDocument/2006/relationships" r:id="R24f8237c9a64452e"/>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77de4f0598b742a7"/>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46281.590952569444</x:v>
      </x:c>
    </x:row>
    <x:row r="8" ht="30" customHeight="1">
      <x:c r="A8" s="59" t="str">
        <x:v>Stan rejestru TODO</x:v>
      </x:c>
      <x:c r="B8" s="60" t="n">
        <x:v>46281</x:v>
      </x:c>
    </x:row>
    <x:row r="9" ht="30" customHeight="1">
      <x:c r="A9" s="59" t="str">
        <x:v>Commit widoczny przy generowaniu</x:v>
      </x:c>
      <x:c r="B9" s="59" t="str">
        <x:v>048e543fc9630d26455575ba1bce0ca2a055993c</x:v>
      </x:c>
    </x:row>
    <x:row r="10" ht="30" customHeight="1">
      <x:c r="A10" s="59" t="str">
        <x:v>SHA-256 zestawu wejść</x:v>
      </x:c>
      <x:c r="B10" s="59" t="str">
        <x:v>68b5862619645aba3f93055544390502d2e820407c300aab60d9d3a1d57ba5d9</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e5285b797f70f401b2aa16abbd19f48de154e36144f5e848bb47fda58f89c14f; 24623 bajtów</x:v>
      </x:c>
    </x:row>
    <x:row r="22" ht="30" customHeight="1">
      <x:c r="A22" s="59" t="str">
        <x:v>data/project/information_requests.json</x:v>
      </x:c>
      <x:c r="B22" s="59" t="str">
        <x:v>SHA-256 6d542b832e42e035eef2f2dfa93dc0c4ebdfdaa55e78d43fd29e3f19b8085b23; 12303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SHA-256 274ddc5216937715dad7f5f8d0da59a33cc0fbd92546b4c4679e33171f1ee1ee; 19753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docs/17_local_application.md</x:v>
      </x:c>
      <x:c r="B49" s="59" t="str">
        <x:v>SHA-256 b6c784c663f36bbf4e2152da5120b108fa5cd6501a5e9a4dd9834382256effc7; 3608 bajtów</x:v>
      </x:c>
    </x:row>
    <x:row r="50" ht="30" customHeight="1">
      <x:c r="A50" s="59" t="str">
        <x:v>docs/private_sources.md</x:v>
      </x:c>
      <x:c r="B50" s="59" t="str">
        <x:v>SHA-256 d70b1823714296349b4d783b1c835970ea2de1ef5ca4945c1ce0b5a4c0a4e6ea; 2779 bajtów</x:v>
      </x:c>
    </x:row>
    <x:row r="51" ht="30" customHeight="1">
      <x:c r="A51" s="59" t="str">
        <x:v>scripts/report_data.mjs</x:v>
      </x:c>
      <x:c r="B51" s="59" t="str">
        <x:v>SHA-256 21d75d212c052a39a84862a6ef18f2c91113c0789dcd61534aa48321e74e9333; 9291 bajtów</x:v>
      </x:c>
    </x:row>
    <x:row r="52" ht="30" customHeight="1">
      <x:c r="A52" s="59" t="str">
        <x:v>scripts/generate_project_report.mjs</x:v>
      </x:c>
      <x:c r="B52" s="59" t="str">
        <x:v>SHA-256 dacbfb8dabe86d332d44547a58a84bf1c69f41600167b5ad3600146c59ad6fb7; 18927 bajtów</x:v>
      </x:c>
    </x:row>
    <x:row r="53" ht="30" customHeight="1">
      <x:c r="A53" s="59" t="str">
        <x:v>scripts/generate_project_report.ps1</x:v>
      </x:c>
      <x:c r="B53" s="59" t="str">
        <x:v>SHA-256 18664ffdf769acf42dce0d589a54a313d2f16e5732617b6bf8e31a0545b0ca4d; 1950 bajtów</x:v>
      </x:c>
    </x:row>
    <x:row r="54" ht="30" customHeight="1">
      <x:c r="A54" s="59" t="str">
        <x:v>scripts/validate_project_report.py</x:v>
      </x:c>
      <x:c r="B54" s="59" t="str">
        <x:v>SHA-256 fc2fd0533037b1e4ffd90886926efaa1947e4ce29f50ae864d14586f83a009b0; 4810 bajtów</x:v>
      </x:c>
    </x:row>
    <x:row r="55" ht="30" customHeight="1">
      <x:c r="A55" s="59" t="str">
        <x:v>data/reference/project_tracker_template.xlsx</x:v>
      </x:c>
      <x:c r="B55"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2339edcf556044c3"/>
  </x:tableParts>
</x:worksheet>
</file>